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64.xml"/>
  <Override ContentType="application/vnd.openxmlformats-officedocument.spreadsheetml.externalLink+xml" PartName="/xl/externalLinks/externalLink180.xml"/>
  <Override ContentType="application/vnd.openxmlformats-officedocument.spreadsheetml.externalLink+xml" PartName="/xl/externalLinks/externalLink156.xml"/>
  <Override ContentType="application/vnd.openxmlformats-officedocument.spreadsheetml.externalLink+xml" PartName="/xl/externalLinks/externalLink210.xml"/>
  <Override ContentType="application/vnd.openxmlformats-officedocument.spreadsheetml.externalLink+xml" PartName="/xl/externalLinks/externalLink121.xml"/>
  <Override ContentType="application/vnd.openxmlformats-officedocument.spreadsheetml.externalLink+xml" PartName="/xl/externalLinks/externalLink94.xml"/>
  <Override ContentType="application/vnd.openxmlformats-officedocument.spreadsheetml.externalLink+xml" PartName="/xl/externalLinks/externalLink199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8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51.xml"/>
  <Override ContentType="application/vnd.openxmlformats-officedocument.spreadsheetml.externalLink+xml" PartName="/xl/externalLinks/externalLink78.xml"/>
  <Override ContentType="application/vnd.openxmlformats-officedocument.spreadsheetml.externalLink+xml" PartName="/xl/externalLinks/externalLink209.xml"/>
  <Override ContentType="application/vnd.openxmlformats-officedocument.spreadsheetml.externalLink+xml" PartName="/xl/externalLinks/externalLink172.xml"/>
  <Override ContentType="application/vnd.openxmlformats-officedocument.spreadsheetml.externalLink+xml" PartName="/xl/externalLinks/externalLink128.xml"/>
  <Override ContentType="application/vnd.openxmlformats-officedocument.spreadsheetml.externalLink+xml" PartName="/xl/externalLinks/externalLink66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90.xml"/>
  <Override ContentType="application/vnd.openxmlformats-officedocument.spreadsheetml.externalLink+xml" PartName="/xl/externalLinks/externalLink225.xml"/>
  <Override ContentType="application/vnd.openxmlformats-officedocument.spreadsheetml.externalLink+xml" PartName="/xl/externalLinks/externalLink113.xml"/>
  <Override ContentType="application/vnd.openxmlformats-officedocument.spreadsheetml.externalLink+xml" PartName="/xl/externalLinks/externalLink192.xml"/>
  <Override ContentType="application/vnd.openxmlformats-officedocument.spreadsheetml.externalLink+xml" PartName="/xl/externalLinks/externalLink71.xml"/>
  <Override ContentType="application/vnd.openxmlformats-officedocument.spreadsheetml.externalLink+xml" PartName="/xl/externalLinks/externalLink144.xml"/>
  <Override ContentType="application/vnd.openxmlformats-officedocument.spreadsheetml.externalLink+xml" PartName="/xl/externalLinks/externalLink101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187.xml"/>
  <Override ContentType="application/vnd.openxmlformats-officedocument.spreadsheetml.externalLink+xml" PartName="/xl/externalLinks/externalLink55.xml"/>
  <Override ContentType="application/vnd.openxmlformats-officedocument.spreadsheetml.externalLink+xml" PartName="/xl/externalLinks/externalLink206.xml"/>
  <Override ContentType="application/vnd.openxmlformats-officedocument.spreadsheetml.externalLink+xml" PartName="/xl/externalLinks/externalLink98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17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63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125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108.xml"/>
  <Override ContentType="application/vnd.openxmlformats-officedocument.spreadsheetml.externalLink+xml" PartName="/xl/externalLinks/externalLink168.xml"/>
  <Override ContentType="application/vnd.openxmlformats-officedocument.spreadsheetml.externalLink+xml" PartName="/xl/externalLinks/externalLink82.xml"/>
  <Override ContentType="application/vnd.openxmlformats-officedocument.spreadsheetml.externalLink+xml" PartName="/xl/externalLinks/externalLink213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153.xml"/>
  <Override ContentType="application/vnd.openxmlformats-officedocument.spreadsheetml.externalLink+xml" PartName="/xl/externalLinks/externalLink74.xml"/>
  <Override ContentType="application/vnd.openxmlformats-officedocument.spreadsheetml.externalLink+xml" PartName="/xl/externalLinks/externalLink110.xml"/>
  <Override ContentType="application/vnd.openxmlformats-officedocument.spreadsheetml.externalLink+xml" PartName="/xl/externalLinks/externalLink183.xml"/>
  <Override ContentType="application/vnd.openxmlformats-officedocument.spreadsheetml.externalLink+xml" PartName="/xl/externalLinks/externalLink91.xml"/>
  <Override ContentType="application/vnd.openxmlformats-officedocument.spreadsheetml.externalLink+xml" PartName="/xl/externalLinks/externalLink196.xml"/>
  <Override ContentType="application/vnd.openxmlformats-officedocument.spreadsheetml.externalLink+xml" PartName="/xl/externalLinks/externalLink217.xml"/>
  <Override ContentType="application/vnd.openxmlformats-officedocument.spreadsheetml.externalLink+xml" PartName="/xl/externalLinks/externalLink140.xml"/>
  <Override ContentType="application/vnd.openxmlformats-officedocument.spreadsheetml.externalLink+xml" PartName="/xl/externalLinks/externalLink179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221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36.xml"/>
  <Override ContentType="application/vnd.openxmlformats-officedocument.spreadsheetml.externalLink+xml" PartName="/xl/externalLinks/externalLink89.xml"/>
  <Override ContentType="application/vnd.openxmlformats-officedocument.spreadsheetml.externalLink+xml" PartName="/xl/externalLinks/externalLink202.xml"/>
  <Override ContentType="application/vnd.openxmlformats-officedocument.spreadsheetml.externalLink+xml" PartName="/xl/externalLinks/externalLink228.xml"/>
  <Override ContentType="application/vnd.openxmlformats-officedocument.spreadsheetml.externalLink+xml" PartName="/xl/externalLinks/externalLink104.xml"/>
  <Override ContentType="application/vnd.openxmlformats-officedocument.spreadsheetml.externalLink+xml" PartName="/xl/externalLinks/externalLink201.xml"/>
  <Override ContentType="application/vnd.openxmlformats-officedocument.spreadsheetml.externalLink+xml" PartName="/xl/externalLinks/externalLink112.xml"/>
  <Override ContentType="application/vnd.openxmlformats-officedocument.spreadsheetml.externalLink+xml" PartName="/xl/externalLinks/externalLink155.xml"/>
  <Override ContentType="application/vnd.openxmlformats-officedocument.spreadsheetml.externalLink+xml" PartName="/xl/externalLinks/externalLink77.xml"/>
  <Override ContentType="application/vnd.openxmlformats-officedocument.spreadsheetml.externalLink+xml" PartName="/xl/externalLinks/externalLink171.xml"/>
  <Override ContentType="application/vnd.openxmlformats-officedocument.spreadsheetml.externalLink+xml" PartName="/xl/externalLinks/externalLink14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95.xml"/>
  <Override ContentType="application/vnd.openxmlformats-officedocument.spreadsheetml.externalLink+xml" PartName="/xl/externalLinks/externalLink181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198.xml"/>
  <Override ContentType="application/vnd.openxmlformats-officedocument.spreadsheetml.externalLink+xml" PartName="/xl/externalLinks/externalLink52.xml"/>
  <Override ContentType="application/vnd.openxmlformats-officedocument.spreadsheetml.externalLink+xml" PartName="/xl/externalLinks/externalLink137.xml"/>
  <Override ContentType="application/vnd.openxmlformats-officedocument.spreadsheetml.externalLink+xml" PartName="/xl/externalLinks/externalLink226.xml"/>
  <Override ContentType="application/vnd.openxmlformats-officedocument.spreadsheetml.externalLink+xml" PartName="/xl/externalLinks/externalLink49.xml"/>
  <Override ContentType="application/vnd.openxmlformats-officedocument.spreadsheetml.externalLink+xml" PartName="/xl/externalLinks/externalLink83.xml"/>
  <Override ContentType="application/vnd.openxmlformats-officedocument.spreadsheetml.externalLink+xml" PartName="/xl/externalLinks/externalLink132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175.xml"/>
  <Override ContentType="application/vnd.openxmlformats-officedocument.spreadsheetml.externalLink+xml" PartName="/xl/externalLinks/externalLink6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00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127.xml"/>
  <Override ContentType="application/vnd.openxmlformats-officedocument.spreadsheetml.externalLink+xml" PartName="/xl/externalLinks/externalLink161.xml"/>
  <Override ContentType="application/vnd.openxmlformats-officedocument.spreadsheetml.externalLink+xml" PartName="/xl/externalLinks/externalLink211.xml"/>
  <Override ContentType="application/vnd.openxmlformats-officedocument.spreadsheetml.externalLink+xml" PartName="/xl/externalLinks/externalLink109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169.xml"/>
  <Override ContentType="application/vnd.openxmlformats-officedocument.spreadsheetml.externalLink+xml" PartName="/xl/externalLinks/externalLink126.xml"/>
  <Override ContentType="application/vnd.openxmlformats-officedocument.spreadsheetml.externalLink+xml" PartName="/xl/externalLinks/externalLink193.xml"/>
  <Override ContentType="application/vnd.openxmlformats-officedocument.spreadsheetml.externalLink+xml" PartName="/xl/externalLinks/externalLink143.xml"/>
  <Override ContentType="application/vnd.openxmlformats-officedocument.spreadsheetml.externalLink+xml" PartName="/xl/externalLinks/externalLink186.xml"/>
  <Override ContentType="application/vnd.openxmlformats-officedocument.spreadsheetml.externalLink+xml" PartName="/xl/externalLinks/externalLink116.xml"/>
  <Override ContentType="application/vnd.openxmlformats-officedocument.spreadsheetml.externalLink+xml" PartName="/xl/externalLinks/externalLink159.xml"/>
  <Override ContentType="application/vnd.openxmlformats-officedocument.spreadsheetml.externalLink+xml" PartName="/xl/externalLinks/externalLink160.xml"/>
  <Override ContentType="application/vnd.openxmlformats-officedocument.spreadsheetml.externalLink+xml" PartName="/xl/externalLinks/externalLink73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76.xml"/>
  <Override ContentType="application/vnd.openxmlformats-officedocument.spreadsheetml.externalLink+xml" PartName="/xl/externalLinks/externalLink205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150.xml"/>
  <Override ContentType="application/vnd.openxmlformats-officedocument.spreadsheetml.externalLink+xml" PartName="/xl/externalLinks/externalLink222.xml"/>
  <Override ContentType="application/vnd.openxmlformats-officedocument.spreadsheetml.externalLink+xml" PartName="/xl/externalLinks/externalLink9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56.xml"/>
  <Override ContentType="application/vnd.openxmlformats-officedocument.spreadsheetml.externalLink+xml" PartName="/xl/externalLinks/externalLink133.xml"/>
  <Override ContentType="application/vnd.openxmlformats-officedocument.spreadsheetml.externalLink+xml" PartName="/xl/externalLinks/externalLink182.xml"/>
  <Override ContentType="application/vnd.openxmlformats-officedocument.spreadsheetml.externalLink+xml" PartName="/xl/externalLinks/externalLink216.xml"/>
  <Override ContentType="application/vnd.openxmlformats-officedocument.spreadsheetml.externalLink+xml" PartName="/xl/externalLinks/externalLink197.xml"/>
  <Override ContentType="application/vnd.openxmlformats-officedocument.spreadsheetml.externalLink+xml" PartName="/xl/externalLinks/externalLink165.xml"/>
  <Override ContentType="application/vnd.openxmlformats-officedocument.spreadsheetml.externalLink+xml" PartName="/xl/externalLinks/externalLink12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2.xml"/>
  <Override ContentType="application/vnd.openxmlformats-officedocument.spreadsheetml.externalLink+xml" PartName="/xl/externalLinks/externalLink88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45.xml"/>
  <Override ContentType="application/vnd.openxmlformats-officedocument.spreadsheetml.externalLink+xml" PartName="/xl/externalLinks/externalLink148.xml"/>
  <Override ContentType="application/vnd.openxmlformats-officedocument.spreadsheetml.externalLink+xml" PartName="/xl/externalLinks/externalLink105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219.xml"/>
  <Override ContentType="application/vnd.openxmlformats-officedocument.spreadsheetml.externalLink+xml" PartName="/xl/externalLinks/externalLink76.xml"/>
  <Override ContentType="application/vnd.openxmlformats-officedocument.spreadsheetml.externalLink+xml" PartName="/xl/externalLinks/externalLink227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138.xml"/>
  <Override ContentType="application/vnd.openxmlformats-officedocument.spreadsheetml.externalLink+xml" PartName="/xl/externalLinks/externalLink68.xml"/>
  <Override ContentType="application/vnd.openxmlformats-officedocument.spreadsheetml.externalLink+xml" PartName="/xl/externalLinks/externalLink189.xml"/>
  <Override ContentType="application/vnd.openxmlformats-officedocument.spreadsheetml.externalLink+xml" PartName="/xl/externalLinks/externalLink190.xml"/>
  <Override ContentType="application/vnd.openxmlformats-officedocument.spreadsheetml.externalLink+xml" PartName="/xl/externalLinks/externalLink111.xml"/>
  <Override ContentType="application/vnd.openxmlformats-officedocument.spreadsheetml.externalLink+xml" PartName="/xl/externalLinks/externalLink200.xml"/>
  <Override ContentType="application/vnd.openxmlformats-officedocument.spreadsheetml.externalLink+xml" PartName="/xl/externalLinks/externalLink103.xml"/>
  <Override ContentType="application/vnd.openxmlformats-officedocument.spreadsheetml.externalLink+xml" PartName="/xl/externalLinks/externalLink154.xml"/>
  <Override ContentType="application/vnd.openxmlformats-officedocument.spreadsheetml.externalLink+xml" PartName="/xl/externalLinks/externalLink14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58.xml"/>
  <Override ContentType="application/vnd.openxmlformats-officedocument.spreadsheetml.externalLink+xml" PartName="/xl/externalLinks/externalLink115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53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62.xml"/>
  <Override ContentType="application/vnd.openxmlformats-officedocument.spreadsheetml.externalLink+xml" PartName="/xl/externalLinks/externalLink96.xml"/>
  <Override ContentType="application/vnd.openxmlformats-officedocument.spreadsheetml.externalLink+xml" PartName="/xl/externalLinks/externalLink212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207.xml"/>
  <Override ContentType="application/vnd.openxmlformats-officedocument.spreadsheetml.externalLink+xml" PartName="/xl/externalLinks/externalLink174.xml"/>
  <Override ContentType="application/vnd.openxmlformats-officedocument.spreadsheetml.externalLink+xml" PartName="/xl/externalLinks/externalLink84.xml"/>
  <Override ContentType="application/vnd.openxmlformats-officedocument.spreadsheetml.externalLink+xml" PartName="/xl/externalLinks/externalLink41.xml"/>
  <Override ContentType="application/vnd.openxmlformats-officedocument.spreadsheetml.externalLink+xml" PartName="/xl/externalLinks/externalLink131.xml"/>
  <Override ContentType="application/vnd.openxmlformats-officedocument.spreadsheetml.externalLink+xml" PartName="/xl/externalLinks/externalLink80.xml"/>
  <Override ContentType="application/vnd.openxmlformats-officedocument.spreadsheetml.externalLink+xml" PartName="/xl/externalLinks/externalLink177.xml"/>
  <Override ContentType="application/vnd.openxmlformats-officedocument.spreadsheetml.externalLink+xml" PartName="/xl/externalLinks/externalLink142.xml"/>
  <Override ContentType="application/vnd.openxmlformats-officedocument.spreadsheetml.externalLink+xml" PartName="/xl/externalLinks/externalLink194.xml"/>
  <Override ContentType="application/vnd.openxmlformats-officedocument.spreadsheetml.externalLink+xml" PartName="/xl/externalLinks/externalLink151.xml"/>
  <Override ContentType="application/vnd.openxmlformats-officedocument.spreadsheetml.externalLink+xml" PartName="/xl/externalLinks/externalLink72.xml"/>
  <Override ContentType="application/vnd.openxmlformats-officedocument.spreadsheetml.externalLink+xml" PartName="/xl/externalLinks/externalLink22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34.xml"/>
  <Override ContentType="application/vnd.openxmlformats-officedocument.spreadsheetml.externalLink+xml" PartName="/xl/externalLinks/externalLink48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65.xml"/>
  <Override ContentType="application/vnd.openxmlformats-officedocument.spreadsheetml.externalLink+xml" PartName="/xl/externalLinks/externalLink185.xml"/>
  <Override ContentType="application/vnd.openxmlformats-officedocument.spreadsheetml.externalLink+xml" PartName="/xl/externalLinks/externalLink123.xml"/>
  <Override ContentType="application/vnd.openxmlformats-officedocument.spreadsheetml.externalLink+xml" PartName="/xl/externalLinks/externalLink87.xml"/>
  <Override ContentType="application/vnd.openxmlformats-officedocument.spreadsheetml.externalLink+xml" PartName="/xl/externalLinks/externalLink204.xml"/>
  <Override ContentType="application/vnd.openxmlformats-officedocument.spreadsheetml.externalLink+xml" PartName="/xl/externalLinks/externalLink61.xml"/>
  <Override ContentType="application/vnd.openxmlformats-officedocument.spreadsheetml.externalLink+xml" PartName="/xl/externalLinks/externalLink166.xml"/>
  <Override ContentType="application/vnd.openxmlformats-officedocument.spreadsheetml.externalLink+xml" PartName="/xl/externalLinks/externalLink119.xml"/>
  <Override ContentType="application/vnd.openxmlformats-officedocument.spreadsheetml.externalLink+xml" PartName="/xl/externalLinks/externalLink14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57.xml"/>
  <Override ContentType="application/vnd.openxmlformats-officedocument.spreadsheetml.externalLink+xml" PartName="/xl/externalLinks/externalLink106.xml"/>
  <Override ContentType="application/vnd.openxmlformats-officedocument.spreadsheetml.externalLink+xml" PartName="/xl/externalLinks/externalLink215.xml"/>
  <Override ContentType="application/vnd.openxmlformats-officedocument.spreadsheetml.externalLink+xml" PartName="/xl/externalLinks/externalLink93.xml"/>
  <Override ContentType="application/vnd.openxmlformats-officedocument.spreadsheetml.externalLink+xml" PartName="/xl/externalLinks/externalLink170.xml"/>
  <Override ContentType="application/vnd.openxmlformats-officedocument.spreadsheetml.externalLink+xml" PartName="/xl/externalLinks/externalLink50.xml"/>
  <Override ContentType="application/vnd.openxmlformats-officedocument.spreadsheetml.externalLink+xml" PartName="/xl/externalLinks/externalLink85.xml"/>
  <Override ContentType="application/vnd.openxmlformats-officedocument.spreadsheetml.externalLink+xml" PartName="/xl/externalLinks/externalLink139.xml"/>
  <Override ContentType="application/vnd.openxmlformats-officedocument.spreadsheetml.externalLink+xml" PartName="/xl/externalLinks/externalLink173.xml"/>
  <Override ContentType="application/vnd.openxmlformats-officedocument.spreadsheetml.externalLink+xml" PartName="/xl/externalLinks/externalLink59.xml"/>
  <Override ContentType="application/vnd.openxmlformats-officedocument.spreadsheetml.externalLink+xml" PartName="/xl/externalLinks/externalLink130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18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60.xml"/>
  <Override ContentType="application/vnd.openxmlformats-officedocument.spreadsheetml.externalLink+xml" PartName="/xl/externalLinks/externalLink129.xml"/>
  <Override ContentType="application/vnd.openxmlformats-officedocument.spreadsheetml.externalLink+xml" PartName="/xl/externalLinks/externalLink120.xml"/>
  <Override ContentType="application/vnd.openxmlformats-officedocument.spreadsheetml.externalLink+xml" PartName="/xl/externalLinks/externalLink163.xml"/>
  <Override ContentType="application/vnd.openxmlformats-officedocument.spreadsheetml.externalLink+xml" PartName="/xl/externalLinks/externalLink69.xml"/>
  <Override ContentType="application/vnd.openxmlformats-officedocument.spreadsheetml.externalLink+xml" PartName="/xl/externalLinks/externalLink79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191.xml"/>
  <Override ContentType="application/vnd.openxmlformats-officedocument.spreadsheetml.externalLink+xml" PartName="/xl/externalLinks/externalLink208.xml"/>
  <Override ContentType="application/vnd.openxmlformats-officedocument.spreadsheetml.externalLink+xml" PartName="/xl/externalLinks/externalLink70.xml"/>
  <Override ContentType="application/vnd.openxmlformats-officedocument.spreadsheetml.externalLink+xml" PartName="/xl/externalLinks/externalLink102.xml"/>
  <Override ContentType="application/vnd.openxmlformats-officedocument.spreadsheetml.externalLink+xml" PartName="/xl/externalLinks/externalLink145.xml"/>
  <Override ContentType="application/vnd.openxmlformats-officedocument.spreadsheetml.externalLink+xml" PartName="/xl/externalLinks/externalLink188.xml"/>
  <Override ContentType="application/vnd.openxmlformats-officedocument.spreadsheetml.externalLink+xml" PartName="/xl/externalLinks/externalLink224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14.xml"/>
  <Override ContentType="application/vnd.openxmlformats-officedocument.spreadsheetml.externalLink+xml" PartName="/xl/externalLinks/externalLink157.xml"/>
  <Override ContentType="application/vnd.openxmlformats-officedocument.spreadsheetml.externalLink+xml" PartName="/xl/externalLinks/externalLink54.xml"/>
  <Override ContentType="application/vnd.openxmlformats-officedocument.spreadsheetml.externalLink+xml" PartName="/xl/externalLinks/externalLink97.xml"/>
  <Override ContentType="application/vnd.openxmlformats-officedocument.spreadsheetml.externalLink+xml" PartName="/xl/externalLinks/externalLink64.xml"/>
  <Override ContentType="application/vnd.openxmlformats-officedocument.spreadsheetml.externalLink+xml" PartName="/xl/externalLinks/externalLink214.xml"/>
  <Override ContentType="application/vnd.openxmlformats-officedocument.spreadsheetml.externalLink+xml" PartName="/xl/externalLinks/externalLink81.xml"/>
  <Override ContentType="application/vnd.openxmlformats-officedocument.spreadsheetml.externalLink+xml" PartName="/xl/externalLinks/externalLink141.xml"/>
  <Override ContentType="application/vnd.openxmlformats-officedocument.spreadsheetml.externalLink+xml" PartName="/xl/externalLinks/externalLink184.xml"/>
  <Override ContentType="application/vnd.openxmlformats-officedocument.spreadsheetml.externalLink+xml" PartName="/xl/externalLinks/externalLink124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167.xml"/>
  <Override ContentType="application/vnd.openxmlformats-officedocument.spreadsheetml.externalLink+xml" PartName="/xl/externalLinks/externalLink47.xml"/>
  <Override ContentType="application/vnd.openxmlformats-officedocument.spreadsheetml.externalLink+xml" PartName="/xl/externalLinks/externalLink107.xml"/>
  <Override ContentType="application/vnd.openxmlformats-officedocument.spreadsheetml.externalLink+xml" PartName="/xl/externalLinks/externalLink220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203.xml"/>
  <Override ContentType="application/vnd.openxmlformats-officedocument.spreadsheetml.externalLink+xml" PartName="/xl/externalLinks/externalLink229.xml"/>
  <Override ContentType="application/vnd.openxmlformats-officedocument.spreadsheetml.externalLink+xml" PartName="/xl/externalLinks/externalLink92.xml"/>
  <Override ContentType="application/vnd.openxmlformats-officedocument.spreadsheetml.externalLink+xml" PartName="/xl/externalLinks/externalLink135.xml"/>
  <Override ContentType="application/vnd.openxmlformats-officedocument.spreadsheetml.externalLink+xml" PartName="/xl/externalLinks/externalLink195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75.xml"/>
  <Override ContentType="application/vnd.openxmlformats-officedocument.spreadsheetml.externalLink+xml" PartName="/xl/externalLinks/externalLink178.xml"/>
  <Override ContentType="application/vnd.openxmlformats-officedocument.spreadsheetml.externalLink+xml" PartName="/xl/externalLinks/externalLink152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58.xml"/>
  <Override ContentType="application/vnd.openxmlformats-officedocument.spreadsheetml.externalLink+xml" PartName="/xl/externalLinks/externalLink118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v1" sheetId="1" r:id="rId4"/>
    <sheet state="visible" name="Equipment Summary" sheetId="2" r:id="rId5"/>
    <sheet state="visible" name="Ref_Prodty Hauler per 100mtr" sheetId="3" r:id="rId6"/>
    <sheet state="visible" name="Ref_fuel" sheetId="4" r:id="rId7"/>
    <sheet state="visible" name="DUMMY DATA" sheetId="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</externalReferences>
  <definedNames>
    <definedName name="_________________________wrn1">{#N/A,#N/A,FALSE,"Summary";#N/A,#N/A,FALSE,"A-01";#N/A,#N/A,FALSE,"A-03";#N/A,#N/A,FALSE,"A-04";#N/A,#N/A,FALSE,"A-06"}</definedName>
    <definedName name="________________________wrn1">{#N/A,#N/A,FALSE,"Summary";#N/A,#N/A,FALSE,"A-01";#N/A,#N/A,FALSE,"A-03";#N/A,#N/A,FALSE,"A-04";#N/A,#N/A,FALSE,"A-06"}</definedName>
    <definedName name="_______________________wrn1">{#N/A,#N/A,FALSE,"Summary";#N/A,#N/A,FALSE,"A-01";#N/A,#N/A,FALSE,"A-03";#N/A,#N/A,FALSE,"A-04";#N/A,#N/A,FALSE,"A-06"}</definedName>
    <definedName name="_____________________wrn1">{#N/A,#N/A,FALSE,"Summary";#N/A,#N/A,FALSE,"A-01";#N/A,#N/A,FALSE,"A-03";#N/A,#N/A,FALSE,"A-04";#N/A,#N/A,FALSE,"A-06"}</definedName>
    <definedName name="____________________wrn1">{#N/A,#N/A,FALSE,"Summary";#N/A,#N/A,FALSE,"A-01";#N/A,#N/A,FALSE,"A-03";#N/A,#N/A,FALSE,"A-04";#N/A,#N/A,FALSE,"A-06"}</definedName>
    <definedName name="___________________wrn1">{#N/A,#N/A,FALSE,"Summary";#N/A,#N/A,FALSE,"A-01";#N/A,#N/A,FALSE,"A-03";#N/A,#N/A,FALSE,"A-04";#N/A,#N/A,FALSE,"A-06"}</definedName>
    <definedName name="__________________wrn1">{#N/A,#N/A,FALSE,"Summary";#N/A,#N/A,FALSE,"A-01";#N/A,#N/A,FALSE,"A-03";#N/A,#N/A,FALSE,"A-04";#N/A,#N/A,FALSE,"A-06"}</definedName>
    <definedName name="_________________wrn1">{#N/A,#N/A,FALSE,"Summary";#N/A,#N/A,FALSE,"A-01";#N/A,#N/A,FALSE,"A-03";#N/A,#N/A,FALSE,"A-04";#N/A,#N/A,FALSE,"A-06"}</definedName>
    <definedName name="________________wrn1">{#N/A,#N/A,FALSE,"Summary";#N/A,#N/A,FALSE,"A-01";#N/A,#N/A,FALSE,"A-03";#N/A,#N/A,FALSE,"A-04";#N/A,#N/A,FALSE,"A-06"}</definedName>
    <definedName name="_______________wrn1">{#N/A,#N/A,FALSE,"Summary";#N/A,#N/A,FALSE,"A-01";#N/A,#N/A,FALSE,"A-03";#N/A,#N/A,FALSE,"A-04";#N/A,#N/A,FALSE,"A-06"}</definedName>
    <definedName name="______________wrn1">{#N/A,#N/A,FALSE,"Summary";#N/A,#N/A,FALSE,"A-01";#N/A,#N/A,FALSE,"A-03";#N/A,#N/A,FALSE,"A-04";#N/A,#N/A,FALSE,"A-06"}</definedName>
    <definedName name="_____________wrn1">{#N/A,#N/A,FALSE,"Summary";#N/A,#N/A,FALSE,"A-01";#N/A,#N/A,FALSE,"A-03";#N/A,#N/A,FALSE,"A-04";#N/A,#N/A,FALSE,"A-06"}</definedName>
    <definedName name="____________wrn1">{#N/A,#N/A,FALSE,"Summary";#N/A,#N/A,FALSE,"A-01";#N/A,#N/A,FALSE,"A-03";#N/A,#N/A,FALSE,"A-04";#N/A,#N/A,FALSE,"A-06"}</definedName>
    <definedName name="___________wrn1">{#N/A,#N/A,FALSE,"Summary";#N/A,#N/A,FALSE,"A-01";#N/A,#N/A,FALSE,"A-03";#N/A,#N/A,FALSE,"A-04";#N/A,#N/A,FALSE,"A-06"}</definedName>
    <definedName name="__________wrn1">{#N/A,#N/A,FALSE,"Summary";#N/A,#N/A,FALSE,"A-01";#N/A,#N/A,FALSE,"A-03";#N/A,#N/A,FALSE,"A-04";#N/A,#N/A,FALSE,"A-06"}</definedName>
    <definedName name="_________tcm06">{"Aneh",#N/A,FALSE,"Sheet1"}</definedName>
    <definedName name="_________tcm4">{"Aneh",#N/A,FALSE,"Sheet1"}</definedName>
    <definedName name="_________wrn1">{#N/A,#N/A,FALSE,"Summary";#N/A,#N/A,FALSE,"A-01";#N/A,#N/A,FALSE,"A-03";#N/A,#N/A,FALSE,"A-04";#N/A,#N/A,FALSE,"A-06"}</definedName>
    <definedName name="________AAL1">{#N/A,#N/A,FALSE,"Summary";#N/A,#N/A,FALSE,"A-01";#N/A,#N/A,FALSE,"A-03";#N/A,#N/A,FALSE,"A-04";#N/A,#N/A,FALSE,"A-06"}</definedName>
    <definedName name="________ALA1">{#N/A,#N/A,FALSE,"Summary";#N/A,#N/A,FALSE,"A-01";#N/A,#N/A,FALSE,"A-03";#N/A,#N/A,FALSE,"A-04";#N/A,#N/A,FALSE,"A-06"}</definedName>
    <definedName name="________wrn1">{#N/A,#N/A,FALSE,"Summary";#N/A,#N/A,FALSE,"A-01";#N/A,#N/A,FALSE,"A-03";#N/A,#N/A,FALSE,"A-04";#N/A,#N/A,FALSE,"A-06"}</definedName>
    <definedName name="_______AAL1">{#N/A,#N/A,FALSE,"Summary";#N/A,#N/A,FALSE,"A-01";#N/A,#N/A,FALSE,"A-03";#N/A,#N/A,FALSE,"A-04";#N/A,#N/A,FALSE,"A-06"}</definedName>
    <definedName name="_______ALA1">{#N/A,#N/A,FALSE,"Summary";#N/A,#N/A,FALSE,"A-01";#N/A,#N/A,FALSE,"A-03";#N/A,#N/A,FALSE,"A-04";#N/A,#N/A,FALSE,"A-06"}</definedName>
    <definedName name="_______tcm06">{"Aneh",#N/A,FALSE,"Sheet1"}</definedName>
    <definedName name="_______tcm4">{"Aneh",#N/A,FALSE,"Sheet1"}</definedName>
    <definedName name="_______wrn1">{#N/A,#N/A,FALSE,"Summary";#N/A,#N/A,FALSE,"A-01";#N/A,#N/A,FALSE,"A-03";#N/A,#N/A,FALSE,"A-04";#N/A,#N/A,FALSE,"A-06"}</definedName>
    <definedName name="______AAL1">{#N/A,#N/A,FALSE,"Summary";#N/A,#N/A,FALSE,"A-01";#N/A,#N/A,FALSE,"A-03";#N/A,#N/A,FALSE,"A-04";#N/A,#N/A,FALSE,"A-06"}</definedName>
    <definedName name="______ab1">{"AHLGANDG",#N/A,FALSE,"GANDG";"OSGANDG",#N/A,FALSE,"GANDG"}</definedName>
    <definedName name="______abc1">{"AHLGANDG",#N/A,FALSE,"GANDG";"OSGANDG",#N/A,FALSE,"GANDG"}</definedName>
    <definedName name="______ALA1">{#N/A,#N/A,FALSE,"Summary";#N/A,#N/A,FALSE,"A-01";#N/A,#N/A,FALSE,"A-03";#N/A,#N/A,FALSE,"A-04";#N/A,#N/A,FALSE,"A-06"}</definedName>
    <definedName name="______rng01">ROW(#REF!)-1</definedName>
    <definedName name="______rng11">SIGN(ROW(#REF!))</definedName>
    <definedName name="______tcm06">{"Aneh",#N/A,FALSE,"Sheet1"}</definedName>
    <definedName name="______tcm4">{"Aneh",#N/A,FALSE,"Sheet1"}</definedName>
    <definedName name="______tes2">0</definedName>
    <definedName name="______tue56">{#N/A,#N/A,FALSE,"RR-T";#N/A,#N/A,FALSE,"RR-2";#N/A,#N/A,FALSE,"RR-3";#N/A,#N/A,FALSE,"RR-4";#N/A,#N/A,FALSE,"RR-5";#N/A,#N/A,FALSE,"RR-6";#N/A,#N/A,FALSE,"RR-7";#N/A,#N/A,FALSE,"RR-8"}</definedName>
    <definedName name="______wrn1">{#N/A,#N/A,FALSE,"PACK";#N/A,#N/A,FALSE,"Prod";#N/A,#N/A,FALSE,"Royprod";#N/A,#N/A,FALSE,"Liftprod";#N/A,#N/A,FALSE,"Lifts";#N/A,#N/A,FALSE,"Equity";#N/A,#N/A,FALSE,"Transp'n";#N/A,#N/A,FALSE,"Gasprices";#N/A,#N/A,FALSE,"Variances"}</definedName>
    <definedName name="______yu77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___AAL1">{#N/A,#N/A,FALSE,"Summary";#N/A,#N/A,FALSE,"A-01";#N/A,#N/A,FALSE,"A-03";#N/A,#N/A,FALSE,"A-04";#N/A,#N/A,FALSE,"A-06"}</definedName>
    <definedName name="_____ab1">{"AHLGANDG",#N/A,FALSE,"GANDG";"OSGANDG",#N/A,FALSE,"GANDG"}</definedName>
    <definedName name="_____abc1">{"AHLGANDG",#N/A,FALSE,"GANDG";"OSGANDG",#N/A,FALSE,"GANDG"}</definedName>
    <definedName name="_____ALA1">{#N/A,#N/A,FALSE,"Summary";#N/A,#N/A,FALSE,"A-01";#N/A,#N/A,FALSE,"A-03";#N/A,#N/A,FALSE,"A-04";#N/A,#N/A,FALSE,"A-06"}</definedName>
    <definedName name="_____rng01">ROW(#REF!)-1</definedName>
    <definedName name="_____rng11">SIGN(ROW(#REF!))</definedName>
    <definedName name="_____tcm06">{"Aneh",#N/A,FALSE,"Sheet1"}</definedName>
    <definedName name="_____tcm4">{"Aneh",#N/A,FALSE,"Sheet1"}</definedName>
    <definedName name="_____tes2">0</definedName>
    <definedName name="_____tue56">{#N/A,#N/A,FALSE,"RR-T";#N/A,#N/A,FALSE,"RR-2";#N/A,#N/A,FALSE,"RR-3";#N/A,#N/A,FALSE,"RR-4";#N/A,#N/A,FALSE,"RR-5";#N/A,#N/A,FALSE,"RR-6";#N/A,#N/A,FALSE,"RR-7";#N/A,#N/A,FALSE,"RR-8"}</definedName>
    <definedName name="_____wrn1">{#N/A,#N/A,FALSE,"PACK";#N/A,#N/A,FALSE,"Prod";#N/A,#N/A,FALSE,"Royprod";#N/A,#N/A,FALSE,"Liftprod";#N/A,#N/A,FALSE,"Lifts";#N/A,#N/A,FALSE,"Equity";#N/A,#N/A,FALSE,"Transp'n";#N/A,#N/A,FALSE,"Gasprices";#N/A,#N/A,FALSE,"Variances"}</definedName>
    <definedName name="_____yu77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__1__123Graph_ACHART_1">[2]OVERBURDEN!$D$25:$O$25</definedName>
    <definedName name="____10__123Graph_ACHART_21">[2]OVERBURDEN!$T$46:$U$46</definedName>
    <definedName name="____11__123Graph_ACHART_22">[2]OVERBURDEN!$T$71:$U$71</definedName>
    <definedName name="____12__123Graph_ACHART_3">[2]SUBKON!$C$41:$N$41</definedName>
    <definedName name="____13__123Graph_ACHART_4">[2]SUBKON!$C$63:$N$63</definedName>
    <definedName name="____14__123Graph_BCHART_1">[2]OVERBURDEN!$D$26:$O$26</definedName>
    <definedName name="____15__123Graph_BCHART_13">[2]MAINTENANCE!$C$35:$N$35</definedName>
    <definedName name="____16__123Graph_BCHART_15">[2]MAINTENANCE!$C$56:$H$56</definedName>
    <definedName name="____17__123Graph_BCHART_16">[2]SUBKON!$C$20:$N$20</definedName>
    <definedName name="____18__123Graph_BCHART_17">[2]OVERBURDEN!$D$47:$O$47</definedName>
    <definedName name="____19__123Graph_BCHART_18">[2]OVERBURDEN!$D$72:$O$72</definedName>
    <definedName name="____2__123Graph_ACHART_13">[2]MAINTENANCE!$C$34:$N$34</definedName>
    <definedName name="____20__123Graph_BCHART_19">[2]MAINTENANCE!$C$56:$N$56</definedName>
    <definedName name="____21__123Graph_BCHART_2">[2]MAINTENANCE!$C$17:$N$17</definedName>
    <definedName name="____22__123Graph_BCHART_20">[2]OVERBURDEN!$T$26:$U$26</definedName>
    <definedName name="____23__123Graph_BCHART_21">[2]OVERBURDEN!$T$47:$U$47</definedName>
    <definedName name="____24__123Graph_BCHART_22">[2]OVERBURDEN!$T$72:$U$72</definedName>
    <definedName name="____25__123Graph_BCHART_3">[2]SUBKON!$C$42:$N$42</definedName>
    <definedName name="____26__123Graph_BCHART_4">[2]SUBKON!$C$64:$N$64</definedName>
    <definedName name="____27__123Graph_CCHART_3">[2]SUBKON!$C$43:$N$43</definedName>
    <definedName name="____28__123Graph_CCHART_4">[2]SUBKON!$C$65:$N$65</definedName>
    <definedName name="____29__123Graph_DCHART_3">[2]SUBKON!$C$44:$N$44</definedName>
    <definedName name="____3__123Graph_ACHART_15">[2]MAINTENANCE!$C$55:$H$55</definedName>
    <definedName name="____30__123Graph_XCHART_1">[2]OVERBURDEN!$D$24:$O$24</definedName>
    <definedName name="____31__123Graph_XCHART_18">[2]OVERBURDEN!$D$70:$O$70</definedName>
    <definedName name="____32__123Graph_XCHART_21">[2]OVERBURDEN!$T$45:$U$45</definedName>
    <definedName name="____33__123Graph_XCHART_22">[2]OVERBURDEN!$T$70:$U$70</definedName>
    <definedName name="____34__123Graph_XCHART_4">[2]SUBKON!$C$62:$N$62</definedName>
    <definedName name="____4__123Graph_ACHART_16">[2]SUBKON!$C$19:$N$19</definedName>
    <definedName name="____5__123Graph_ACHART_17">[2]OVERBURDEN!$D$46:$O$46</definedName>
    <definedName name="____6__123Graph_ACHART_18">[2]OVERBURDEN!$D$71:$O$71</definedName>
    <definedName name="____7__123Graph_ACHART_19">[2]MAINTENANCE!$C$55:$N$55</definedName>
    <definedName name="____8__123Graph_ACHART_2">[2]MAINTENANCE!$C$16:$N$16</definedName>
    <definedName name="____9__123Graph_ACHART_20">[2]OVERBURDEN!$T$25:$U$25</definedName>
    <definedName name="____AAL1">{#N/A,#N/A,FALSE,"Summary";#N/A,#N/A,FALSE,"A-01";#N/A,#N/A,FALSE,"A-03";#N/A,#N/A,FALSE,"A-04";#N/A,#N/A,FALSE,"A-06"}</definedName>
    <definedName name="____ab1">{"AHLGANDG",#N/A,FALSE,"GANDG";"OSGANDG",#N/A,FALSE,"GANDG"}</definedName>
    <definedName name="____abc1">{"AHLGANDG",#N/A,FALSE,"GANDG";"OSGANDG",#N/A,FALSE,"GANDG"}</definedName>
    <definedName name="____ALA1">{#N/A,#N/A,FALSE,"Summary";#N/A,#N/A,FALSE,"A-01";#N/A,#N/A,FALSE,"A-03";#N/A,#N/A,FALSE,"A-04";#N/A,#N/A,FALSE,"A-06"}</definedName>
    <definedName name="____rng01">ROW(#REF!)-1</definedName>
    <definedName name="____rng11">SIGN(ROW(#REF!))</definedName>
    <definedName name="____tcm06">{"Aneh",#N/A,FALSE,"Sheet1"}</definedName>
    <definedName name="____tcm4">{"Aneh",#N/A,FALSE,"Sheet1"}</definedName>
    <definedName name="____tes2">0</definedName>
    <definedName name="____tue56">{#N/A,#N/A,FALSE,"RR-T";#N/A,#N/A,FALSE,"RR-2";#N/A,#N/A,FALSE,"RR-3";#N/A,#N/A,FALSE,"RR-4";#N/A,#N/A,FALSE,"RR-5";#N/A,#N/A,FALSE,"RR-6";#N/A,#N/A,FALSE,"RR-7";#N/A,#N/A,FALSE,"RR-8"}</definedName>
    <definedName name="____wrn1">{#N/A,#N/A,FALSE,"PACK";#N/A,#N/A,FALSE,"Prod";#N/A,#N/A,FALSE,"Royprod";#N/A,#N/A,FALSE,"Liftprod";#N/A,#N/A,FALSE,"Lifts";#N/A,#N/A,FALSE,"Equity";#N/A,#N/A,FALSE,"Transp'n";#N/A,#N/A,FALSE,"Gasprices";#N/A,#N/A,FALSE,"Variances"}</definedName>
    <definedName name="____xlfn.AVERAGEIF">#NAME?</definedName>
    <definedName name="____yu77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_1__123Graph_ACHART_1">[2]OVERBURDEN!$D$25:$O$25</definedName>
    <definedName name="___10__123Graph_ACHART_21">[2]OVERBURDEN!$T$46:$U$46</definedName>
    <definedName name="___11__123Graph_ACHART_22">[2]OVERBURDEN!$T$71:$U$71</definedName>
    <definedName name="___12__123Graph_ACHART_3">[2]SUBKON!$C$41:$N$41</definedName>
    <definedName name="___13__123Graph_ACHART_4">[2]SUBKON!$C$63:$N$63</definedName>
    <definedName name="___14__123Graph_BCHART_1">[2]OVERBURDEN!$D$26:$O$26</definedName>
    <definedName name="___15__123Graph_BCHART_13">[2]MAINTENANCE!$C$35:$N$35</definedName>
    <definedName name="___16__123Graph_BCHART_15">[2]MAINTENANCE!$C$56:$H$56</definedName>
    <definedName name="___17__123Graph_BCHART_16">[2]SUBKON!$C$20:$N$20</definedName>
    <definedName name="___18__123Graph_BCHART_17">[2]OVERBURDEN!$D$47:$O$47</definedName>
    <definedName name="___19__123Graph_BCHART_18">[2]OVERBURDEN!$D$72:$O$72</definedName>
    <definedName name="___2__123Graph_ACHART_13">[2]MAINTENANCE!$C$34:$N$34</definedName>
    <definedName name="___20__123Graph_BCHART_19">[2]MAINTENANCE!$C$56:$N$56</definedName>
    <definedName name="___21__123Graph_BCHART_2">[2]MAINTENANCE!$C$17:$N$17</definedName>
    <definedName name="___22__123Graph_BCHART_20">[2]OVERBURDEN!$T$26:$U$26</definedName>
    <definedName name="___23__123Graph_BCHART_21">[2]OVERBURDEN!$T$47:$U$47</definedName>
    <definedName name="___24__123Graph_BCHART_22">[2]OVERBURDEN!$T$72:$U$72</definedName>
    <definedName name="___25__123Graph_BCHART_3">[2]SUBKON!$C$42:$N$42</definedName>
    <definedName name="___26__123Graph_BCHART_4">[2]SUBKON!$C$64:$N$64</definedName>
    <definedName name="___27__123Graph_CCHART_3">[2]SUBKON!$C$43:$N$43</definedName>
    <definedName name="___28__123Graph_CCHART_4">[2]SUBKON!$C$65:$N$65</definedName>
    <definedName name="___29__123Graph_DCHART_3">[2]SUBKON!$C$44:$N$44</definedName>
    <definedName name="___3__123Graph_ACHART_15">[2]MAINTENANCE!$C$55:$H$55</definedName>
    <definedName name="___30__123Graph_XCHART_1">[2]OVERBURDEN!$D$24:$O$24</definedName>
    <definedName name="___31__123Graph_XCHART_18">[2]OVERBURDEN!$D$70:$O$70</definedName>
    <definedName name="___32__123Graph_XCHART_21">[2]OVERBURDEN!$T$45:$U$45</definedName>
    <definedName name="___33__123Graph_XCHART_22">[2]OVERBURDEN!$T$70:$U$70</definedName>
    <definedName name="___34__123Graph_XCHART_4">[2]SUBKON!$C$62:$N$62</definedName>
    <definedName name="___4__123Graph_ACHART_16">[2]SUBKON!$C$19:$N$19</definedName>
    <definedName name="___5__123Graph_ACHART_17">[2]OVERBURDEN!$D$46:$O$46</definedName>
    <definedName name="___6__123Graph_ACHART_18">[2]OVERBURDEN!$D$71:$O$71</definedName>
    <definedName name="___7__123Graph_ACHART_19">[2]MAINTENANCE!$C$55:$N$55</definedName>
    <definedName name="___8__123Graph_ACHART_2">[2]MAINTENANCE!$C$16:$N$16</definedName>
    <definedName name="___9__123Graph_ACHART_20">[2]OVERBURDEN!$T$25:$U$25</definedName>
    <definedName name="___AAL1">{#N/A,#N/A,FALSE,"Summary";#N/A,#N/A,FALSE,"A-01";#N/A,#N/A,FALSE,"A-03";#N/A,#N/A,FALSE,"A-04";#N/A,#N/A,FALSE,"A-06"}</definedName>
    <definedName name="___ab1">{"AHLGANDG",#N/A,FALSE,"GANDG";"OSGANDG",#N/A,FALSE,"GANDG"}</definedName>
    <definedName name="___abc1">{"AHLGANDG",#N/A,FALSE,"GANDG";"OSGANDG",#N/A,FALSE,"GANDG"}</definedName>
    <definedName name="___ALA1">{#N/A,#N/A,FALSE,"Summary";#N/A,#N/A,FALSE,"A-01";#N/A,#N/A,FALSE,"A-03";#N/A,#N/A,FALSE,"A-04";#N/A,#N/A,FALSE,"A-06"}</definedName>
    <definedName name="___rng01">ROW(#REF!)-1</definedName>
    <definedName name="___rng11">SIGN(ROW(#REF!))</definedName>
    <definedName name="___tcm06">{"Aneh",#N/A,FALSE,"Sheet1"}</definedName>
    <definedName name="___tcm4">{"Aneh",#N/A,FALSE,"Sheet1"}</definedName>
    <definedName name="___tes2">0</definedName>
    <definedName name="___tue56">{#N/A,#N/A,FALSE,"RR-T";#N/A,#N/A,FALSE,"RR-2";#N/A,#N/A,FALSE,"RR-3";#N/A,#N/A,FALSE,"RR-4";#N/A,#N/A,FALSE,"RR-5";#N/A,#N/A,FALSE,"RR-6";#N/A,#N/A,FALSE,"RR-7";#N/A,#N/A,FALSE,"RR-8"}</definedName>
    <definedName name="___wrn1">{#N/A,#N/A,FALSE,"PACK";#N/A,#N/A,FALSE,"Prod";#N/A,#N/A,FALSE,"Royprod";#N/A,#N/A,FALSE,"Liftprod";#N/A,#N/A,FALSE,"Lifts";#N/A,#N/A,FALSE,"Equity";#N/A,#N/A,FALSE,"Transp'n";#N/A,#N/A,FALSE,"Gasprices";#N/A,#N/A,FALSE,"Variances"}</definedName>
    <definedName name="___xlfn.AVERAGEIF">#NAME?</definedName>
    <definedName name="___yu77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1__123Graph_ACHART_1">[2]OVERBURDEN!$D$25:$O$25</definedName>
    <definedName name="__10__123Graph_ACHART_21">[2]OVERBURDEN!$T$46:$U$46</definedName>
    <definedName name="__11__123Graph_ACHART_22">[2]OVERBURDEN!$T$71:$U$71</definedName>
    <definedName name="__12__123Graph_ACHART_3">[2]SUBKON!$C$41:$N$41</definedName>
    <definedName name="__123Graph_A">[3]Graphs!$C$8:$C$18</definedName>
    <definedName name="__123Graph_AGRAPH1">[3]Graphs!$C$8:$C$18</definedName>
    <definedName name="__123Graph_AGRAPH2">[3]Summary!#REF!</definedName>
    <definedName name="__123Graph_AGRAPH3">[3]Summary!#REF!</definedName>
    <definedName name="__123Graph_AWEAKNESS">'[4]ocean voyage'!#REF!</definedName>
    <definedName name="__123Graph_B">[3]Graphs!$E$8:$E$18</definedName>
    <definedName name="__123Graph_BGRAPH1">[3]Graphs!$E$8:$E$18</definedName>
    <definedName name="__123Graph_C">[3]Graphs!$G$8:$G$18</definedName>
    <definedName name="__123Graph_CCHART1">'[5]Trading Statement'!#REF!</definedName>
    <definedName name="__123Graph_CCHART10">'[5]Trading Statement'!#REF!</definedName>
    <definedName name="__123Graph_CCHART11">'[5]Trading Statement'!#REF!</definedName>
    <definedName name="__123Graph_CCHART12">'[5]Trading Statement'!#REF!</definedName>
    <definedName name="__123Graph_CCHART13">'[5]Trading Statement'!#REF!</definedName>
    <definedName name="__123Graph_CCHART14">'[5]Trading Statement'!#REF!</definedName>
    <definedName name="__123Graph_CCHART15">'[5]Trading Statement'!#REF!</definedName>
    <definedName name="__123Graph_CCHART16">'[5]Trading Statement'!#REF!</definedName>
    <definedName name="__123Graph_CCHART17">'[5]Trading Statement'!#REF!</definedName>
    <definedName name="__123Graph_CCHART18">'[5]Trading Statement'!#REF!</definedName>
    <definedName name="__123Graph_CCHART19">'[5]Trading Statement'!#REF!</definedName>
    <definedName name="__123Graph_CCHART2">'[5]Trading Statement'!#REF!</definedName>
    <definedName name="__123Graph_CCHART20">'[5]Trading Statement'!#REF!</definedName>
    <definedName name="__123Graph_CCHART21">'[5]Trading Statement'!#REF!</definedName>
    <definedName name="__123Graph_CCHART22">'[5]Trading Statement'!#REF!</definedName>
    <definedName name="__123Graph_CCHART23">'[5]Trading Statement'!#REF!</definedName>
    <definedName name="__123Graph_CCHART24">'[5]Trading Statement'!#REF!</definedName>
    <definedName name="__123Graph_CCHART25">'[5]Trading Statement'!#REF!</definedName>
    <definedName name="__123Graph_CCHART26">'[5]Trading Statement'!#REF!</definedName>
    <definedName name="__123Graph_CCHART27">'[5]Trading Statement'!#REF!</definedName>
    <definedName name="__123Graph_CCHART28">'[5]Trading Statement'!#REF!</definedName>
    <definedName name="__123Graph_CCHART29">'[5]Trading Statement'!#REF!</definedName>
    <definedName name="__123Graph_CCHART3">'[5]Trading Statement'!#REF!</definedName>
    <definedName name="__123Graph_CCHART30">'[5]Trading Statement'!#REF!</definedName>
    <definedName name="__123Graph_CCHART31">'[5]Trading Statement'!#REF!</definedName>
    <definedName name="__123Graph_CCHART32">'[5]Trading Statement'!#REF!</definedName>
    <definedName name="__123Graph_CCHART33">'[5]Trading Statement'!#REF!</definedName>
    <definedName name="__123Graph_CCHART34">'[5]Trading Statement'!#REF!</definedName>
    <definedName name="__123Graph_CCHART35">'[5]Trading Statement'!#REF!</definedName>
    <definedName name="__123Graph_CCHART36">'[5]Trading Statement'!#REF!</definedName>
    <definedName name="__123Graph_CCHART37">'[5]Trading Statement'!#REF!</definedName>
    <definedName name="__123Graph_CCHART38">'[5]Trading Statement'!#REF!</definedName>
    <definedName name="__123Graph_CCHART39">'[5]Trading Statement'!#REF!</definedName>
    <definedName name="__123Graph_CCHART4">'[5]Trading Statement'!#REF!</definedName>
    <definedName name="__123Graph_CCHART40">'[5]Trading Statement'!#REF!</definedName>
    <definedName name="__123Graph_CCHART41">'[5]Trading Statement'!#REF!</definedName>
    <definedName name="__123Graph_CCHART42">'[5]Trading Statement'!#REF!</definedName>
    <definedName name="__123Graph_CCHART47">'[5]Trading Statement'!#REF!</definedName>
    <definedName name="__123Graph_CCHART48">'[5]Trading Statement'!#REF!</definedName>
    <definedName name="__123Graph_CCHART49">'[5]Trading Statement'!#REF!</definedName>
    <definedName name="__123Graph_CCHART5">'[5]Trading Statement'!#REF!</definedName>
    <definedName name="__123Graph_CCHART50">'[5]Trading Statement'!#REF!</definedName>
    <definedName name="__123Graph_CCHART51">'[5]Trading Statement'!#REF!</definedName>
    <definedName name="__123Graph_CCHART52">'[5]Trading Statement'!#REF!</definedName>
    <definedName name="__123Graph_CCHART53">'[5]Trading Statement'!#REF!</definedName>
    <definedName name="__123Graph_CCHART54">'[5]Trading Statement'!#REF!</definedName>
    <definedName name="__123Graph_CCHART55">'[5]Trading Statement'!#REF!</definedName>
    <definedName name="__123Graph_CCHART56">'[5]Trading Statement'!#REF!</definedName>
    <definedName name="__123Graph_CCHART57">'[5]Trading Statement'!#REF!</definedName>
    <definedName name="__123Graph_CCHART58">'[5]Trading Statement'!#REF!</definedName>
    <definedName name="__123Graph_CCHART59">'[5]Trading Statement'!#REF!</definedName>
    <definedName name="__123Graph_CCHART6">'[5]Trading Statement'!#REF!</definedName>
    <definedName name="__123Graph_CCHART60">'[5]Trading Statement'!#REF!</definedName>
    <definedName name="__123Graph_CCHART7">'[5]Trading Statement'!#REF!</definedName>
    <definedName name="__123Graph_CCHART8">'[5]Trading Statement'!#REF!</definedName>
    <definedName name="__123Graph_CCHART9">'[5]Trading Statement'!#REF!</definedName>
    <definedName name="__123Graph_CCURRENT">'[5]Trading Statement'!#REF!</definedName>
    <definedName name="__123Graph_CGRAPH1">[3]Graphs!$G$8:$G$18</definedName>
    <definedName name="__123Graph_D">[6]SEX!$P$7:$P$7</definedName>
    <definedName name="__123Graph_DGRAPH1">[3]Graphs!$I$8:$I$18</definedName>
    <definedName name="__123Graph_E">[3]Graphs!$K$8:$K$18</definedName>
    <definedName name="__123Graph_EGRAPH1">[3]Graphs!$K$8:$K$18</definedName>
    <definedName name="__123Graph_LBL_AWEAKNESS">'[4]ocean voyage'!#REF!</definedName>
    <definedName name="__123Graph_X">[3]Graphs!$B$8:$B$18</definedName>
    <definedName name="__123Graph_XChart1">'[7]22861'!#REF!</definedName>
    <definedName name="__123Graph_XCurrent">'[7]22861'!#REF!</definedName>
    <definedName name="__123Graph_XGRAPH1">[3]Graphs!$B$8:$B$18</definedName>
    <definedName name="__123Graph_XGRAPH3">[3]Summary!#REF!</definedName>
    <definedName name="__123Graph_XWEAKNESS">'[4]ocean voyage'!#REF!</definedName>
    <definedName name="__13__123Graph_ACHART_4">[2]SUBKON!$C$63:$N$63</definedName>
    <definedName name="__14__123Graph_BCHART_1">[2]OVERBURDEN!$D$26:$O$26</definedName>
    <definedName name="__15__123Graph_BCHART_13">[2]MAINTENANCE!$C$35:$N$35</definedName>
    <definedName name="__16__123Graph_BCHART_15">[2]MAINTENANCE!$C$56:$H$56</definedName>
    <definedName name="__17__123Graph_BCHART_16">[2]SUBKON!$C$20:$N$20</definedName>
    <definedName name="__18__123Graph_BCHART_17">[2]OVERBURDEN!$D$47:$O$47</definedName>
    <definedName name="__19__123Graph_BCHART_18">[2]OVERBURDEN!$D$72:$O$72</definedName>
    <definedName name="__2__123Graph_ACHART_13">[2]MAINTENANCE!$C$34:$N$34</definedName>
    <definedName name="__2__123Graph_BCHART_1">'[8]1999'!#REF!</definedName>
    <definedName name="__20__123Graph_BCHART_19">[2]MAINTENANCE!$C$56:$N$56</definedName>
    <definedName name="__21__123Graph_BCHART_2">[2]MAINTENANCE!$C$17:$N$17</definedName>
    <definedName name="__22__123Graph_BCHART_20">[2]OVERBURDEN!$T$26:$U$26</definedName>
    <definedName name="__23__123Graph_BCHART_21">[2]OVERBURDEN!$T$47:$U$47</definedName>
    <definedName name="__24__123Graph_BCHART_22">[2]OVERBURDEN!$T$72:$U$72</definedName>
    <definedName name="__25__123Graph_BCHART_3">[2]SUBKON!$C$42:$N$42</definedName>
    <definedName name="__26__123Graph_BCHART_4">[2]SUBKON!$C$64:$N$64</definedName>
    <definedName name="__27__123Graph_CCHART_3">[2]SUBKON!$C$43:$N$43</definedName>
    <definedName name="__28__123Graph_CCHART_4">[2]SUBKON!$C$65:$N$65</definedName>
    <definedName name="__29__123Graph_DCHART_3">[2]SUBKON!$C$44:$N$44</definedName>
    <definedName name="__3__123Graph_ACHART_15">[2]MAINTENANCE!$C$55:$H$55</definedName>
    <definedName name="__3__123Graph_XCHART_1">'[8]1999'!#REF!</definedName>
    <definedName name="__30__123Graph_XCHART_1">[2]OVERBURDEN!$D$24:$O$24</definedName>
    <definedName name="__31__123Graph_XCHART_18">[2]OVERBURDEN!$D$70:$O$70</definedName>
    <definedName name="__32__123Graph_XCHART_21">[2]OVERBURDEN!$T$45:$U$45</definedName>
    <definedName name="__33__123Graph_XCHART_22">[2]OVERBURDEN!$T$70:$U$70</definedName>
    <definedName name="__34__123Graph_XCHART_4">[2]SUBKON!$C$62:$N$62</definedName>
    <definedName name="__4__123Graph_ACHART_16">[2]SUBKON!$C$19:$N$19</definedName>
    <definedName name="__5__123Graph_ACHART_17">[2]OVERBURDEN!$D$46:$O$46</definedName>
    <definedName name="__6__123Graph_ACHART_18">[2]OVERBURDEN!$D$71:$O$71</definedName>
    <definedName name="__7__123Graph_ACHART_19">[2]MAINTENANCE!$C$55:$N$55</definedName>
    <definedName name="__8__123Graph_ACHART_2">[2]MAINTENANCE!$C$16:$N$16</definedName>
    <definedName name="__9__123Graph_ACHART_20">[2]OVERBURDEN!$T$25:$U$25</definedName>
    <definedName name="__AAL1">{#N/A,#N/A,FALSE,"Summary";#N/A,#N/A,FALSE,"A-01";#N/A,#N/A,FALSE,"A-03";#N/A,#N/A,FALSE,"A-04";#N/A,#N/A,FALSE,"A-06"}</definedName>
    <definedName name="__ab1">{"AHLGANDG",#N/A,FALSE,"GANDG";"OSGANDG",#N/A,FALSE,"GANDG"}</definedName>
    <definedName name="__abc1">{"AHLGANDG",#N/A,FALSE,"GANDG";"OSGANDG",#N/A,FALSE,"GANDG"}</definedName>
    <definedName name="__ALA1">{#N/A,#N/A,FALSE,"Summary";#N/A,#N/A,FALSE,"A-01";#N/A,#N/A,FALSE,"A-03";#N/A,#N/A,FALSE,"A-04";#N/A,#N/A,FALSE,"A-06"}</definedName>
    <definedName name="__FDS_HYPERLINK_TOGGLE_STATE__">"ON"</definedName>
    <definedName name="__FDS_UNIQUE_RANGE_ID_GENERATOR_COUNTER">55</definedName>
    <definedName name="__FDS_USED_FOR_REUSING_RANGE_IDS_RECYCLE">{17,17,17,17,17,17,17,17,17,17,17,17,17,17,17,17,17,17,17,17,17,17,17,17,17}</definedName>
    <definedName name="__IntlFixup">TRUE</definedName>
    <definedName name="__Key1">[9]shipping_program!#REF!</definedName>
    <definedName name="__rng01">ROW(#REF!)-1</definedName>
    <definedName name="__rng11">SIGN(ROW(#REF!))</definedName>
    <definedName name="__S13">{"gyprint",#N/A,FALSE,"Goonyella";"rvprint",#N/A,FALSE,"Riverside"}</definedName>
    <definedName name="__shared_1_0_1">IF(#REF!="","",IF(OR(#REF!="Continue",#REF!="Close"),"N/A",NOW()-#REF!))</definedName>
    <definedName name="__shared_1_0_3">IF(#REF!="","",IF(OR(#REF!="Continue",#REF!="Close"),"N/A",NOW()-#REF!))</definedName>
    <definedName name="__shared_2_0_1">IF(#REF!="","",IF(OR(#REF!="Continue",#REF!="Close"),"N/A",NOW()-#REF!))</definedName>
    <definedName name="__shared_2_0_3">IF(#REF!="","",IF(OR(#REF!="Continue",#REF!="Close"),"N/A",NOW()-#REF!))</definedName>
    <definedName name="__tcm06">{"Aneh",#N/A,FALSE,"Sheet1"}</definedName>
    <definedName name="__tcm4">{"Aneh",#N/A,FALSE,"Sheet1"}</definedName>
    <definedName name="__tes2">0</definedName>
    <definedName name="__tue56">{#N/A,#N/A,FALSE,"RR-T";#N/A,#N/A,FALSE,"RR-2";#N/A,#N/A,FALSE,"RR-3";#N/A,#N/A,FALSE,"RR-4";#N/A,#N/A,FALSE,"RR-5";#N/A,#N/A,FALSE,"RR-6";#N/A,#N/A,FALSE,"RR-7";#N/A,#N/A,FALSE,"RR-8"}</definedName>
    <definedName name="__wrn1">{#N/A,#N/A,FALSE,"PACK";#N/A,#N/A,FALSE,"Prod";#N/A,#N/A,FALSE,"Royprod";#N/A,#N/A,FALSE,"Liftprod";#N/A,#N/A,FALSE,"Lifts";#N/A,#N/A,FALSE,"Equity";#N/A,#N/A,FALSE,"Transp'n";#N/A,#N/A,FALSE,"Gasprices";#N/A,#N/A,FALSE,"Variances"}</definedName>
    <definedName name="__wrn2">{#N/A,#N/A,FALSE,"Summary";#N/A,#N/A,FALSE,"A-01";#N/A,#N/A,FALSE,"A-03";#N/A,#N/A,FALSE,"A-04";#N/A,#N/A,FALSE,"A-06"}</definedName>
    <definedName name="__xlfn.AVERAGEIF">#NAME?</definedName>
    <definedName name="__xlfn.IFERROR">#NAME?</definedName>
    <definedName name="__xlfn.Z.TEST">#NAME?</definedName>
    <definedName name="__yu77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001">NA()</definedName>
    <definedName name="_01.PREOP">NA()</definedName>
    <definedName name="_01.PROD_LATI">NA()</definedName>
    <definedName name="_02.PROD_BIN">NA()</definedName>
    <definedName name="_03.SHIPPING">NA()</definedName>
    <definedName name="_04.OPT_EXP">NA()</definedName>
    <definedName name="_1_____123Graph_AChart_1A">[10]PRO_COAL!$E$33:$P$33</definedName>
    <definedName name="_1__123Graph_ACHART_1">'[11]1999'!#REF!</definedName>
    <definedName name="_1__123Graph_AChart_1A">[10]PRO_COAL!$E$33:$P$33</definedName>
    <definedName name="_10____123Graph_XChart_1A">[10]PRO_COAL!$E$32:$P$32</definedName>
    <definedName name="_10__123Graph_ACHART_21">[2]OVERBURDEN!$T$46:$U$46</definedName>
    <definedName name="_10__123Graph_BCHART_1">'[8]1999'!#REF!</definedName>
    <definedName name="_10__123Graph_BDAILY_COAL_PROD">'[12]BANKO pit 1'!$I$14:$I$14</definedName>
    <definedName name="_11__123Graph_ACHART_22">[2]OVERBURDEN!$T$71:$U$71</definedName>
    <definedName name="_11__123Graph_XCHART_4">'[12]BANKO pit 1'!$A$14:$A$44</definedName>
    <definedName name="_12__123Graph_ACHART_3">[2]SUBKON!$C$41:$N$41</definedName>
    <definedName name="_12__123Graph_BCHART_1">'[8]1999'!#REF!</definedName>
    <definedName name="_12__123Graph_XCHART_1">[13]Sheet1!#REF!</definedName>
    <definedName name="_13__123Graph_ACHART_4">[2]SUBKON!$C$63:$N$63</definedName>
    <definedName name="_14__123Graph_ACHART_1">[13]Sheet1!#REF!</definedName>
    <definedName name="_14__123Graph_BCHART_1">[2]OVERBURDEN!$D$26:$O$26</definedName>
    <definedName name="_15__123Graph_BCHART_13">[2]MAINTENANCE!$C$35:$N$35</definedName>
    <definedName name="_15__123Graph_XCHART_1">'[8]1999'!#REF!</definedName>
    <definedName name="_16__123Graph_BCHART_15">[2]MAINTENANCE!$C$56:$H$56</definedName>
    <definedName name="_17__123Graph_BCHART_16">[2]SUBKON!$C$20:$N$20</definedName>
    <definedName name="_18__123Graph_BCHART_1">[13]Sheet1!#REF!</definedName>
    <definedName name="_18__123Graph_BCHART_17">[2]OVERBURDEN!$D$47:$O$47</definedName>
    <definedName name="_18__123Graph_XCHART_1">'[8]1999'!#REF!</definedName>
    <definedName name="_19__123Graph_BCHART_18">[2]OVERBURDEN!$D$72:$O$72</definedName>
    <definedName name="_2.1">[14]ANALISA!#REF!</definedName>
    <definedName name="_2.3.3">[14]ANALISA!#REF!</definedName>
    <definedName name="_2_____123Graph_BChart_1A">[10]PRO_COAL!$E$34:$P$34</definedName>
    <definedName name="_2__123Graph_ACHART_12">[15]MTBU!$D$14:$D$43</definedName>
    <definedName name="_2__123Graph_BCHART_1">'[11]1999'!#REF!</definedName>
    <definedName name="_2__123Graph_BChart_1A">[10]PRO_COAL!$E$34:$P$34</definedName>
    <definedName name="_2__123Graph_LBL_ACHART_1">'[16]BENCH CALC'!$B$7:$B$22</definedName>
    <definedName name="_2_2_SummaryByMonth2">[17]BUMA!$A$1:$O$20</definedName>
    <definedName name="_2_May_12">[18]SPK!#REF!</definedName>
    <definedName name="_23__123Graph_BCHART_21">[2]OVERBURDEN!$T$47:$U$47</definedName>
    <definedName name="_24__123Graph_BCHART_22">[2]OVERBURDEN!$T$72:$U$72</definedName>
    <definedName name="_25__123Graph_BCHART_3">[2]SUBKON!$C$42:$N$42</definedName>
    <definedName name="_26__123Graph_BCHART_4">[2]SUBKON!$C$64:$N$64</definedName>
    <definedName name="_27__123Graph_CCHART_3">[2]SUBKON!$C$43:$N$43</definedName>
    <definedName name="_27__123Graph_XCHART_1">[13]Sheet1!#REF!</definedName>
    <definedName name="_28__123Graph_BCHART_1">[13]Sheet1!#REF!</definedName>
    <definedName name="_28__123Graph_CCHART_4">[2]SUBKON!$C$65:$N$65</definedName>
    <definedName name="_29__123Graph_DCHART_3">[2]SUBKON!$C$44:$N$44</definedName>
    <definedName name="_3.2.2">[14]ANALISA!#REF!</definedName>
    <definedName name="_3.3">[14]ANALISA!#REF!</definedName>
    <definedName name="_3_____123Graph_CChart_1A">[10]PRO_COAL!$E$35:$P$35</definedName>
    <definedName name="_3__123Graph_ACHART_1">'[8]1999'!#REF!</definedName>
    <definedName name="_3__123Graph_ACHART_13">'[19]SR MTBU'!$D$14:$D$43</definedName>
    <definedName name="_3__123Graph_ACHART_15">[2]MAINTENANCE!$C$55:$H$55</definedName>
    <definedName name="_3__123Graph_CChart_1A">[10]PRO_COAL!$E$35:$P$35</definedName>
    <definedName name="_3__123Graph_XCHART_1">'[11]1999'!#REF!</definedName>
    <definedName name="_30__123Graph_XCHART_1">[2]OVERBURDEN!$D$24:$O$24</definedName>
    <definedName name="_31__123Graph_XCHART_18">[2]OVERBURDEN!$D$70:$O$70</definedName>
    <definedName name="_32__123Graph_XCHART_21">[2]OVERBURDEN!$T$45:$U$45</definedName>
    <definedName name="_33__123Graph_XCHART_22">[2]OVERBURDEN!$T$70:$U$70</definedName>
    <definedName name="_34__123Graph_XCHART_4">[2]SUBKON!$C$62:$N$62</definedName>
    <definedName name="_4_____123Graph_DChart_1A">[10]PRO_COAL!$E$36:$P$36</definedName>
    <definedName name="_4__123Graph_ACHART_1">[13]Sheet1!#REF!</definedName>
    <definedName name="_4__123Graph_ACHART_16">[2]SUBKON!$C$19:$N$19</definedName>
    <definedName name="_4__123Graph_ACHART_4">'[12]BANKO pit 1'!$D$14:$D$44</definedName>
    <definedName name="_4__123Graph_DChart_1A">[10]PRO_COAL!$E$36:$P$36</definedName>
    <definedName name="_42__123Graph_XCHART_1">[13]Sheet1!#REF!</definedName>
    <definedName name="_4A3_">{#N/A,#N/A,FALSE,"단축1";#N/A,#N/A,FALSE,"단축2";#N/A,#N/A,FALSE,"단축3";#N/A,#N/A,FALSE,"장축";#N/A,#N/A,FALSE,"4WD"}</definedName>
    <definedName name="_5">'[1]98인원계획'!#REF!</definedName>
    <definedName name="_5.1">[14]ANALISA!#REF!</definedName>
    <definedName name="_5.1.2">[14]ANALISA!#REF!</definedName>
    <definedName name="_5_____123Graph_XChart_1A">[10]PRO_COAL!$E$32:$P$32</definedName>
    <definedName name="_5__123Graph_ACHART_1">'[8]1999'!#REF!</definedName>
    <definedName name="_5__123Graph_ACHART_17">[2]OVERBURDEN!$D$46:$O$46</definedName>
    <definedName name="_5__123Graph_ADAILY_COAL_PROD">'[12]BANKO pit 1'!$H$14:$H$44</definedName>
    <definedName name="_5__123Graph_XChart_1A">[10]PRO_COAL!$E$32:$P$32</definedName>
    <definedName name="_6">'[1]98인원계획'!#REF!</definedName>
    <definedName name="_6.1.1">[14]ANALISA!#REF!</definedName>
    <definedName name="_6____123Graph_AChart_1A">[10]PRO_COAL!$E$33:$P$33</definedName>
    <definedName name="_6__123Graph_ACHART_1">'[8]1999'!#REF!</definedName>
    <definedName name="_6__123Graph_ACHART_18">[2]OVERBURDEN!$D$71:$O$71</definedName>
    <definedName name="_6__123Graph_BCHART_1">[15]MTBU!$I$14:$I$14</definedName>
    <definedName name="_7.4">[14]ANALISA!#REF!</definedName>
    <definedName name="_7____123Graph_BChart_1A">[10]PRO_COAL!$E$34:$P$34</definedName>
    <definedName name="_7__123Graph_ACHART_19">[2]MAINTENANCE!$C$55:$N$55</definedName>
    <definedName name="_7__123Graph_BCHART_12">[15]MTBU!$E$14:$E$14</definedName>
    <definedName name="_8.1.7">[14]ANALISA!#REF!</definedName>
    <definedName name="_8____123Graph_CChart_1A">[10]PRO_COAL!$E$35:$P$35</definedName>
    <definedName name="_8__123Graph_ACHART_2">[2]MAINTENANCE!$C$16:$N$16</definedName>
    <definedName name="_8__123Graph_BCHART_1">[13]Sheet1!#REF!</definedName>
    <definedName name="_8__123Graph_BCHART_13">'[19]SR MTBU'!$E$14:$E$14</definedName>
    <definedName name="_8B3_">{#N/A,#N/A,FALSE,"단축1";#N/A,#N/A,FALSE,"단축2";#N/A,#N/A,FALSE,"단축3";#N/A,#N/A,FALSE,"장축";#N/A,#N/A,FALSE,"4WD"}</definedName>
    <definedName name="_9____123Graph_DChart_1A">[10]PRO_COAL!$E$36:$P$36</definedName>
    <definedName name="_9__123Graph_ACHART_1">[13]Sheet1!#REF!</definedName>
    <definedName name="_9__123Graph_ACHART_20">[2]OVERBURDEN!$T$25:$U$25</definedName>
    <definedName name="_9__123Graph_BCHART_4">'[12]BANKO pit 1'!$E$14:$E$14</definedName>
    <definedName name="_9__123Graph_XCHART_1">'[8]1999'!#REF!</definedName>
    <definedName name="_AAL1">{#N/A,#N/A,FALSE,"Summary";#N/A,#N/A,FALSE,"A-01";#N/A,#N/A,FALSE,"A-03";#N/A,#N/A,FALSE,"A-04";#N/A,#N/A,FALSE,"A-06"}</definedName>
    <definedName name="_ab1">{"AHLGANDG",#N/A,FALSE,"GANDG";"OSGANDG",#N/A,FALSE,"GANDG"}</definedName>
    <definedName name="_abc1">{"AHLGANDG",#N/A,FALSE,"GANDG";"OSGANDG",#N/A,FALSE,"GANDG"}</definedName>
    <definedName name="_adasdad">[13]Sheet1!#REF!</definedName>
    <definedName name="_adi1">{#N/A,#N/A,FALSE,"Summary";#N/A,#N/A,FALSE,"A-01";#N/A,#N/A,FALSE,"A-03";#N/A,#N/A,FALSE,"A-04";#N/A,#N/A,FALSE,"A-06"}</definedName>
    <definedName name="_ALA1">{#N/A,#N/A,FALSE,"Summary";#N/A,#N/A,FALSE,"A-01";#N/A,#N/A,FALSE,"A-03";#N/A,#N/A,FALSE,"A-04";#N/A,#N/A,FALSE,"A-06"}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t">"Glenn Luk, Deutsche Bank AG"</definedName>
    <definedName name="_Backlog">[20]KPI!$C$157:$AF$159</definedName>
    <definedName name="_BDUns">[20]KPI!$C$170:$AF$173</definedName>
    <definedName name="_Dec06">{"gyprint",#N/A,FALSE,"Goonyella";"rvprint",#N/A,FALSE,"Riverside"}</definedName>
    <definedName name="_Eqp_List">[20]KPI!$C$12:$C$39</definedName>
    <definedName name="_F1">{#N/A,#N/A,FALSE,"CCTV"}</definedName>
    <definedName name="_Fill">[21]KAMPAR!$A$12:$A$51</definedName>
    <definedName name="_Fill_4">NA()</definedName>
    <definedName name="_hs4">{"notes",#N/A,FALSE,"NPV";"notes",#N/A,FALSE,"VO";"notes",#N/A,FALSE,"PC"}</definedName>
    <definedName name="_hs5">{#N/A,#N/A,FALSE,"Summary";#N/A,#N/A,FALSE,"A-01";#N/A,#N/A,FALSE,"A-03";#N/A,#N/A,FALSE,"A-04";#N/A,#N/A,FALSE,"A-06"}</definedName>
    <definedName name="_hse1">{#N/A,#N/A,FALSE,"Notes";#N/A,#N/A,FALSE,"JOB";#N/A,#N/A,FALSE,"CONTRACTS";"show all",#N/A,FALSE,"PAYMENTS";"show all",#N/A,FALSE,"VARIATIONS";#N/A,#N/A,FALSE,"NPV";#N/A,#N/A,FALSE,"VO";#N/A,#N/A,FALSE,"PC";"SHOW ALL",#N/A,FALSE,"COST REPORT"}</definedName>
    <definedName name="_hse2">{"report",#N/A,FALSE,"PAYMENTS";"report",#N/A,FALSE,"VARIATIONS";"COSTS",#N/A,FALSE,"COST REPORT";"FLOW",#N/A,FALSE,"COST REPORT"}</definedName>
    <definedName name="_L40">{"gyprint",#N/A,FALSE,"Goonyella";"rvprint",#N/A,FALSE,"Riverside"}</definedName>
    <definedName name="_L50">{"gyprint",#N/A,FALSE,"Goonyella";"rvprint",#N/A,FALSE,"Riverside"}</definedName>
    <definedName name="_LA250">"$#REF!.$CB$12:$CG$221"</definedName>
    <definedName name="_LA500">"$#REF!.$CB$12:$CH$221"</definedName>
    <definedName name="_LC1000">"$#REF!.$CI$12:$CI$221"</definedName>
    <definedName name="_LC2000">"$#REF!.$CJ$12:$CJ$221"</definedName>
    <definedName name="_LC250">"$#REF!.$CG$12:$CG$221"</definedName>
    <definedName name="_LC500">"$#REF!.$CH$12:$CH$221"</definedName>
    <definedName name="_MA">[20]KPI!#REF!</definedName>
    <definedName name="_MechanicAvailabilityUpdate">[20]KPI!$C$241:$AF$259</definedName>
    <definedName name="_MP2">[22]MP!$A$1:$D$65536</definedName>
    <definedName name="_MTBF">[20]KPI!$C$60:$AF$87</definedName>
    <definedName name="_MTTR">[20]KPI!$C$89:$AF$116</definedName>
    <definedName name="_Oil_Cons">[20]KPI!#REF!</definedName>
    <definedName name="_Order1">255</definedName>
    <definedName name="_Order2">255</definedName>
    <definedName name="_PA">[20]KPI!$C$11:$AF$58</definedName>
    <definedName name="_POL98">'[23]POL - 98'!$A$14:$B$79</definedName>
    <definedName name="_RedoPS">[20]KPI!#REF!</definedName>
    <definedName name="_Regression_Int">1</definedName>
    <definedName name="_RMCost">[20]KPI!$C$175:$AF$239</definedName>
    <definedName name="_RMCost_PerHrs">[20]KPI!#REF!</definedName>
    <definedName name="_rng01">ROW(#REF!)-1</definedName>
    <definedName name="_rng11">SIGN(ROW(#REF!))</definedName>
    <definedName name="_S13">{"gyprint",#N/A,FALSE,"Goonyella";"rvprint",#N/A,FALSE,"Riverside"}</definedName>
    <definedName name="_sep06">{"gyprint",#N/A,FALSE,"Goonyella";"rvprint",#N/A,FALSE,"Riverside"}</definedName>
    <definedName name="_Sorty">[24]Fixset!#REF!</definedName>
    <definedName name="_T314999">NA()</definedName>
    <definedName name="_Table1_In1">[3]Graphs!$K$5</definedName>
    <definedName name="_Table1_Out">[3]Graphs!$J$7:$K$18</definedName>
    <definedName name="_tcm06">{"Aneh",#N/A,FALSE,"Sheet1"}</definedName>
    <definedName name="_tcm4">{"Aneh",#N/A,FALSE,"Sheet1"}</definedName>
    <definedName name="_tue56">{#N/A,#N/A,FALSE,"RR-T";#N/A,#N/A,FALSE,"RR-2";#N/A,#N/A,FALSE,"RR-3";#N/A,#N/A,FALSE,"RR-4";#N/A,#N/A,FALSE,"RR-5";#N/A,#N/A,FALSE,"RR-6";#N/A,#N/A,FALSE,"RR-7";#N/A,#N/A,FALSE,"RR-8"}</definedName>
    <definedName name="_tvl2">[25]POO!$K$3:$L$32</definedName>
    <definedName name="_Unplanned">[20]KPI!$C$119:$AF$146</definedName>
    <definedName name="_wrn1">{#N/A,#N/A,FALSE,"PACK";#N/A,#N/A,FALSE,"Prod";#N/A,#N/A,FALSE,"Royprod";#N/A,#N/A,FALSE,"Liftprod";#N/A,#N/A,FALSE,"Lifts";#N/A,#N/A,FALSE,"Equity";#N/A,#N/A,FALSE,"Transp'n";#N/A,#N/A,FALSE,"Gasprices";#N/A,#N/A,FALSE,"Variances"}</definedName>
    <definedName name="_wrn2">{#N/A,#N/A,FALSE,"Summary";#N/A,#N/A,FALSE,"A-01";#N/A,#N/A,FALSE,"A-03";#N/A,#N/A,FALSE,"A-04";#N/A,#N/A,FALSE,"A-06"}</definedName>
    <definedName name="_yu77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A">'[26]Test Depre'!#REF!</definedName>
    <definedName name="A01.PA_Plan">[27]Data!$B$73:$AH$82</definedName>
    <definedName name="A02.PA_Actual">[27]Data!$B$86:$AH$95</definedName>
    <definedName name="A03.UA_Actual">[27]Data!$B$112:$AH$121</definedName>
    <definedName name="A04.Prodty_Plan">[27]Data!$B$3:$AH$16</definedName>
    <definedName name="A05.Prodty_Actual">[27]Data!$B$20:$AH$33</definedName>
    <definedName name="A06.Prod_Actual">[27]Data!$B$150:$AH$153</definedName>
    <definedName name="A07.Dist_Plan">[27]Data!$B$37:$AG$46</definedName>
    <definedName name="A08.Dist_Actual">[27]Data!$B$157:$AH$161</definedName>
    <definedName name="A09.Fuel">[27]Data!$B$166:$AH$173</definedName>
    <definedName name="A10.Fuel_EGI">[27]Data!$B$177:$AH$208</definedName>
    <definedName name="A11.HM">[27]Data!$B$212:$AH$243</definedName>
    <definedName name="A12.Idle">[27]Data!$B$139:$AG$144</definedName>
    <definedName name="aaa">[28]COSTSALES!#REF!</definedName>
    <definedName name="aaaa">{"mult96",#N/A,FALSE,"PETCOMP";"est96",#N/A,FALSE,"PETCOMP";"mult95",#N/A,FALSE,"PETCOMP";"est95",#N/A,FALSE,"PETCOMP";"multltm",#N/A,FALSE,"PETCOMP";"resultltm",#N/A,FALSE,"PETCOMP"}</definedName>
    <definedName name="aaaaa">{#N/A,#N/A,FALSE,"M06";#N/A,#N/A,FALSE,"M07"}</definedName>
    <definedName name="aaaaaaaaaaaaaa">{"Valuation - Letter",#N/A,TRUE,"Valuation Summary";"Financial Statements - Letter",#N/A,TRUE,"Results";"Results - Letter",#N/A,TRUE,"Results";"Ratios - Letter",#N/A,TRUE,"Results";"P2 Summary - Letter",#N/A,TRUE,"Results"}</definedName>
    <definedName name="AAL">{#N/A,#N/A,FALSE,"Summary";#N/A,#N/A,FALSE,"A-01";#N/A,#N/A,FALSE,"A-03";#N/A,#N/A,FALSE,"A-04";#N/A,#N/A,FALSE,"A-06"}</definedName>
    <definedName name="ab">{"AHLGANDG",#N/A,FALSE,"GANDG";"OSGANDG",#N/A,FALSE,"GANDG"}</definedName>
    <definedName name="abc">{"AHLGANDG",#N/A,FALSE,"GANDG";"OSGANDG",#N/A,FALSE,"GANDG"}</definedName>
    <definedName name="ABCD">'[29]2102'!#REF!</definedName>
    <definedName name="abg">'[30]D-04'!#REF!</definedName>
    <definedName name="ABIDZAR_1">"$#REF!.$D$1:$I$5963"</definedName>
    <definedName name="Absenga">'[31]HR,GEA,SHE'!$B$11:$AU$42</definedName>
    <definedName name="ABSENLOG">'[31]Absen Log'!$B$11:$AV$24</definedName>
    <definedName name="AbsenProd">'[31]Absen Prod'!$B$11:$AV$290</definedName>
    <definedName name="ABSENRM">'[31]Absen RM'!$B$10:$AU$115</definedName>
    <definedName name="absenstaff">'[31]Absen Staff'!$B$12:$AW$81</definedName>
    <definedName name="abv">{"Aneh",#N/A,FALSE,"Sheet1"}</definedName>
    <definedName name="AccessDatabase">"C:\My Documents\MAUI MALL1.mdb"</definedName>
    <definedName name="ACT">[32]FORM!$A:$IV</definedName>
    <definedName name="Act_Cost">[27]Data!$B$316:$AH$324</definedName>
    <definedName name="Actros4046">[33]prodty!$C$195:$K$208</definedName>
    <definedName name="ad">MCOST2</definedName>
    <definedName name="adadadafae">#REF!,#REF!,#REF!,#REF!,#REF!,#REF!,#REF!,#REF!</definedName>
    <definedName name="adj_coal">[34]Summary!#REF!</definedName>
    <definedName name="adjs">'[35]3.4 adjustments'!$A$5:$Q$45</definedName>
    <definedName name="ADM">[36]FORM!$A:$IV</definedName>
    <definedName name="AE">"$#REF!.$B$2:$P$92"</definedName>
    <definedName name="AF">"$#REF!.$B$2:$P$92"</definedName>
    <definedName name="AG">"$#REF!.$B$2:$P$92"</definedName>
    <definedName name="agag">{"adj95mult",#N/A,FALSE,"COMPCO";"adj95est",#N/A,FALSE,"COMPCO"}</definedName>
    <definedName name="AGRWET">{#N/A,#N/A,FALSE,"PR-2";#N/A,#N/A,FALSE,"RR-2";#N/A,#N/A,FALSE,"CF-2";#N/A,#N/A,FALSE,"BS-2"}</definedName>
    <definedName name="AH">"$#REF!.$B$2:$P$92"</definedName>
    <definedName name="ahu">{#N/A,#N/A,FALSE,"Summary";#N/A,#N/A,FALSE,"A-01";#N/A,#N/A,FALSE,"A-03";#N/A,#N/A,FALSE,"A-04";#N/A,#N/A,FALSE,"A-06"}</definedName>
    <definedName name="AI">"$#REF!.$B$2:$P$92"</definedName>
    <definedName name="AJ">"$#REF!.$B$2:$P$92"</definedName>
    <definedName name="AK">"$#REF!.$B$2:$P$92"</definedName>
    <definedName name="akdf">[37]Contract!$D$36</definedName>
    <definedName name="aksdjrme">[37]Contract!$E$176</definedName>
    <definedName name="ALA">{#N/A,#N/A,FALSE,"Summary";#N/A,#N/A,FALSE,"A-01";#N/A,#N/A,FALSE,"A-03";#N/A,#N/A,FALSE,"A-04";#N/A,#N/A,FALSE,"A-06"}</definedName>
    <definedName name="AllType">[38]Formula!$E$2:$F$84</definedName>
    <definedName name="AllUnitCode">[39]Master!#REF!:INDEX([39]Master!#REF!,COUNTA([39]Master!#REF!)+2,)</definedName>
    <definedName name="ALT">[14]ANALISA!#REF!</definedName>
    <definedName name="AM">"$#REF!.$B$2:$P$92"</definedName>
    <definedName name="anscount">1</definedName>
    <definedName name="AO">"$#REF!.$B$2:$P$92"</definedName>
    <definedName name="AP">"$#REF!.$B$2:$P$92"</definedName>
    <definedName name="Area_disposal">[39]Master!#REF!</definedName>
    <definedName name="ARTICULATED">"$#REF!.$D$5:$J$6001"</definedName>
    <definedName name="AS">'[1]98인건비'!#REF!</definedName>
    <definedName name="AS_CUT">'[40]ANA-HRG'!#REF!</definedName>
    <definedName name="AS2DocOpenMode">"AS2DocumentEdit"</definedName>
    <definedName name="AS2ReportLS">1</definedName>
    <definedName name="AS2SyncStepLS">0</definedName>
    <definedName name="AS2VersionLS">300</definedName>
    <definedName name="ASDFFF">{#N/A,#N/A,FALSE,"ADDS";#N/A,#N/A,FALSE,"NIRPT";#N/A,#N/A,FALSE,"YREND";#N/A,#N/A,FALSE,"PROD";#N/A,#N/A,FALSE,"pr-t";#N/A,#N/A,FALSE,"RR-T";#N/A,#N/A,FALSE,"CF-t"}</definedName>
    <definedName name="ASE">{"Aneh",#N/A,FALSE,"Sheet1"}</definedName>
    <definedName name="ASEDFDFGDFFGWSDEFAS">{"Aneh",#N/A,FALSE,"Sheet1"}</definedName>
    <definedName name="asl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S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DGGSG">{#N/A,#N/A,FALSE,"PR-7";#N/A,#N/A,FALSE,"RR-7";#N/A,#N/A,FALSE,"CF-7";#N/A,#N/A,FALSE,"BS-7"}</definedName>
    <definedName name="asset">{"PT. PETROSEA - Personal View",#N/A,FALSE,"SALES97"}</definedName>
    <definedName name="ASSS">{"gyprint",#N/A,FALSE,"Goonyella";"rvprint",#N/A,FALSE,"Riverside"}</definedName>
    <definedName name="AT">"$#REF!.$B$2:$P$92"</definedName>
    <definedName name="ATB">[14]ANALISA!#REF!</definedName>
    <definedName name="AU">"$#REF!.$B$2:$P$92"</definedName>
    <definedName name="AUG">#REF!,#REF!,#REF!,#REF!,#REF!,#REF!,#REF!</definedName>
    <definedName name="AULIANI">"$#REF!.$C$5:$I$5976"</definedName>
    <definedName name="auto">{"Aneh",#N/A,FALSE,"Sheet1"}</definedName>
    <definedName name="Auxhide">#REF!,#REF!,#REF!,#REF!,#REF!,#REF!,#REF!,#REF!,#REF!,#REF!,#REF!,#REF!,#REF!,#REF!</definedName>
    <definedName name="AV">"$#REF!.$B$2:$P$92"</definedName>
    <definedName name="AVG_Distance">[27]Data!$B$51:$AG$69</definedName>
    <definedName name="AW">"$#REF!.$B$2:$P$92"</definedName>
    <definedName name="awal">[41]Report!$I$6</definedName>
    <definedName name="AX">"$#REF!.$B$2:$P$92"</definedName>
    <definedName name="AXEL">[42]!Table8[AXEL]</definedName>
    <definedName name="AY">"$#REF!.$B$2:$P$92"</definedName>
    <definedName name="AZ">"$#REF!.$B$2:$P$94"</definedName>
    <definedName name="BA">"$#REF!.$B$2:$P$94"</definedName>
    <definedName name="Baik">"Picture 2"</definedName>
    <definedName name="BANDT">[43]bANT!$A$6:$C$443</definedName>
    <definedName name="Bantex">[44]Bant!$A$5:$C$443</definedName>
    <definedName name="Bantopt">[45]Bant!$A$5:$C$443</definedName>
    <definedName name="BARGING">'[46]data barging'!$A$10:$AB$135</definedName>
    <definedName name="base_c1">NA()</definedName>
    <definedName name="base_c1_10">NA()</definedName>
    <definedName name="base_e">NA()</definedName>
    <definedName name="base_e_10">NA()</definedName>
    <definedName name="BBB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CARER">{#N/A,#N/A,FALSE,"A-07";#N/A,#N/A,FALSE,"A-08";#N/A,#N/A,FALSE,"A-09";#N/A,#N/A,FALSE,"A-11";#N/A,#N/A,FALSE,"A-12";#N/A,#N/A,FALSE,"ADDENDUM"}</definedName>
    <definedName name="BCARER1">{#N/A,#N/A,FALSE,"A-07";#N/A,#N/A,FALSE,"A-08";#N/A,#N/A,FALSE,"A-09";#N/A,#N/A,FALSE,"A-11";#N/A,#N/A,FALSE,"A-12";#N/A,#N/A,FALSE,"ADDENDUM"}</definedName>
    <definedName name="BCM">{"Aneh",#N/A,FALSE,"Sheet1"}</definedName>
    <definedName name="BDA">[31]BDA!$A$6:$R$132</definedName>
    <definedName name="BDtype">[47]Master!$P$3:$P$7</definedName>
    <definedName name="bdu">{#N/A,#N/A,FALSE,"Prod";#N/A,#N/A,FALSE,"Royprod";#N/A,#N/A,FALSE,"Liftprod";#N/A,#N/A,FALSE,"Lifts";#N/A,#N/A,FALSE,"Equity"}</definedName>
    <definedName name="BE">"$#REF!.$B$2:$P$94"</definedName>
    <definedName name="BF">"$#REF!.$B$2:$P$94"</definedName>
    <definedName name="BG">"$#REF!.$B$2:$P$94"</definedName>
    <definedName name="BG_Del">15</definedName>
    <definedName name="BG_Ins">4</definedName>
    <definedName name="BG_Mod">6</definedName>
    <definedName name="BGT">[48]FORM!$A:$IV</definedName>
    <definedName name="BH">"$#REF!.$B$2:$P$94"</definedName>
    <definedName localSheetId="0" name="Bharinto">Business_Unit</definedName>
    <definedName name="Bharinto">Business_Unit</definedName>
    <definedName name="BI">"$#REF!.$B$2:$P$94"</definedName>
    <definedName name="bib">{"gyprint",#N/A,FALSE,"Goonyella";"rvprint",#N/A,FALSE,"Riverside"}</definedName>
    <definedName name="big">{"Aneh",#N/A,FALSE,"Sheet1"}</definedName>
    <definedName name="Binu">NA()</definedName>
    <definedName name="Binu_2">NA()</definedName>
    <definedName name="BJ">"$#REF!.$B$2:$P$94"</definedName>
    <definedName name="BK">"$#REF!.$B$2:$P$94"</definedName>
    <definedName name="BL">[49]input!$M$5:$M$16</definedName>
    <definedName name="blue">{"Aneh",#N/A,FALSE,"Sheet1"}</definedName>
    <definedName name="BM">"$#REF!.$B$2:$P$29"</definedName>
    <definedName name="bmo">[50]bmo!$A$1:$AN$281</definedName>
    <definedName name="BNIRP">'[51]bni(rp)'!$A$4:$F$83</definedName>
    <definedName name="BNIUSD">'[51]bni($)'!$A$4:$F$33</definedName>
    <definedName name="BOD">[52]FORM!$A:$IV</definedName>
    <definedName name="BOTAK">"$#REF!.$D$5:$J$5958"</definedName>
    <definedName name="BOWL">"$#REF!.$C$5:$I$6074"</definedName>
    <definedName name="BPA">[53]!Table7[[Nrp]:[BA]]</definedName>
    <definedName name="BPDRP">'[51]bpd(rp)'!$A$4:$F$12</definedName>
    <definedName name="BQ_1">[14]ANALISA!#REF!</definedName>
    <definedName name="BRA">"$#REF!.$D$5:$J$6070"</definedName>
    <definedName name="BRAKE">[42]!Table11[BRAKE]</definedName>
    <definedName name="Budget">"BUDGET"</definedName>
    <definedName name="BudgetYtD">[54]Budget!$T$4:$AE$144</definedName>
    <definedName name="BUDI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UDI1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UDI12">{"Valuation",#N/A,TRUE,"Valuation Summary";"Financial Statements",#N/A,TRUE,"Results";"Results",#N/A,TRUE,"Results";"Ratios",#N/A,TRUE,"Results";"P2 Summary",#N/A,TRUE,"Results"}</definedName>
    <definedName name="BUDI13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UDI16">{"Valuation - Letter",#N/A,TRUE,"Valuation Summary";"Financial Statements - Letter",#N/A,TRUE,"Results";"Results - Letter",#N/A,TRUE,"Results";"Ratios - Letter",#N/A,TRUE,"Results";"P2 Summary - Letter",#N/A,TRUE,"Results"}</definedName>
    <definedName name="BUDI25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UDI26">{"Valuation",#N/A,TRUE,"Valuation Summary";"Financial Statements",#N/A,TRUE,"Results";"Results",#N/A,TRUE,"Results";"Ratios",#N/A,TRUE,"Results";"P2 Summary",#N/A,TRUE,"Results"}</definedName>
    <definedName name="BUDI27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BUDI3">{"Valuation",#N/A,TRUE,"Valuation Summary";"Financial Statements",#N/A,TRUE,"Results";"Results",#N/A,TRUE,"Results";"Ratios",#N/A,TRUE,"Results";"P2 Summary",#N/A,TRUE,"Results"}</definedName>
    <definedName name="BUDI37">IF([0]!ShowProductB,[0]!ProductB,[0]!BlankRange)</definedName>
    <definedName name="BUDI38">IF([0]!ShowProductC,[0]!ProductC,[0]!BlankRange)</definedName>
    <definedName name="BUDI40">{"Valuation",#N/A,TRUE,"Valuation Summary";"Financial Statements",#N/A,TRUE,"Results";"Results",#N/A,TRUE,"Results";"Ratios",#N/A,TRUE,"Results";"P2 Summary",#N/A,TRUE,"Results"}</definedName>
    <definedName name="BUDI9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uma_7">'[55]BUMA BMO 7'!$B$4:$L$21</definedName>
    <definedName name="buma_lati">'[55]BUMA Lati'!$B$4:$L$21</definedName>
    <definedName name="Button_15">"MAUI_MALL_MAUI_MALLARD_INPUT_List"</definedName>
    <definedName name="Button_16">"MAUI_MALL_MAUI_MALLARD_INPUT_List"</definedName>
    <definedName name="Button1">"Button1"</definedName>
    <definedName name="calmonth">[56]_!#REF!</definedName>
    <definedName name="calyear">[56]_!#REF!</definedName>
    <definedName name="Cargo_Binu">NA()</definedName>
    <definedName name="Cargo_Binu_2">NA()</definedName>
    <definedName name="Cargo_Lati">NA()</definedName>
    <definedName name="Cargo_Lati_2">NA()</definedName>
    <definedName name="Cash">[51]cash!$A$4:$F$61</definedName>
    <definedName name="CashFlow">OFFSET(#REF!,0,0,1,#REF!)</definedName>
    <definedName name="CASTING">'[57]Dozing Estimation'!$B$12:$I$18</definedName>
    <definedName name="cat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CATCOAL">[58]wh!$B$63:$AI$67</definedName>
    <definedName name="Category">#REF!:INDEX(#REF!,COUNTA(#REF!)+2,)</definedName>
    <definedName name="CATOB">[58]wh!$B$11:$AI$15</definedName>
    <definedName name="cbb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BWorkbookPriority">-1124542051</definedName>
    <definedName name="ccc">{"mult96",#N/A,FALSE,"PETCOMP";"est96",#N/A,FALSE,"PETCOMP";"mult95",#N/A,FALSE,"PETCOMP";"est95",#N/A,FALSE,"PETCOMP";"multltm",#N/A,FALSE,"PETCOMP";"resultltm",#N/A,FALSE,"PETCOMP"}</definedName>
    <definedName name="CEPLOK">"$#REF!.$C$5:$I$6173"</definedName>
    <definedName name="CEPLOK_1">"$#REF!.$C$5:$I$6165"</definedName>
    <definedName name="CH">[42]!Table12[CHASIS/CABIN]</definedName>
    <definedName name="CHCB">[42]!Table12[CHASIS/CABIN]</definedName>
    <definedName name="chev">{"gyprint",#N/A,FALSE,"Goonyella";"rvprint",#N/A,FALSE,"Riverside"}</definedName>
    <definedName name="CHIEF">"$#REF!.$C$5:$I$6173"</definedName>
    <definedName name="CHRT1">OFFSET('[59]DAILY REPORT'!#REF!,0,0,7,3)</definedName>
    <definedName name="CIUM">"$#REF!.$C$5:$I$6070"</definedName>
    <definedName localSheetId="0" name="Clad">BlankMacro1</definedName>
    <definedName name="Clad">BlankMacro1</definedName>
    <definedName name="Client">'[60]Title &amp; Notes'!$K$29</definedName>
    <definedName name="clients">{#N/A,#N/A,FALSE,"Summary";#N/A,#N/A,FALSE,"P&amp;L";#N/A,#N/A,FALSE,"BalSht";#N/A,#N/A,FALSE,"Cash Forc";#N/A,#N/A,FALSE,"Capex";#N/A,#N/A,FALSE,"Rec's &amp; Paybls";#N/A,#N/A,FALSE,"Claims";#N/A,#N/A,FALSE,"Rec's"}</definedName>
    <definedName name="close">{"Aneh",#N/A,FALSE,"Sheet1"}</definedName>
    <definedName name="CLUTH">[42]!Table13[CLUTCH]</definedName>
    <definedName name="cm_011">IF('[61]21'!XEG1=0,0,IF('[61]21'!XEB1=100,0,IF('[61]21'!XEB1="0-55-45",MID('[61]21'!XEB1,3,FIND("-",'[61]21'!XEB1))*'[61]21'!XEF1/100,MID('[61]21'!XEB1,3,FIND("-",'[61]21'!XEB1)-1)*'[61]21'!XEF1/10)))</definedName>
    <definedName name="cm_012">IF('[61]21'!XEG1=0,0,IF('[61]21'!XEB1=100,0,IF('[61]21'!XEB1="0-55-45",MID('[61]21'!XEB1,3,FIND("-",'[61]21'!XEB1))*'[61]21'!XEF1/100,MID('[61]21'!XEB1,3,FIND("-",'[61]21'!XEB1)-1)*'[61]21'!XEF1/100)))</definedName>
    <definedName name="cm_110">IF(#REF!=0,0,IF(#REF!=100,0,IF(#REF!="0-55-45",MID(#REF!,3,FIND("-",#REF!))*#REF!/100,MID(#REF!,3,FIND("-",#REF!)-1)*#REF!/10)))</definedName>
    <definedName name="CM_CAP">[62]COAL!$I$83:$P$84</definedName>
    <definedName name="CN_UQTY">[62]UQTY!$C$5:$C$50</definedName>
    <definedName name="CNLOADER_UQTY">[62]UQTY!$D$5:$D$50</definedName>
    <definedName name="CO">[42]!Table15[COOLING SYSTEM]</definedName>
    <definedName name="coa">OFFSET([63]Master_Data!$D$16,0,0,COUNTA([63]Master_Data!$D$16:$D$43)-COUNTIF([63]Master_Data!$D$16:$D$43,[63]Master_Data!$D$43),1)</definedName>
    <definedName name="Coal">[64]feb!#REF!</definedName>
    <definedName name="Coal_Shipment">[65]REPORT01!$G$117</definedName>
    <definedName name="COALCRUSH">'[65]COAL CRUSH PLAN'!$A$7:$IV$38</definedName>
    <definedName name="COALIN">'[65]ACT COAL'!$FB$4:$HP$38</definedName>
    <definedName name="COALPLAN">'[65] COAL MINE PLAN'!$A$5:$AZ$38</definedName>
    <definedName name="cock">{"gyprint",#N/A,FALSE,"Goonyella";"rvprint",#N/A,FALSE,"Riverside"}</definedName>
    <definedName name="cock1">{"gyprint",#N/A,FALSE,"Goonyella";"rvprint",#N/A,FALSE,"Riverside"}</definedName>
    <definedName name="CODE_UNIT">"$#REF!.$P$14:$Q$45"</definedName>
    <definedName name="CodeUnit">[39]Master!$K$3:$K$114</definedName>
    <definedName name="COLS">[42]!Table15[COOLING SYSTEM]</definedName>
    <definedName name="COM">[66]FORM!$A:$IV</definedName>
    <definedName name="COMP">[67]!Table8[COMPARTMENT]</definedName>
    <definedName name="compressor">NA()</definedName>
    <definedName name="CONOCO">{#N/A,#N/A,FALSE,"A-07";#N/A,#N/A,FALSE,"A-08";#N/A,#N/A,FALSE,"A-09";#N/A,#N/A,FALSE,"A-11";#N/A,#N/A,FALSE,"A-12";#N/A,#N/A,FALSE,"ADDENDUM"}</definedName>
    <definedName name="CONTOH">[68]WHRS!#REF!</definedName>
    <definedName name="COPAT___FP">OFFSET(#REF!,0,0,1,#REF!)</definedName>
    <definedName name="cor">{"Aneh",#N/A,FALSE,"Sheet1"}</definedName>
    <definedName name="CORE">"$#REF!.$C$5:$I$6055"</definedName>
    <definedName name="CORE_1">"$#REF!.$C$5:$I$6084"</definedName>
    <definedName name="COSTCODE">[69]Range!$D$2:$G$584</definedName>
    <definedName name="costs">'[35]3.2 input cost'!$A$5:$Q$30</definedName>
    <definedName name="COUNTERCHECK">"$#REF!.$C$5:$I$6003"</definedName>
    <definedName name="cov">{"PT. PETROSEA - Personal View",#N/A,FALSE,"SALES97"}</definedName>
    <definedName name="COVER">"$#REF!.$D$5:$J$5960"</definedName>
    <definedName name="cp_0">IF('[61]21'!XEH1=0,0,IF('[61]21'!XEC1=100,0,IF('[61]21'!XEG1=('[61]21'!XEG1*(LEFT('[61]21'!XEC1,1)/10)),'[61]21'!XEG1,('[61]21'!XEG1*(LEFT('[61]21'!XEC1,1)/10)))))</definedName>
    <definedName name="cp_110">IF(#REF!=0,0,IF(#REF!=100,0,IF(#REF!=(#REF!*(LEFT(#REF!,1)/10)),#REF!,(#REF!*(LEFT(#REF!,1)/10)))))</definedName>
    <definedName name="cpb">'[70]cpp-bin'!$A$1:$AN$307</definedName>
    <definedName name="cpl">'[71]cpp-lati'!$A$1:$AN$307</definedName>
    <definedName name="cpp">NA()</definedName>
    <definedName name="CPPB">[70]FORM!$A:$IV</definedName>
    <definedName name="CPPL">[71]FORM!$A:$IV</definedName>
    <definedName name="CPPS">[72]FORM!$A:$IV</definedName>
    <definedName name="cps">'[70]cpp-sur'!$A$1:$AN$306</definedName>
    <definedName name="CRACK_1">"$#REF!.$C$5:$I$6117"</definedName>
    <definedName name="CROP">"$#REF!.$C$5:$I$6117"</definedName>
    <definedName name="CROT">"$#REF!.$C$5:$I$6173"</definedName>
    <definedName name="CSALES01">[28]COSTSALES!#REF!</definedName>
    <definedName name="CSALES02">[28]COSTSALES!#REF!</definedName>
    <definedName name="CSALES03">[28]COSTSALES!#REF!</definedName>
    <definedName name="CSALES04">[28]COSTSALES!#REF!</definedName>
    <definedName name="CSALES05">[28]COSTSALES!#REF!</definedName>
    <definedName name="CSALES06">[28]COSTSALES!#REF!</definedName>
    <definedName name="CSALES07">[28]COSTSALES!#REF!</definedName>
    <definedName name="CSALES08">[28]COSTSALES!#REF!</definedName>
    <definedName name="CSALES09">[28]COSTSALES!#REF!</definedName>
    <definedName name="CSALES10">[28]COSTSALES!#REF!</definedName>
    <definedName name="CSALES11">[28]COSTSALES!#REF!</definedName>
    <definedName name="CSALES12">[28]COSTSALES!#REF!</definedName>
    <definedName name="csDesignMode">1</definedName>
    <definedName name="csdl">{"CapCost",#N/A,TRUE,"CAP";"FS",#N/A,TRUE,"FS"}</definedName>
    <definedName name="csm_011">IF('[61]21'!XEF1=0,0,IF('[61]21'!XEA1=100,'[61]21'!XEE1,IF('[61]21'!XEE1=('[61]21'!XEE1*(LEFT(RIGHT('[61]21'!XEA1,1),7)/100)),'[61]21'!XEE1,('[61]21'!XEE1*(LEFT(RIGHT('[61]21'!XEA1,1),7)/10)))))</definedName>
    <definedName name="csm_012">IF('[61]22'!XEF1=0,0,IF('[61]22'!XEA1=100,'[61]22'!XEE1,IF('[61]22'!XEE1=('[61]22'!XEE1*(LEFT(RIGHT('[61]22'!XEA1,1),7)/100)),'[61]22'!XEE1,('[61]22'!XEE1*(LEFT(RIGHT('[61]22'!XEA1,2),7)/100)))))</definedName>
    <definedName name="csm_110">IF(#REF!=0,0,IF(#REF!=100,#REF!,IF(#REF!=(#REF!*(LEFT(RIGHT(#REF!,1),7)/100)),#REF!,(#REF!*(LEFT(RIGHT(#REF!,1),7)/10)))))</definedName>
    <definedName name="cuks">{"gyprint",#N/A,FALSE,"Goonyella";"rvprint",#N/A,FALSE,"Riverside"}</definedName>
    <definedName name="Currency">[56]_!#REF!</definedName>
    <definedName name="Current_Ratio">OFFSET(#REF!,0,0,1,#REF!)</definedName>
    <definedName name="CurrentOffset">[56]_!#REF!</definedName>
    <definedName name="CurrentYear">[56]_!#REF!</definedName>
    <definedName name="Customer">NA()</definedName>
    <definedName name="CUT">"$#REF!.$C$5:$I$6074"</definedName>
    <definedName name="CUTI">"$#REF!.$C$5:$I$6013"</definedName>
    <definedName name="Cwvu.KJP_CC.">#REF!,#REF!,#REF!,#REF!,#REF!,#REF!,#REF!,#REF!,#REF!,#REF!,#REF!,#REF!,#REF!,#REF!,#REF!,#REF!,#REF!,#REF!,#REF!,#REF!</definedName>
    <definedName name="DAILY_REPORT_SHIPPING">'[73]bank-data'!$A$1:$P$107-!$A$1:$P$91</definedName>
    <definedName name="danu">{"gyprint",#N/A,FALSE,"Goonyella";"rvprint",#N/A,FALSE,"Riverside"}</definedName>
    <definedName name="dat">[74]OUTCM!#REF!</definedName>
    <definedName name="data">'[75]dbase_new (2)'!$A$6:$P$1176</definedName>
    <definedName localSheetId="0" name="Data.Dump">OFFSET([76]!Data.Top.Left,1,0)</definedName>
    <definedName name="Data.Dump">OFFSET([76]!Data.Top.Left,1,0)</definedName>
    <definedName name="Data_Section">[77]Master_Data!$B$104:$C$109</definedName>
    <definedName name="DATA_UNIT">[78]!Table6[DATA UNIT]</definedName>
    <definedName name="DATABASE_1">"$#REF!.$D$5:$J$5996"</definedName>
    <definedName name="DATAJOB">[75]Isijobpending!$A$4:$J$4041</definedName>
    <definedName name="DataRange">NA()</definedName>
    <definedName name="Days_in_qtr">91.25</definedName>
    <definedName name="days_in_quarter">91.25</definedName>
    <definedName name="Days_in_year">365</definedName>
    <definedName name="ddd">'[79]D-04'!#REF!</definedName>
    <definedName name="ddddddddddd">[80]기본Data!$G$5</definedName>
    <definedName name="DEDS">[81]Master!$W$4:INDEX([81]Master!$W:$W,COUNTA([81]Master!$W:$W)+2,)</definedName>
    <definedName localSheetId="0" name="DEFG">IF(ShowProductB_9,ProductB_9,BLAST2)</definedName>
    <definedName name="DEFG">IF(ShowProductB_9,ProductB_9,BLAST2)</definedName>
    <definedName name="Density">'[82]SG Profile'!$B$5:$H$32</definedName>
    <definedName name="dep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PARTEMEN">[83]!Table10[DEPARTEMEN]</definedName>
    <definedName name="DEPARTEMENTAL_COSTING_ON_JAN._MAR.99">MCOST2</definedName>
    <definedName name="DEPARTEMENTAL_COSTING_ON_MARCH_99">"MCOST1"</definedName>
    <definedName name="Departure">[84]Master!$M$10:$M$24</definedName>
    <definedName name="DEPT">[85]UOM!$E:$E</definedName>
    <definedName name="DER">{#N/A,#N/A,FALSE,"SUMMARY";#N/A,#N/A,FALSE,"Bal Sheet";#N/A,#N/A,FALSE,"P&amp;LConsolidated SUMMARY";#N/A,#N/A,FALSE,"P&amp;L MTH";#N/A,#N/A,FALSE,"P&amp;L YTD";#N/A,#N/A,FALSE,"CASHMOVE - MONTH";#N/A,#N/A,FALSE,"CASHMOV";#N/A,#N/A,FALSE,"WA";#N/A,#N/A,FALSE,"SMM";#N/A,#N/A,FALSE,"NSW";#N/A,#N/A,FALSE,"INDONESIA";#N/A,#N/A,FALSE,"TREASURY";#N/A,#N/A,FALSE,"GS EXPL";#N/A,#N/A,FALSE,"GS OPS";#N/A,#N/A,FALSE,"CORPORATE";#N/A,#N/A,FALSE,"NMS"}</definedName>
    <definedName name="desk">{"Aneh",#N/A,FALSE,"Sheet1"}</definedName>
    <definedName name="DETAIL_HSE_INSP">[86]Master_Data!$D$15:$D$94</definedName>
    <definedName name="Detail_PTY">[39]Master!$AH$4:INDEX([39]Master!$AH:$AH,COUNTA([39]Master!$AH:$AH)+2,)</definedName>
    <definedName name="dfaf">{#N/A,#N/A,FALSE,"A-07";#N/A,#N/A,FALSE,"A-08";#N/A,#N/A,FALSE,"A-09";#N/A,#N/A,FALSE,"A-11";#N/A,#N/A,FALSE,"A-12";#N/A,#N/A,FALSE,"ADDENDUM"}</definedName>
    <definedName name="dfsfss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dfvvdfv">{#N/A,#N/A,FALSE,"M01";#N/A,#N/A,FALSE,"M02";#N/A,#N/A,FALSE,"M03";#N/A,#N/A,FALSE,"M04";#N/A,#N/A,FALSE,"M05";#N/A,#N/A,FALSE,"M08"}</definedName>
    <definedName name="DG">{#N/A,#N/A,FALSE,"PR-3";#N/A,#N/A,FALSE,"CF-3";#N/A,#N/A,FALSE,"BS-3";#N/A,#N/A,FALSE,"RR-3"}</definedName>
    <definedName name="DH">{"notes",#N/A,FALSE,"NPV";"notes",#N/A,FALSE,"VO";"notes",#N/A,FALSE,"PC"}</definedName>
    <definedName name="dhbvewjkwd">{"adj95mult",#N/A,FALSE,"COMPCO";"adj95est",#N/A,FALSE,"COMPCO"}</definedName>
    <definedName name="dhe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Dim">OFFSET([63]Master_Data!$B$49,0,0,COUNTA([63]Master_Data!$B$49:$B$57),1)</definedName>
    <definedName name="Dis">{"PT. PETROSEA - Personal View",#N/A,FALSE,"SALES97"}</definedName>
    <definedName name="dis_ovbd">[62]OVBD!$H$23:$H$27</definedName>
    <definedName name="DIST_PIT">[62]OVBD!$I$123:$O$125</definedName>
    <definedName name="Distance">[27]Data!$B$157:$AG$161</definedName>
    <definedName name="DJ">'[1]98인원계획'!#REF!</definedName>
    <definedName name="djnd">[87]Master!$N$4:INDEX([87]Master!$N:$N,COUNTA([87]Master!$N:$N)+2,)</definedName>
    <definedName name="dljfal">'[79]D-04'!#REF!</definedName>
    <definedName name="dljk">{"mult96",#N/A,FALSE,"PETCOMP";"est96",#N/A,FALSE,"PETCOMP";"mult95",#N/A,FALSE,"PETCOMP";"est95",#N/A,FALSE,"PETCOMP";"multltm",#N/A,FALSE,"PETCOMP";"resultltm",#N/A,FALSE,"PETCOMP"}</definedName>
    <definedName name="DMCR2">#REF!,#REF!</definedName>
    <definedName name="Document_array">{"HM PST Agt 2005.xls"}</definedName>
    <definedName name="dog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dorr">[88]Input!#REF!</definedName>
    <definedName name="DOT">"$#REF!.$C$5:$I$6054"</definedName>
    <definedName name="DownTime_1">[89]data!$R$9:$R$64554</definedName>
    <definedName name="downtime2">[90]data!$R$9:$R$65536</definedName>
    <definedName name="doz_375">[33]prodty!$G$259:$J$267</definedName>
    <definedName name="doz_d85ss">[33]prodty!$G$244:$J$252</definedName>
    <definedName name="Dozing">'[57]Dozing Estimation'!$B$5:$I$8</definedName>
    <definedName name="Drill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drilling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Driver">[91]!Table8[Nama]</definedName>
    <definedName name="Dry_Blast">[82]Rates!$B$38:$E$44</definedName>
    <definedName name="dsaf">{#N/A,#N/A,FALSE,"Summary";#N/A,#N/A,FALSE,"A-01";#N/A,#N/A,FALSE,"A-03";#N/A,#N/A,FALSE,"A-04";#N/A,#N/A,FALSE,"A-06"}</definedName>
    <definedName name="dsgggg">{#N/A,#N/A,FALSE,"RR-T";#N/A,#N/A,FALSE,"RR-2";#N/A,#N/A,FALSE,"RR-3";#N/A,#N/A,FALSE,"RR-4";#N/A,#N/A,FALSE,"RR-5";#N/A,#N/A,FALSE,"RR-6";#N/A,#N/A,FALSE,"RR-7";#N/A,#N/A,FALSE,"RR-8"}</definedName>
    <definedName name="DSHP">[14]ANALISA!#REF!</definedName>
    <definedName name="dt">[92]day!$D$2:$AQ$149</definedName>
    <definedName name="DT48107MB">[47]Master!$J$3:$J$111</definedName>
    <definedName name="duit">[93]Sheet1!#REF!</definedName>
    <definedName name="Dump.">[41]Master!$Y$4:$Y$27</definedName>
    <definedName name="Dump_Truck">[94]Master!$AW$4:$AW$53</definedName>
    <definedName name="DumpingArea">#REF!:INDEX(#REF!,COUNTA(#REF!)+2,)</definedName>
    <definedName name="DumpRitCoal">[41]Master!$Y$28:$Y$31</definedName>
    <definedName name="durian">SUMPRODUCT(([95]Des!$X1=[95]Des!$R$4:$R$45)*([95]Des!A$3=[95]Des!$E$4:$E$45),[95]Des!$K$4:$K$45)</definedName>
    <definedName name="dVSDFSD">[24]OLIE!#REF!</definedName>
    <definedName name="DX">{"Aneh",#N/A,FALSE,"Sheet1"}</definedName>
    <definedName name="E_Rate">[96]Contract!$C$5</definedName>
    <definedName name="ebe">{#N/A,#N/A,FALSE,"M06";#N/A,#N/A,FALSE,"M07"}</definedName>
    <definedName name="ee">{#N/A,#N/A,FALSE,"PR-2";#N/A,#N/A,FALSE,"RR-2";#N/A,#N/A,FALSE,"CF-2";#N/A,#N/A,FALSE,"BS-2"}</definedName>
    <definedName name="eee">{"Graphic",#N/A,TRUE,"Graphic"}</definedName>
    <definedName name="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ee">{"PT. PETROSEA - Personal View",#N/A,FALSE,"SALES97"}</definedName>
    <definedName name="EHS">[97]FORM!$A:$IV</definedName>
    <definedName name="EKSSERVFEE">'[98]RMSOURCE BSS'!$AH$6:$AN$27</definedName>
    <definedName name="EKSSERVMAT">'[98]RMSOURCE BSS'!$AP$6:$AV$27</definedName>
    <definedName name="EL">[42]!Table122[ELECTRICAL]</definedName>
    <definedName name="ELevasi">'[99]release wk2'!$S$14:$GY$21</definedName>
    <definedName name="EN">[42]!Table16[ENGINE]</definedName>
    <definedName name="End_Bal">'[100]Loan Amortization Schedule'!$I$18:$I$497</definedName>
    <definedName name="ENG">[101]FORM!$A:$IV</definedName>
    <definedName name="engine">'[33]GEN Assumpt'!$H$49</definedName>
    <definedName name="entity310">'[102]310'!$A$15:$B$254</definedName>
    <definedName name="entity311">'[102]311'!$A$15:$B$59</definedName>
    <definedName name="entity315">'[102]315'!$A$15:$B$260</definedName>
    <definedName name="entity316">'[102]316'!$A$15:$B$49</definedName>
    <definedName name="entity317">'[102]317'!$A$15:$B$103</definedName>
    <definedName name="entity318">'[102]318'!$A$15:$B$78</definedName>
    <definedName name="entity325">'[102]325'!$A$15:$B$94</definedName>
    <definedName name="entity326">'[102]326'!$A$15:$B$70</definedName>
    <definedName name="entity327">'[102]327'!$A$15:$B$62</definedName>
    <definedName name="entity328">'[102]328'!$A$15:$B$93</definedName>
    <definedName name="entity329">'[102]329'!$A$15:$B$25</definedName>
    <definedName name="entity330">'[102]330'!$A$15:$B$159</definedName>
    <definedName name="entity331">'[102]331'!$A$15:$B$44</definedName>
    <definedName name="entity332">'[102]332'!$A$15:$B$35</definedName>
    <definedName name="entity333">'[102]333'!$A$15:$B$26</definedName>
    <definedName name="entity334">'[102]334'!$A$15:$B$84</definedName>
    <definedName name="entity340">'[102]340'!$A$15:$B$232</definedName>
    <definedName name="entity341">'[102]341'!$A$15:$B$78</definedName>
    <definedName name="entity345">'[102]345'!$A$15:$B$25</definedName>
    <definedName name="entity346">'[102]346'!$A$15:$B$20</definedName>
    <definedName name="entity347">'[102]347'!$A$15:$B$21</definedName>
    <definedName name="entity348">'[102]348'!$A$15:$B$25</definedName>
    <definedName name="entity349">'[102]349'!$A$15:$B$21</definedName>
    <definedName name="entity350">'[102]350'!$A$15:$B$21</definedName>
    <definedName name="entity351">'[102]351'!$A$15:$B$36</definedName>
    <definedName name="entity352">'[102]352'!$A$15:$B$30</definedName>
    <definedName name="entity353">'[102]353'!$A$15:$B$24</definedName>
    <definedName name="entity360">'[102]360'!$A$15:$B$58</definedName>
    <definedName name="entity361">'[102]361'!$A$15:$B$31</definedName>
    <definedName name="entity362">'[102]362'!$A$15:$B$17</definedName>
    <definedName name="entity363">'[102]363'!$A$15:$B$23</definedName>
    <definedName name="entity364">'[102]364'!$A$15:$B$17</definedName>
    <definedName name="entity365">'[102]365'!$A$15:$B$103</definedName>
    <definedName name="entity366">'[102]366'!$A$15:$B$26</definedName>
    <definedName name="entity367">'[102]367'!$A$15:$B$26</definedName>
    <definedName name="entity368">'[102]368'!$A$15:$B$159</definedName>
    <definedName name="entity375">'[102]375'!$A$15:$B$27</definedName>
    <definedName name="entity376">'[102]376'!$A$15:$B$31</definedName>
    <definedName name="entity377">'[102]377'!$A$15:$B$57</definedName>
    <definedName name="entity378">'[102]378'!$A$15:$B$38</definedName>
    <definedName name="entity379">'[102]379'!$A$15:$B$147</definedName>
    <definedName name="entity390">'[102]390'!$A$15:$B$163</definedName>
    <definedName name="entity391">'[102]391'!$A$15:$B$34</definedName>
    <definedName name="entity392">'[102]392'!$A$15:$B$154</definedName>
    <definedName name="entity393">'[102]393'!$A$15:$B$70</definedName>
    <definedName name="entity394">'[102]394'!$A$15:$B$164</definedName>
    <definedName name="entity395">'[102]395'!$A$15:$B$94</definedName>
    <definedName name="entity396">'[102]396'!$A$15:$B$75</definedName>
    <definedName name="entity397">'[102]397'!$A$15:$B$80</definedName>
    <definedName name="EQ">[41]Master!$N$3:$N$88</definedName>
    <definedName name="eqty_sprt">[62]SQTY!$A$3:$J$64</definedName>
    <definedName name="EQUIP">"$#REF!.$C$5:$I$6013"</definedName>
    <definedName name="Equipment_18">[41]Master!$N$4:$N$90</definedName>
    <definedName name="EQUIPMENTfoto">OFFSET('[103]LOSSTIME-METER'!$AN$4,0,'[103]LOSSTIME-METER'!$AG$1,1,1)</definedName>
    <definedName name="er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e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erew">[104]Extra!#REF!</definedName>
    <definedName name="erq">{#N/A,#N/A,FALSE,"Notes";#N/A,#N/A,FALSE,"JOB";#N/A,#N/A,FALSE,"CONTRACTS";"show all",#N/A,FALSE,"PAYMENTS";"show all",#N/A,FALSE,"VARIATIONS";#N/A,#N/A,FALSE,"NPV";#N/A,#N/A,FALSE,"VO";#N/A,#N/A,FALSE,"PC";"SHOW ALL",#N/A,FALSE,"COST REPORT"}</definedName>
    <definedName name="ERS">[105]FORM!$A:$IV</definedName>
    <definedName name="ert">{#N/A,#N/A,TRUE,"Alba"}</definedName>
    <definedName name="ertew">{#N/A,#N/A,FALSE,"PR-4";#N/A,#N/A,FALSE,"RR-4";#N/A,#N/A,FALSE,"CF-4";#N/A,#N/A,FALSE,"BS-4"}</definedName>
    <definedName name="ertwery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erueu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ERVINE">"$#REF!.$C$5:$I$6165"</definedName>
    <definedName name="eryenb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est">{"EVA",#N/A,FALSE,"EVA";"WACC",#N/A,FALSE,"WACC"}</definedName>
    <definedName name="EV__LASTREFTIME__">39911.9424884259</definedName>
    <definedName name="ewh_coal">[106]Hourly!$CF$9:$CF$29</definedName>
    <definedName name="ewh_ob">[106]Hourly!$CE$9:$CE$29</definedName>
    <definedName name="ewyry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EX_Aus">0.5467</definedName>
    <definedName name="Ex_Time">#REF!,#REF!,#REF!,#REF!,#REF!,#REF!,#REF!,#REF!,#REF!,#REF!,#REF!,#REF!,#REF!,#REF!,#REF!,#REF!,#REF!,#REF!</definedName>
    <definedName name="Exc_Time">#REF!,#REF!,#REF!,#REF!,#REF!,#REF!,#REF!,#REF!,#REF!,#REF!,#REF!,#REF!,#REF!,#REF!,#REF!,#REF!,#REF!,#REF!</definedName>
    <definedName name="Excel_BuiltIn__FilterDatabase_1_1">"$#REF!.$#REF!$#REF!:$#REF!$#REF!"</definedName>
    <definedName name="Excel_BuiltIn__FilterDatabase_1_1_1">"$#REF!.$#REF!$#REF!:$#REF!$#REF!"</definedName>
    <definedName name="Excel_BuiltIn__FilterDatabase_1_1_1_1">"$#REF!.$#REF!$#REF!:$#REF!$#REF!"</definedName>
    <definedName name="Excel_BuiltIn__FilterDatabase_15_12">"$#REF!.$B$6:$BB$38"</definedName>
    <definedName name="Excel_BuiltIn__FilterDatabase_15_15">"$#REF!.$#REF!$#REF!:$#REF!$#REF!"</definedName>
    <definedName name="Excel_BuiltIn__FilterDatabase_15_2">"$#REF!.$#REF!$#REF!:$#REF!$#REF!"</definedName>
    <definedName name="Excel_BuiltIn__FilterDatabase_15_3">"$#REF!.$#REF!$#REF!:$#REF!$#REF!"</definedName>
    <definedName name="Excel_BuiltIn__FilterDatabase_15_4">"$#REF!.$#REF!$#REF!:$#REF!$#REF!"</definedName>
    <definedName name="Excel_BuiltIn__FilterDatabase_15_5">"$#REF!.$#REF!$#REF!:$#REF!$#REF!"</definedName>
    <definedName name="Excel_BuiltIn__FilterDatabase_16_1">"$#REF!.$A$4:$L$3306"</definedName>
    <definedName name="Excel_BuiltIn__FilterDatabase_18_1">"$#REF!.$A$3:$IV$17"</definedName>
    <definedName name="Excel_BuiltIn__FilterDatabase_2_1">NA()</definedName>
    <definedName name="Excel_BuiltIn__FilterDatabase_2_1_1">"$Summary.$#REF!$#REF!:$#REF!$#REF!"</definedName>
    <definedName name="Excel_BuiltIn__FilterDatabase_2_10">NA()</definedName>
    <definedName name="Excel_BuiltIn__FilterDatabase_2_11">NA()</definedName>
    <definedName name="Excel_BuiltIn__FilterDatabase_2_12">NA()</definedName>
    <definedName name="Excel_BuiltIn__FilterDatabase_2_13">NA()</definedName>
    <definedName name="Excel_BuiltIn__FilterDatabase_2_14">NA()</definedName>
    <definedName name="Excel_BuiltIn__FilterDatabase_2_15">NA()</definedName>
    <definedName name="Excel_BuiltIn__FilterDatabase_2_16">NA()</definedName>
    <definedName name="Excel_BuiltIn__FilterDatabase_2_17">NA()</definedName>
    <definedName name="Excel_BuiltIn__FilterDatabase_2_18">NA()</definedName>
    <definedName name="Excel_BuiltIn__FilterDatabase_2_19">NA()</definedName>
    <definedName name="Excel_BuiltIn__FilterDatabase_2_2">NA()</definedName>
    <definedName name="Excel_BuiltIn__FilterDatabase_2_20">NA()</definedName>
    <definedName name="Excel_BuiltIn__FilterDatabase_2_23">NA()</definedName>
    <definedName name="Excel_BuiltIn__FilterDatabase_2_24">NA()</definedName>
    <definedName name="Excel_BuiltIn__FilterDatabase_2_25">NA()</definedName>
    <definedName name="Excel_BuiltIn__FilterDatabase_2_27">NA()</definedName>
    <definedName name="Excel_BuiltIn__FilterDatabase_2_28">NA()</definedName>
    <definedName name="Excel_BuiltIn__FilterDatabase_2_3">NA()</definedName>
    <definedName name="Excel_BuiltIn__FilterDatabase_2_30">NA()</definedName>
    <definedName name="Excel_BuiltIn__FilterDatabase_2_31">NA()</definedName>
    <definedName name="Excel_BuiltIn__FilterDatabase_2_32">NA()</definedName>
    <definedName name="Excel_BuiltIn__FilterDatabase_2_33">NA()</definedName>
    <definedName name="Excel_BuiltIn__FilterDatabase_2_36">NA()</definedName>
    <definedName name="Excel_BuiltIn__FilterDatabase_2_37">NA()</definedName>
    <definedName name="Excel_BuiltIn__FilterDatabase_2_38">NA()</definedName>
    <definedName name="Excel_BuiltIn__FilterDatabase_2_39">NA()</definedName>
    <definedName name="Excel_BuiltIn__FilterDatabase_2_40">NA()</definedName>
    <definedName name="Excel_BuiltIn__FilterDatabase_2_41">NA()</definedName>
    <definedName name="Excel_BuiltIn__FilterDatabase_2_43">NA()</definedName>
    <definedName name="Excel_BuiltIn__FilterDatabase_2_44">NA()</definedName>
    <definedName name="Excel_BuiltIn__FilterDatabase_2_45">NA()</definedName>
    <definedName name="Excel_BuiltIn__FilterDatabase_2_46">NA()</definedName>
    <definedName name="Excel_BuiltIn__FilterDatabase_2_47">NA()</definedName>
    <definedName name="Excel_BuiltIn__FilterDatabase_2_48">NA()</definedName>
    <definedName name="Excel_BuiltIn__FilterDatabase_2_49">NA()</definedName>
    <definedName name="Excel_BuiltIn__FilterDatabase_2_5">NA()</definedName>
    <definedName name="Excel_BuiltIn__FilterDatabase_2_50">NA()</definedName>
    <definedName name="Excel_BuiltIn__FilterDatabase_2_51">NA()</definedName>
    <definedName name="Excel_BuiltIn__FilterDatabase_2_53">NA()</definedName>
    <definedName name="Excel_BuiltIn__FilterDatabase_2_54">NA()</definedName>
    <definedName name="Excel_BuiltIn__FilterDatabase_2_56">NA()</definedName>
    <definedName name="Excel_BuiltIn__FilterDatabase_2_57">NA()</definedName>
    <definedName name="Excel_BuiltIn__FilterDatabase_2_58">NA()</definedName>
    <definedName name="Excel_BuiltIn__FilterDatabase_2_59">NA()</definedName>
    <definedName name="Excel_BuiltIn__FilterDatabase_2_60">NA()</definedName>
    <definedName name="Excel_BuiltIn__FilterDatabase_2_61">NA()</definedName>
    <definedName name="Excel_BuiltIn__FilterDatabase_2_62">NA()</definedName>
    <definedName name="Excel_BuiltIn__FilterDatabase_2_63">NA()</definedName>
    <definedName name="Excel_BuiltIn__FilterDatabase_2_64">NA()</definedName>
    <definedName name="Excel_BuiltIn__FilterDatabase_2_65">NA()</definedName>
    <definedName name="Excel_BuiltIn__FilterDatabase_2_66">NA()</definedName>
    <definedName name="Excel_BuiltIn__FilterDatabase_2_67">NA()</definedName>
    <definedName name="Excel_BuiltIn__FilterDatabase_2_68">NA()</definedName>
    <definedName name="Excel_BuiltIn__FilterDatabase_2_69">NA()</definedName>
    <definedName name="Excel_BuiltIn__FilterDatabase_2_70">NA()</definedName>
    <definedName name="Excel_BuiltIn__FilterDatabase_2_71">NA()</definedName>
    <definedName name="Excel_BuiltIn__FilterDatabase_2_72">NA()</definedName>
    <definedName name="Excel_BuiltIn__FilterDatabase_2_73">NA()</definedName>
    <definedName name="Excel_BuiltIn__FilterDatabase_2_74">NA()</definedName>
    <definedName name="Excel_BuiltIn__FilterDatabase_2_75">NA()</definedName>
    <definedName name="Excel_BuiltIn__FilterDatabase_2_76">NA()</definedName>
    <definedName name="Excel_BuiltIn__FilterDatabase_2_77">NA()</definedName>
    <definedName name="Excel_BuiltIn__FilterDatabase_2_78">NA()</definedName>
    <definedName name="Excel_BuiltIn__FilterDatabase_2_79">NA()</definedName>
    <definedName name="Excel_BuiltIn__FilterDatabase_2_8">NA()</definedName>
    <definedName name="Excel_BuiltIn__FilterDatabase_2_80">NA()</definedName>
    <definedName name="Excel_BuiltIn__FilterDatabase_2_81">NA()</definedName>
    <definedName name="Excel_BuiltIn__FilterDatabase_2_82">NA()</definedName>
    <definedName name="Excel_BuiltIn__FilterDatabase_2_83">NA()</definedName>
    <definedName name="Excel_BuiltIn__FilterDatabase_2_85">NA()</definedName>
    <definedName name="Excel_BuiltIn__FilterDatabase_2_86">NA()</definedName>
    <definedName name="Excel_BuiltIn__FilterDatabase_2_87">NA()</definedName>
    <definedName name="Excel_BuiltIn__FilterDatabase_2_88">NA()</definedName>
    <definedName name="Excel_BuiltIn__FilterDatabase_2_89">NA()</definedName>
    <definedName name="Excel_BuiltIn__FilterDatabase_2_9">NA()</definedName>
    <definedName name="Excel_BuiltIn__FilterDatabase_2_90">NA()</definedName>
    <definedName name="Excel_BuiltIn__FilterDatabase_2_91">NA()</definedName>
    <definedName name="Excel_BuiltIn__FilterDatabase_3_1_1">"$#REF!.$#REF!$#REF!:$#REF!$#REF!"</definedName>
    <definedName name="Excel_BuiltIn__FilterDatabase_3_1_1_1">"$#REF!.$N$6:$N$79"</definedName>
    <definedName name="Excel_BuiltIn__FilterDatabase_4_1_1">"$#REF!.$A$7:$R$533"</definedName>
    <definedName name="Excel_BuiltIn__FilterDatabase_5_1_1">"$#REF!.$A$9:$R$156"</definedName>
    <definedName name="Excel_BuiltIn__FilterDatabase_6_1">"$#REF!.$A$6:$R$449"</definedName>
    <definedName name="Excel_BuiltIn__FilterDatabase_6_10">NA()</definedName>
    <definedName name="Excel_BuiltIn__FilterDatabase_6_11">NA()</definedName>
    <definedName name="Excel_BuiltIn__FilterDatabase_6_12">NA()</definedName>
    <definedName name="Excel_BuiltIn__FilterDatabase_6_13">NA()</definedName>
    <definedName name="Excel_BuiltIn__FilterDatabase_6_14">NA()</definedName>
    <definedName name="Excel_BuiltIn__FilterDatabase_6_15">NA()</definedName>
    <definedName name="Excel_BuiltIn__FilterDatabase_6_16">NA()</definedName>
    <definedName name="Excel_BuiltIn__FilterDatabase_6_17">NA()</definedName>
    <definedName name="Excel_BuiltIn__FilterDatabase_6_18">NA()</definedName>
    <definedName name="Excel_BuiltIn__FilterDatabase_6_19">NA()</definedName>
    <definedName name="Excel_BuiltIn__FilterDatabase_6_2">NA()</definedName>
    <definedName name="Excel_BuiltIn__FilterDatabase_6_20">NA()</definedName>
    <definedName name="Excel_BuiltIn__FilterDatabase_6_23">NA()</definedName>
    <definedName name="Excel_BuiltIn__FilterDatabase_6_24">NA()</definedName>
    <definedName name="Excel_BuiltIn__FilterDatabase_6_25">NA()</definedName>
    <definedName name="Excel_BuiltIn__FilterDatabase_6_27">NA()</definedName>
    <definedName name="Excel_BuiltIn__FilterDatabase_6_28">NA()</definedName>
    <definedName name="Excel_BuiltIn__FilterDatabase_6_3">NA()</definedName>
    <definedName name="Excel_BuiltIn__FilterDatabase_6_30">NA()</definedName>
    <definedName name="Excel_BuiltIn__FilterDatabase_6_31">NA()</definedName>
    <definedName name="Excel_BuiltIn__FilterDatabase_6_32">NA()</definedName>
    <definedName name="Excel_BuiltIn__FilterDatabase_6_33">NA()</definedName>
    <definedName name="Excel_BuiltIn__FilterDatabase_6_36">NA()</definedName>
    <definedName name="Excel_BuiltIn__FilterDatabase_6_37">NA()</definedName>
    <definedName name="Excel_BuiltIn__FilterDatabase_6_38">NA()</definedName>
    <definedName name="Excel_BuiltIn__FilterDatabase_6_39">NA()</definedName>
    <definedName name="Excel_BuiltIn__FilterDatabase_6_40">NA()</definedName>
    <definedName name="Excel_BuiltIn__FilterDatabase_6_41">NA()</definedName>
    <definedName name="Excel_BuiltIn__FilterDatabase_6_43">NA()</definedName>
    <definedName name="Excel_BuiltIn__FilterDatabase_6_44">NA()</definedName>
    <definedName name="Excel_BuiltIn__FilterDatabase_6_45">NA()</definedName>
    <definedName name="Excel_BuiltIn__FilterDatabase_6_46">NA()</definedName>
    <definedName name="Excel_BuiltIn__FilterDatabase_6_47">NA()</definedName>
    <definedName name="Excel_BuiltIn__FilterDatabase_6_48">NA()</definedName>
    <definedName name="Excel_BuiltIn__FilterDatabase_6_49">NA()</definedName>
    <definedName name="Excel_BuiltIn__FilterDatabase_6_5">NA()</definedName>
    <definedName name="Excel_BuiltIn__FilterDatabase_6_50">NA()</definedName>
    <definedName name="Excel_BuiltIn__FilterDatabase_6_51">NA()</definedName>
    <definedName name="Excel_BuiltIn__FilterDatabase_6_53">NA()</definedName>
    <definedName name="Excel_BuiltIn__FilterDatabase_6_54">NA()</definedName>
    <definedName name="Excel_BuiltIn__FilterDatabase_6_56">NA()</definedName>
    <definedName name="Excel_BuiltIn__FilterDatabase_6_57">NA()</definedName>
    <definedName name="Excel_BuiltIn__FilterDatabase_6_58">NA()</definedName>
    <definedName name="Excel_BuiltIn__FilterDatabase_6_59">NA()</definedName>
    <definedName name="Excel_BuiltIn__FilterDatabase_6_60">NA()</definedName>
    <definedName name="Excel_BuiltIn__FilterDatabase_6_61">NA()</definedName>
    <definedName name="Excel_BuiltIn__FilterDatabase_6_62">NA()</definedName>
    <definedName name="Excel_BuiltIn__FilterDatabase_6_63">NA()</definedName>
    <definedName name="Excel_BuiltIn__FilterDatabase_6_64">NA()</definedName>
    <definedName name="Excel_BuiltIn__FilterDatabase_6_65">NA()</definedName>
    <definedName name="Excel_BuiltIn__FilterDatabase_6_66">NA()</definedName>
    <definedName name="Excel_BuiltIn__FilterDatabase_6_67">NA()</definedName>
    <definedName name="Excel_BuiltIn__FilterDatabase_6_68">NA()</definedName>
    <definedName name="Excel_BuiltIn__FilterDatabase_6_69">NA()</definedName>
    <definedName name="Excel_BuiltIn__FilterDatabase_6_70">NA()</definedName>
    <definedName name="Excel_BuiltIn__FilterDatabase_6_71">NA()</definedName>
    <definedName name="Excel_BuiltIn__FilterDatabase_6_72">NA()</definedName>
    <definedName name="Excel_BuiltIn__FilterDatabase_6_73">NA()</definedName>
    <definedName name="Excel_BuiltIn__FilterDatabase_6_74">NA()</definedName>
    <definedName name="Excel_BuiltIn__FilterDatabase_6_75">NA()</definedName>
    <definedName name="Excel_BuiltIn__FilterDatabase_6_76">NA()</definedName>
    <definedName name="Excel_BuiltIn__FilterDatabase_6_77">NA()</definedName>
    <definedName name="Excel_BuiltIn__FilterDatabase_6_78">NA()</definedName>
    <definedName name="Excel_BuiltIn__FilterDatabase_6_79">NA()</definedName>
    <definedName name="Excel_BuiltIn__FilterDatabase_6_8">NA()</definedName>
    <definedName name="Excel_BuiltIn__FilterDatabase_6_80">NA()</definedName>
    <definedName name="Excel_BuiltIn__FilterDatabase_6_81">NA()</definedName>
    <definedName name="Excel_BuiltIn__FilterDatabase_6_82">NA()</definedName>
    <definedName name="Excel_BuiltIn__FilterDatabase_6_83">NA()</definedName>
    <definedName name="Excel_BuiltIn__FilterDatabase_6_85">NA()</definedName>
    <definedName name="Excel_BuiltIn__FilterDatabase_6_86">NA()</definedName>
    <definedName name="Excel_BuiltIn__FilterDatabase_6_87">NA()</definedName>
    <definedName name="Excel_BuiltIn__FilterDatabase_6_88">NA()</definedName>
    <definedName name="Excel_BuiltIn__FilterDatabase_6_89">NA()</definedName>
    <definedName name="Excel_BuiltIn__FilterDatabase_6_9">NA()</definedName>
    <definedName name="Excel_BuiltIn__FilterDatabase_6_90">NA()</definedName>
    <definedName name="Excel_BuiltIn__FilterDatabase_6_91">NA()</definedName>
    <definedName name="Excel_BuiltIn__FilterDatabase_7_1">"$#REF!.$B$6:$N$109"</definedName>
    <definedName name="Excel_BuiltIn__FilterDatabase_7_1_1">"$#REF!.$A$6:$IV$168"</definedName>
    <definedName name="Excel_BuiltIn_Print_Area">NA()</definedName>
    <definedName name="Excel_BuiltIn_Print_Area_1">"$#REF!.$A$7:$AU$927"</definedName>
    <definedName name="Excel_BuiltIn_Print_Area_1_1_1">"$#REF!.$A$1:$R$47"</definedName>
    <definedName name="Excel_BuiltIn_Print_Area_10">"$#REF!.$A$1:$G$161"</definedName>
    <definedName name="Excel_BuiltIn_Print_Area_10_1">"$#REF!.$A$1:$R$47"</definedName>
    <definedName name="Excel_BuiltIn_Print_Area_10_1_1">"$#REF!.$A$1:$Y$56"</definedName>
    <definedName name="Excel_BuiltIn_Print_Area_10_1_1_1">"$#REF!.$A$1:$Y$59"</definedName>
    <definedName name="Excel_BuiltIn_Print_Area_10_1_1_1_1">"$#REF!.$A$1:$Y$61"</definedName>
    <definedName name="Excel_BuiltIn_Print_Area_10_1_1_1_1_1">"$#REF!.$A$1:$Q$25"</definedName>
    <definedName name="Excel_BuiltIn_Print_Area_10_1_1_1_1_1_1">"$#REF!.$#REF!$#REF!:$#REF!$#REF!"</definedName>
    <definedName name="Excel_BuiltIn_Print_Area_11_1_1">"$#REF!.$A$1:$R$47"</definedName>
    <definedName name="Excel_BuiltIn_Print_Area_11_1_1_1">"$#REF!.$A$1:$Y$57"</definedName>
    <definedName name="Excel_BuiltIn_Print_Area_11_1_1_1_1">"$#REF!.$A$1:$Y$48"</definedName>
    <definedName name="Excel_BuiltIn_Print_Area_11_1_1_1_1_1">"$#REF!.$A$1:$U$56"</definedName>
    <definedName name="Excel_BuiltIn_Print_Area_11_1_1_1_1_1_1">"$#REF!.$A$1:$Q$32"</definedName>
    <definedName name="Excel_BuiltIn_Print_Area_11_1_1_1_1_1_1_1">"$#REF!.$A$1:$Q$30"</definedName>
    <definedName name="Excel_BuiltIn_Print_Area_12">"$#REF!.$A$1:$N$5"</definedName>
    <definedName name="Excel_BuiltIn_Print_Area_12_1">"$#REF!.$A$1:$R$47"</definedName>
    <definedName name="Excel_BuiltIn_Print_Area_12_1_1">"$#REF!.$A$1:$Y$51"</definedName>
    <definedName name="Excel_BuiltIn_Print_Area_12_1_1_1">"$#REF!.$A$1:$Y$64"</definedName>
    <definedName name="Excel_BuiltIn_Print_Area_12_1_1_1_1">"$#REF!.$A$1:$Y$46"</definedName>
    <definedName name="Excel_BuiltIn_Print_Area_12_1_1_1_1_1">"$#REF!.$A$1:$Q$23"</definedName>
    <definedName name="Excel_BuiltIn_Print_Area_12_1_1_1_1_1_1">"$#REF!.$#REF!$#REF!:$#REF!$#REF!"</definedName>
    <definedName name="Excel_BuiltIn_Print_Area_13_1">"$#REF!.$A$1:$R$47"</definedName>
    <definedName name="Excel_BuiltIn_Print_Area_13_1_1">"$#REF!.$A$1:$F$57"</definedName>
    <definedName name="Excel_BuiltIn_Print_Area_13_1_1_1">"$#REF!.$A$1:$Y$47"</definedName>
    <definedName name="Excel_BuiltIn_Print_Area_13_1_1_1_1">"$#REF!.$A$1:$Q$2"</definedName>
    <definedName name="Excel_BuiltIn_Print_Area_13_1_1_1_1_1">"$#REF!.$#REF!$#REF!:$#REF!$#REF!"</definedName>
    <definedName name="Excel_BuiltIn_Print_Area_14">"$#REF!.$A$1:$G$36"</definedName>
    <definedName name="Excel_BuiltIn_Print_Area_14_1">"$#REF!.$A$1:$F$57"</definedName>
    <definedName name="Excel_BuiltIn_Print_Area_14_1_1">"$#REF!.$A$1:$Y$57"</definedName>
    <definedName name="Excel_BuiltIn_Print_Area_14_1_1_1">"$#REF!.$A$1:$Q$2"</definedName>
    <definedName name="Excel_BuiltIn_Print_Area_15">"$#REF!.$A$1:$F$57"</definedName>
    <definedName name="Excel_BuiltIn_Print_Area_15_1">"$#REF!.$A$1:$S$47"</definedName>
    <definedName name="Excel_BuiltIn_Print_Area_15_1_1">"$#REF!.$A$1:$Y$57"</definedName>
    <definedName name="Excel_BuiltIn_Print_Area_15_1_1_1">"$#REF!.$A$1:$S$42"</definedName>
    <definedName name="Excel_BuiltIn_Print_Area_15_1_1_1_1">"$#REF!.$A$1:$Q$2"</definedName>
    <definedName name="Excel_BuiltIn_Print_Area_16_1">#REF!,#REF!</definedName>
    <definedName name="Excel_BuiltIn_Print_Area_16_1_1">"$#REF!.$A$1:$S$47"</definedName>
    <definedName name="Excel_BuiltIn_Print_Area_16_1_1_1">"$#REF!.$A$1:$Q$2"</definedName>
    <definedName name="Excel_BuiltIn_Print_Area_17_1">"$#REF!.$A$1:$S$47"</definedName>
    <definedName name="Excel_BuiltIn_Print_Area_17_1_1">"$#REF!.$A$1:$Y$65"</definedName>
    <definedName name="Excel_BuiltIn_Print_Area_17_1_1_1">"$#REF!.$A$1:$Y$47"</definedName>
    <definedName name="Excel_BuiltIn_Print_Area_17_1_1_1_1">"$#REF!.$A$1:$S$50"</definedName>
    <definedName name="Excel_BuiltIn_Print_Area_17_1_1_1_1_1">"$#REF!.$A$1:$Q$2"</definedName>
    <definedName name="Excel_BuiltIn_Print_Area_17_1_1_1_1_1_1">"$DAILY.$#REF!$#REF!:$#REF!$#REF!"</definedName>
    <definedName name="Excel_BuiltIn_Print_Area_18_1">"$#REF!.$A$1:$S$47"</definedName>
    <definedName name="Excel_BuiltIn_Print_Area_18_1_1">"$#REF!.$A$1:$Y$60"</definedName>
    <definedName name="Excel_BuiltIn_Print_Area_18_1_1_1">"$#REF!.$A$1:$S$46"</definedName>
    <definedName name="Excel_BuiltIn_Print_Area_18_1_1_1_1">"$#REF!.$A$1:$Q$2"</definedName>
    <definedName name="Excel_BuiltIn_Print_Area_18_1_1_1_1_1">"$#REF!.$#REF!$#REF!:$#REF!$#REF!"</definedName>
    <definedName name="Excel_BuiltIn_Print_Area_19_1">"$#REF!.$A$1:$S$47"</definedName>
    <definedName name="Excel_BuiltIn_Print_Area_19_1_1">"$#REF!.$A$1:$Y$61"</definedName>
    <definedName name="Excel_BuiltIn_Print_Area_19_1_1_1">"$#REF!.$A$1:$T$45"</definedName>
    <definedName name="Excel_BuiltIn_Print_Area_19_1_1_1_1">"$#REF!.$#REF!$#REF!:$#REF!$#REF!"</definedName>
    <definedName name="Excel_BuiltIn_Print_Area_2">"$#REF!.$A$7:$AU$929"</definedName>
    <definedName name="Excel_BuiltIn_Print_Area_2_1">"$#REF!.$A$1:$G$5"</definedName>
    <definedName name="Excel_BuiltIn_Print_Area_2_1_1">"$#REF!.$A$1:$Y$57"</definedName>
    <definedName name="Excel_BuiltIn_Print_Area_2_1_1_1">"$#REF!.$A$1:$Y$45"</definedName>
    <definedName name="Excel_BuiltIn_Print_Area_2_1_1_1_1">"$#REF!.$B$2:$V$61"</definedName>
    <definedName name="Excel_BuiltIn_Print_Area_2_1_1_1_1_1">"$#REF!.$A$1:$O$2"</definedName>
    <definedName name="Excel_BuiltIn_Print_Area_2_1_1_1_1_1_1">"$#REF!.$A$1:$Q$31"</definedName>
    <definedName name="Excel_BuiltIn_Print_Area_2_1_1_1_1_1_1_1">"$#REF!.$A$1:$IV$4"</definedName>
    <definedName name="Excel_BuiltIn_Print_Area_2_1_10">NA()</definedName>
    <definedName name="Excel_BuiltIn_Print_Area_2_1_11">NA()</definedName>
    <definedName name="Excel_BuiltIn_Print_Area_2_1_12">NA()</definedName>
    <definedName name="Excel_BuiltIn_Print_Area_2_1_13">NA()</definedName>
    <definedName name="Excel_BuiltIn_Print_Area_2_1_14">NA()</definedName>
    <definedName name="Excel_BuiltIn_Print_Area_2_1_15">NA()</definedName>
    <definedName name="Excel_BuiltIn_Print_Area_2_1_16">NA()</definedName>
    <definedName name="Excel_BuiltIn_Print_Area_2_1_17">NA()</definedName>
    <definedName name="Excel_BuiltIn_Print_Area_2_1_18">NA()</definedName>
    <definedName name="Excel_BuiltIn_Print_Area_2_1_19">NA()</definedName>
    <definedName name="Excel_BuiltIn_Print_Area_2_1_2">NA()</definedName>
    <definedName name="Excel_BuiltIn_Print_Area_2_1_20">NA()</definedName>
    <definedName name="Excel_BuiltIn_Print_Area_2_1_23">NA()</definedName>
    <definedName name="Excel_BuiltIn_Print_Area_2_1_24">NA()</definedName>
    <definedName name="Excel_BuiltIn_Print_Area_2_1_25">NA()</definedName>
    <definedName name="Excel_BuiltIn_Print_Area_2_1_27">NA()</definedName>
    <definedName name="Excel_BuiltIn_Print_Area_2_1_28">NA()</definedName>
    <definedName name="Excel_BuiltIn_Print_Area_2_1_3">NA()</definedName>
    <definedName name="Excel_BuiltIn_Print_Area_2_1_30">NA()</definedName>
    <definedName name="Excel_BuiltIn_Print_Area_2_1_31">NA()</definedName>
    <definedName name="Excel_BuiltIn_Print_Area_2_1_32">NA()</definedName>
    <definedName name="Excel_BuiltIn_Print_Area_2_1_33">NA()</definedName>
    <definedName name="Excel_BuiltIn_Print_Area_2_1_36">NA()</definedName>
    <definedName name="Excel_BuiltIn_Print_Area_2_1_37">NA()</definedName>
    <definedName name="Excel_BuiltIn_Print_Area_2_1_38">NA()</definedName>
    <definedName name="Excel_BuiltIn_Print_Area_2_1_39">NA()</definedName>
    <definedName name="Excel_BuiltIn_Print_Area_2_1_40">NA()</definedName>
    <definedName name="Excel_BuiltIn_Print_Area_2_1_41">NA()</definedName>
    <definedName name="Excel_BuiltIn_Print_Area_2_1_43">NA()</definedName>
    <definedName name="Excel_BuiltIn_Print_Area_2_1_44">NA()</definedName>
    <definedName name="Excel_BuiltIn_Print_Area_2_1_45">NA()</definedName>
    <definedName name="Excel_BuiltIn_Print_Area_2_1_46">NA()</definedName>
    <definedName name="Excel_BuiltIn_Print_Area_2_1_47">NA()</definedName>
    <definedName name="Excel_BuiltIn_Print_Area_2_1_48">NA()</definedName>
    <definedName name="Excel_BuiltIn_Print_Area_2_1_49">NA()</definedName>
    <definedName name="Excel_BuiltIn_Print_Area_2_1_5">NA()</definedName>
    <definedName name="Excel_BuiltIn_Print_Area_2_1_50">NA()</definedName>
    <definedName name="Excel_BuiltIn_Print_Area_2_1_51">NA()</definedName>
    <definedName name="Excel_BuiltIn_Print_Area_2_1_53">NA()</definedName>
    <definedName name="Excel_BuiltIn_Print_Area_2_1_54">NA()</definedName>
    <definedName name="Excel_BuiltIn_Print_Area_2_1_56">NA()</definedName>
    <definedName name="Excel_BuiltIn_Print_Area_2_1_57">NA()</definedName>
    <definedName name="Excel_BuiltIn_Print_Area_2_1_58">NA()</definedName>
    <definedName name="Excel_BuiltIn_Print_Area_2_1_59">NA()</definedName>
    <definedName name="Excel_BuiltIn_Print_Area_2_1_60">NA()</definedName>
    <definedName name="Excel_BuiltIn_Print_Area_2_1_61">NA()</definedName>
    <definedName name="Excel_BuiltIn_Print_Area_2_1_62">NA()</definedName>
    <definedName name="Excel_BuiltIn_Print_Area_2_1_63">NA()</definedName>
    <definedName name="Excel_BuiltIn_Print_Area_2_1_64">NA()</definedName>
    <definedName name="Excel_BuiltIn_Print_Area_2_1_65">NA()</definedName>
    <definedName name="Excel_BuiltIn_Print_Area_2_1_66">NA()</definedName>
    <definedName name="Excel_BuiltIn_Print_Area_2_1_67">NA()</definedName>
    <definedName name="Excel_BuiltIn_Print_Area_2_1_68">NA()</definedName>
    <definedName name="Excel_BuiltIn_Print_Area_2_1_69">NA()</definedName>
    <definedName name="Excel_BuiltIn_Print_Area_2_1_70">NA()</definedName>
    <definedName name="Excel_BuiltIn_Print_Area_2_1_71">NA()</definedName>
    <definedName name="Excel_BuiltIn_Print_Area_2_1_72">NA()</definedName>
    <definedName name="Excel_BuiltIn_Print_Area_2_1_73">NA()</definedName>
    <definedName name="Excel_BuiltIn_Print_Area_2_1_74">NA()</definedName>
    <definedName name="Excel_BuiltIn_Print_Area_2_1_75">NA()</definedName>
    <definedName name="Excel_BuiltIn_Print_Area_2_1_76">NA()</definedName>
    <definedName name="Excel_BuiltIn_Print_Area_2_1_77">NA()</definedName>
    <definedName name="Excel_BuiltIn_Print_Area_2_1_78">NA()</definedName>
    <definedName name="Excel_BuiltIn_Print_Area_2_1_79">NA()</definedName>
    <definedName name="Excel_BuiltIn_Print_Area_2_1_8">NA()</definedName>
    <definedName name="Excel_BuiltIn_Print_Area_2_1_80">NA()</definedName>
    <definedName name="Excel_BuiltIn_Print_Area_2_1_81">NA()</definedName>
    <definedName name="Excel_BuiltIn_Print_Area_2_1_82">NA()</definedName>
    <definedName name="Excel_BuiltIn_Print_Area_2_1_83">NA()</definedName>
    <definedName name="Excel_BuiltIn_Print_Area_2_1_85">NA()</definedName>
    <definedName name="Excel_BuiltIn_Print_Area_2_1_86">NA()</definedName>
    <definedName name="Excel_BuiltIn_Print_Area_2_1_87">NA()</definedName>
    <definedName name="Excel_BuiltIn_Print_Area_2_1_88">NA()</definedName>
    <definedName name="Excel_BuiltIn_Print_Area_2_1_89">NA()</definedName>
    <definedName name="Excel_BuiltIn_Print_Area_2_1_9">NA()</definedName>
    <definedName name="Excel_BuiltIn_Print_Area_2_1_90">NA()</definedName>
    <definedName name="Excel_BuiltIn_Print_Area_2_1_91">NA()</definedName>
    <definedName name="Excel_BuiltIn_Print_Area_2_10">NA()</definedName>
    <definedName name="Excel_BuiltIn_Print_Area_2_11">NA()</definedName>
    <definedName name="Excel_BuiltIn_Print_Area_2_12">NA()</definedName>
    <definedName name="Excel_BuiltIn_Print_Area_2_13">NA()</definedName>
    <definedName name="Excel_BuiltIn_Print_Area_2_14">NA()</definedName>
    <definedName name="Excel_BuiltIn_Print_Area_2_15">NA()</definedName>
    <definedName name="Excel_BuiltIn_Print_Area_2_16">NA()</definedName>
    <definedName name="Excel_BuiltIn_Print_Area_2_17">NA()</definedName>
    <definedName name="Excel_BuiltIn_Print_Area_2_18">NA()</definedName>
    <definedName name="Excel_BuiltIn_Print_Area_2_19">NA()</definedName>
    <definedName name="Excel_BuiltIn_Print_Area_2_2">NA()</definedName>
    <definedName name="Excel_BuiltIn_Print_Area_2_20">NA()</definedName>
    <definedName name="Excel_BuiltIn_Print_Area_2_23">NA()</definedName>
    <definedName name="Excel_BuiltIn_Print_Area_2_24">NA()</definedName>
    <definedName name="Excel_BuiltIn_Print_Area_2_25">NA()</definedName>
    <definedName name="Excel_BuiltIn_Print_Area_2_27">NA()</definedName>
    <definedName name="Excel_BuiltIn_Print_Area_2_28">NA()</definedName>
    <definedName name="Excel_BuiltIn_Print_Area_2_3">NA()</definedName>
    <definedName name="Excel_BuiltIn_Print_Area_2_30">NA()</definedName>
    <definedName name="Excel_BuiltIn_Print_Area_2_31">NA()</definedName>
    <definedName name="Excel_BuiltIn_Print_Area_2_32">NA()</definedName>
    <definedName name="Excel_BuiltIn_Print_Area_2_33">NA()</definedName>
    <definedName name="Excel_BuiltIn_Print_Area_2_36">NA()</definedName>
    <definedName name="Excel_BuiltIn_Print_Area_2_37">NA()</definedName>
    <definedName name="Excel_BuiltIn_Print_Area_2_38">NA()</definedName>
    <definedName name="Excel_BuiltIn_Print_Area_2_39">NA()</definedName>
    <definedName name="Excel_BuiltIn_Print_Area_2_40">NA()</definedName>
    <definedName name="Excel_BuiltIn_Print_Area_2_41">NA()</definedName>
    <definedName name="Excel_BuiltIn_Print_Area_2_43">NA()</definedName>
    <definedName name="Excel_BuiltIn_Print_Area_2_44">NA()</definedName>
    <definedName name="Excel_BuiltIn_Print_Area_2_45">NA()</definedName>
    <definedName name="Excel_BuiltIn_Print_Area_2_46">NA()</definedName>
    <definedName name="Excel_BuiltIn_Print_Area_2_47">NA()</definedName>
    <definedName name="Excel_BuiltIn_Print_Area_2_48">NA()</definedName>
    <definedName name="Excel_BuiltIn_Print_Area_2_49">NA()</definedName>
    <definedName name="Excel_BuiltIn_Print_Area_2_5">NA()</definedName>
    <definedName name="Excel_BuiltIn_Print_Area_2_50">NA()</definedName>
    <definedName name="Excel_BuiltIn_Print_Area_2_51">NA()</definedName>
    <definedName name="Excel_BuiltIn_Print_Area_2_53">NA()</definedName>
    <definedName name="Excel_BuiltIn_Print_Area_2_54">NA()</definedName>
    <definedName name="Excel_BuiltIn_Print_Area_2_56">NA()</definedName>
    <definedName name="Excel_BuiltIn_Print_Area_2_57">NA()</definedName>
    <definedName name="Excel_BuiltIn_Print_Area_2_58">NA()</definedName>
    <definedName name="Excel_BuiltIn_Print_Area_2_59">NA()</definedName>
    <definedName name="Excel_BuiltIn_Print_Area_2_60">NA()</definedName>
    <definedName name="Excel_BuiltIn_Print_Area_2_61">NA()</definedName>
    <definedName name="Excel_BuiltIn_Print_Area_2_62">NA()</definedName>
    <definedName name="Excel_BuiltIn_Print_Area_2_63">NA()</definedName>
    <definedName name="Excel_BuiltIn_Print_Area_2_64">NA()</definedName>
    <definedName name="Excel_BuiltIn_Print_Area_2_65">NA()</definedName>
    <definedName name="Excel_BuiltIn_Print_Area_2_66">NA()</definedName>
    <definedName name="Excel_BuiltIn_Print_Area_2_67">NA()</definedName>
    <definedName name="Excel_BuiltIn_Print_Area_2_68">NA()</definedName>
    <definedName name="Excel_BuiltIn_Print_Area_2_69">NA()</definedName>
    <definedName name="Excel_BuiltIn_Print_Area_2_70">NA()</definedName>
    <definedName name="Excel_BuiltIn_Print_Area_2_71">NA()</definedName>
    <definedName name="Excel_BuiltIn_Print_Area_2_72">NA()</definedName>
    <definedName name="Excel_BuiltIn_Print_Area_2_73">NA()</definedName>
    <definedName name="Excel_BuiltIn_Print_Area_2_74">NA()</definedName>
    <definedName name="Excel_BuiltIn_Print_Area_2_75">NA()</definedName>
    <definedName name="Excel_BuiltIn_Print_Area_2_76">NA()</definedName>
    <definedName name="Excel_BuiltIn_Print_Area_2_77">NA()</definedName>
    <definedName name="Excel_BuiltIn_Print_Area_2_78">NA()</definedName>
    <definedName name="Excel_BuiltIn_Print_Area_2_79">NA()</definedName>
    <definedName name="Excel_BuiltIn_Print_Area_2_8">NA()</definedName>
    <definedName name="Excel_BuiltIn_Print_Area_2_80">NA()</definedName>
    <definedName name="Excel_BuiltIn_Print_Area_2_81">NA()</definedName>
    <definedName name="Excel_BuiltIn_Print_Area_2_82">NA()</definedName>
    <definedName name="Excel_BuiltIn_Print_Area_2_83">NA()</definedName>
    <definedName name="Excel_BuiltIn_Print_Area_2_85">NA()</definedName>
    <definedName name="Excel_BuiltIn_Print_Area_2_86">NA()</definedName>
    <definedName name="Excel_BuiltIn_Print_Area_2_87">NA()</definedName>
    <definedName name="Excel_BuiltIn_Print_Area_2_88">NA()</definedName>
    <definedName name="Excel_BuiltIn_Print_Area_2_89">NA()</definedName>
    <definedName name="Excel_BuiltIn_Print_Area_2_9">NA()</definedName>
    <definedName name="Excel_BuiltIn_Print_Area_2_90">NA()</definedName>
    <definedName name="Excel_BuiltIn_Print_Area_2_91">NA()</definedName>
    <definedName name="Excel_BuiltIn_Print_Area_20_1">"$#REF!.$A$1:$S$47"</definedName>
    <definedName name="Excel_BuiltIn_Print_Area_20_1_1">"$#REF!.$C$5:$I$5993"</definedName>
    <definedName name="Excel_BuiltIn_Print_Area_20_1_1_1">"$#REF!.$A$1:$Y$45"</definedName>
    <definedName name="Excel_BuiltIn_Print_Area_20_1_1_1_1">"$#REF!.$A$1:$T$42"</definedName>
    <definedName name="Excel_BuiltIn_Print_Area_20_1_1_1_1_1">"$#REF!.$A$1:$U$54"</definedName>
    <definedName name="Excel_BuiltIn_Print_Area_20_1_1_1_1_1_1">"$#REF!.$#REF!$#REF!:$#REF!$#REF!"</definedName>
    <definedName name="Excel_BuiltIn_Print_Area_21_1">"$#REF!.$A$1:$S$47"</definedName>
    <definedName name="Excel_BuiltIn_Print_Area_21_1_1">"$#REF!.$A$1:$BB$54"</definedName>
    <definedName name="Excel_BuiltIn_Print_Area_21_1_1_1">"$#REF!.$A$1:$S$46"</definedName>
    <definedName name="Excel_BuiltIn_Print_Area_21_1_1_1_1">"$#REF!.$A$1:$U$53"</definedName>
    <definedName name="Excel_BuiltIn_Print_Area_21_1_1_1_1_1">"$#REF!.$#REF!$#REF!:$#REF!$#REF!"</definedName>
    <definedName name="Excel_BuiltIn_Print_Area_22">"$#REF!.$A$1:$BC$73"</definedName>
    <definedName name="Excel_BuiltIn_Print_Area_22_1">"$#REF!.$A$1:$S$47"</definedName>
    <definedName name="Excel_BuiltIn_Print_Area_22_1_1">"$#REF!.$A$2:$BB$60"</definedName>
    <definedName name="Excel_BuiltIn_Print_Area_22_1_1_1">"$#REF!.$A$1:$BB$60"</definedName>
    <definedName name="Excel_BuiltIn_Print_Area_22_1_1_1_1">"$#REF!.$A$1:$BB$38"</definedName>
    <definedName name="Excel_BuiltIn_Print_Area_22_1_1_1_1_1">"$#REF!.$#REF!$#REF!:$#REF!$#REF!"</definedName>
    <definedName name="Excel_BuiltIn_Print_Area_23">"$#REF!.$A$1:$BC$46"</definedName>
    <definedName name="Excel_BuiltIn_Print_Area_23_1">"$#REF!.$A$1:$S$47"</definedName>
    <definedName name="Excel_BuiltIn_Print_Area_23_1_1">"$#REF!.$A$1:$BC$69"</definedName>
    <definedName name="Excel_BuiltIn_Print_Area_23_1_1_1">"$#REF!.$A$1:$BC$38"</definedName>
    <definedName name="Excel_BuiltIn_Print_Area_23_1_1_1_1">"$#REF!.$B$1:$BB$38"</definedName>
    <definedName name="Excel_BuiltIn_Print_Area_23_1_1_1_1_1">"$#REF!.$A$1:$BB$38"</definedName>
    <definedName name="Excel_BuiltIn_Print_Area_23_1_1_1_1_1_1">"$#REF!.$#REF!$#REF!:$#REF!$#REF!"</definedName>
    <definedName name="Excel_BuiltIn_Print_Area_24">"$#REF!.$B$2:$BB$37"</definedName>
    <definedName name="Excel_BuiltIn_Print_Area_24_1">"$#REF!.$A$1:$S$47"</definedName>
    <definedName name="Excel_BuiltIn_Print_Area_24_1_1">"$#REF!.$A$1:$BC$71"</definedName>
    <definedName name="Excel_BuiltIn_Print_Area_24_1_1_1">"$#REF!.$A$1:$BB$38"</definedName>
    <definedName name="Excel_BuiltIn_Print_Area_25_1">"$#REF!.$A$1:$S$47"</definedName>
    <definedName name="Excel_BuiltIn_Print_Area_25_1_1">"$#REF!.$A$1:$Y$43"</definedName>
    <definedName name="Excel_BuiltIn_Print_Area_25_1_1_1">"$#REF!.$A$1:$T$39"</definedName>
    <definedName name="Excel_BuiltIn_Print_Area_26_1">"$#REF!.$A$1:$S$47"</definedName>
    <definedName name="Excel_BuiltIn_Print_Area_26_1_1">"$#REF!.$A$1:$Y$62"</definedName>
    <definedName name="Excel_BuiltIn_Print_Area_26_1_1_1">"$#REF!.$A$1:$S$40"</definedName>
    <definedName name="Excel_BuiltIn_Print_Area_27_1">"$#REF!.$A$1:$S$47"</definedName>
    <definedName name="Excel_BuiltIn_Print_Area_27_1_1">"$#REF!.$A$1:$T$40"</definedName>
    <definedName name="Excel_BuiltIn_Print_Area_28_1">"$#REF!.$A$1:$S$41"</definedName>
    <definedName name="Excel_BuiltIn_Print_Area_29_1">"$#REF!.$A$1:$S$41"</definedName>
    <definedName name="Excel_BuiltIn_Print_Area_3_1">"$#REF!.$A$1:$AQ$5"</definedName>
    <definedName name="Excel_BuiltIn_Print_Area_3_1_1">"$#REF!.$A$1:$AU$25"</definedName>
    <definedName name="Excel_BuiltIn_Print_Area_3_1_1_1">"$#REF!.$A$1:$Y$65"</definedName>
    <definedName name="Excel_BuiltIn_Print_Area_3_1_1_1_1">"$#REF!.$A$1:$Y$55"</definedName>
    <definedName name="Excel_BuiltIn_Print_Area_3_1_1_1_1_1">"$#REF!.$A$1:$Y$42"</definedName>
    <definedName name="Excel_BuiltIn_Print_Area_3_1_1_1_1_1_1">"$#REF!.$A$1:$H$43"</definedName>
    <definedName name="Excel_BuiltIn_Print_Area_3_1_1_1_1_1_1_1">"$#REF!.$A$1:$U$52"</definedName>
    <definedName name="Excel_BuiltIn_Print_Area_3_1_1_1_1_1_1_1_1">"$#REF!.$B$2:$V$60"</definedName>
    <definedName name="Excel_BuiltIn_Print_Area_3_1_1_1_1_1_1_1_1_1">"$#REF!.$A$1:$IT$9"</definedName>
    <definedName name="Excel_BuiltIn_Print_Area_3_1_1_1_1_1_1_1_1_1_1">"$PITSTOP.$#REF!$#REF!:$#REF!$#REF!"</definedName>
    <definedName name="Excel_BuiltIn_Print_Area_3_1_1_1_1_1_1_1_1_1_1_1">"$PITSTOP.$#REF!$#REF!:$#REF!$#REF!"</definedName>
    <definedName name="Excel_BuiltIn_Print_Area_3_1_1_1_1_1_1_1_1_1_1_1_1">"$PITSTOP.$#REF!$#REF!:$#REF!$#REF!"</definedName>
    <definedName name="Excel_BuiltIn_Print_Area_3_1_1_1_1_1_1_1_1_1_1_1_1_1">"$#REF!.$#REF!$#REF!:$#REF!$#REF!"</definedName>
    <definedName name="Excel_BuiltIn_Print_Area_3_1_1_1_1_1_1_1_1_1_1_1_1_1_1">"$#REF!.$#REF!$#REF!:$#REF!$#REF!"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Area_3_1_1_1_1_1_1_3">"$#REF!.$#REF!$#REF!:$#REF!$#REF!"</definedName>
    <definedName name="Excel_BuiltIn_Print_Area_3_1_1_1_1_1_1_5">"$#REF!.$#REF!$#REF!:$#REF!$#REF!"</definedName>
    <definedName name="Excel_BuiltIn_Print_Area_3_1_1_1_1_1_5">"$#REF!.$#REF!$#REF!:$#REF!$#REF!"</definedName>
    <definedName name="Excel_BuiltIn_Print_Area_3_1_1_1_1_5">"$PITSTOP.$#REF!$#REF!:$#REF!$#REF!"</definedName>
    <definedName name="Excel_BuiltIn_Print_Area_3_1_1_1_3">"$PITSTOP.$#REF!$#REF!:$#REF!$#REF!"</definedName>
    <definedName name="Excel_BuiltIn_Print_Area_3_1_1_1_5">"$PITSTOP.$#REF!$#REF!:$#REF!$#REF!"</definedName>
    <definedName name="Excel_BuiltIn_Print_Area_30_1">"$#REF!.$A$1:$S$44"</definedName>
    <definedName name="Excel_BuiltIn_Print_Area_36">"$#REF!.$A$1:$M$59"</definedName>
    <definedName name="Excel_BuiltIn_Print_Area_36_1">"$#REF!.$A$1:$M$59"</definedName>
    <definedName name="Excel_BuiltIn_Print_Area_37">"$#REF!.$A$1:$M$59"</definedName>
    <definedName name="Excel_BuiltIn_Print_Area_38">"$#REF!.$A$1:$M$59"</definedName>
    <definedName name="Excel_BuiltIn_Print_Area_39">"$#REF!.$A$1:$M$59"</definedName>
    <definedName name="Excel_BuiltIn_Print_Area_4_1_1">"$#REF!.$A$1:$R$47"</definedName>
    <definedName name="Excel_BuiltIn_Print_Area_4_1_1_1">"$#REF!.$A$1:$Y$69"</definedName>
    <definedName name="Excel_BuiltIn_Print_Area_4_1_1_1_1">"$#REF!.$A$1:$Y$63"</definedName>
    <definedName name="Excel_BuiltIn_Print_Area_4_1_1_1_1_1">"$#REF!.$A$1:$Y$43"</definedName>
    <definedName name="Excel_BuiltIn_Print_Area_4_1_1_1_1_1_1">"$#REF!.$A$1:$Q$31"</definedName>
    <definedName name="Excel_BuiltIn_Print_Area_4_1_1_1_1_1_1_1">"$#REF!.$A$1:$IT$9"</definedName>
    <definedName name="Excel_BuiltIn_Print_Area_4_1_1_1_1_1_1_1_1">"$#REF!.$A$1:$Q$2"</definedName>
    <definedName name="Excel_BuiltIn_Print_Area_40">"$#REF!.$A$1:$M$59"</definedName>
    <definedName name="Excel_BuiltIn_Print_Area_41">"$#REF!.$A$1:$M$59"</definedName>
    <definedName name="Excel_BuiltIn_Print_Area_42">"$#REF!.$A$1:$M$59"</definedName>
    <definedName name="Excel_BuiltIn_Print_Area_43">"$#REF!.$A$1:$M$59"</definedName>
    <definedName name="Excel_BuiltIn_Print_Area_44">"$#REF!.$A$1:$M$59"</definedName>
    <definedName name="Excel_BuiltIn_Print_Area_45">"$#REF!.$A$1:$M$59"</definedName>
    <definedName name="Excel_BuiltIn_Print_Area_46">"$#REF!.$A$1:$M$59"</definedName>
    <definedName name="Excel_BuiltIn_Print_Area_47">"$#REF!.$A$1:$M$59"</definedName>
    <definedName name="Excel_BuiltIn_Print_Area_48">"$#REF!.$A$1:$M$59"</definedName>
    <definedName name="Excel_BuiltIn_Print_Area_49">"$#REF!.$A$1:$M$59"</definedName>
    <definedName name="Excel_BuiltIn_Print_Area_49_1">"$#REF!.$A$1:$M$59"</definedName>
    <definedName name="Excel_BuiltIn_Print_Area_5_1">"$#REF!.$A$1:$AX$611"</definedName>
    <definedName name="Excel_BuiltIn_Print_Area_5_1_1">"$#REF!.$A$1:$AW$22"</definedName>
    <definedName name="Excel_BuiltIn_Print_Area_5_1_1_1">"$#REF!.$A$1:$Y$54"</definedName>
    <definedName name="Excel_BuiltIn_Print_Area_5_1_1_1_1">"$#REF!.$A$1:$Y$66"</definedName>
    <definedName name="Excel_BuiltIn_Print_Area_5_1_1_1_1_1">"$#REF!.$A$1:$Y$42"</definedName>
    <definedName name="Excel_BuiltIn_Print_Area_5_1_1_1_1_1_1">"$#REF!.$B$2:$V$59"</definedName>
    <definedName name="Excel_BuiltIn_Print_Area_5_1_1_1_1_1_1_1">"$#REF!.$A$7:$Q$9"</definedName>
    <definedName name="Excel_BuiltIn_Print_Area_5_1_1_1_1_1_1_1_1">"$#REF!.$A$1:$Q$2"</definedName>
    <definedName name="Excel_BuiltIn_Print_Area_5_1_1_1_1_1_1_1_1_1">"$#REF!.$A$1:$Q$2"</definedName>
    <definedName name="Excel_BuiltIn_Print_Area_50">"$#REF!.$A$1:$M$59"</definedName>
    <definedName name="Excel_BuiltIn_Print_Area_51">"$#REF!.$A$2:$M$60"</definedName>
    <definedName name="Excel_BuiltIn_Print_Area_52">"$#REF!.$A$1:$M$60"</definedName>
    <definedName name="Excel_BuiltIn_Print_Area_53">"$#REF!.$A$1:$M$60"</definedName>
    <definedName name="Excel_BuiltIn_Print_Area_54">"$#REF!.$A$1:$M$60"</definedName>
    <definedName name="Excel_BuiltIn_Print_Area_55">"$#REF!.$A$1:$M$60"</definedName>
    <definedName name="Excel_BuiltIn_Print_Area_56">"$#REF!.$A$1:$M$60"</definedName>
    <definedName name="Excel_BuiltIn_Print_Area_58">"$#REF!.$A$3:$F$3"</definedName>
    <definedName name="Excel_BuiltIn_Print_Area_6">"$#REF!.$A$1:$M$62"</definedName>
    <definedName name="Excel_BuiltIn_Print_Area_6_1">"$#REF!.$A$1:$R$44"</definedName>
    <definedName name="Excel_BuiltIn_Print_Area_6_1_1">"$#REF!.$A$1:$G$111"</definedName>
    <definedName name="Excel_BuiltIn_Print_Area_6_1_1_1">"$#REF!.$A$1:$G$97"</definedName>
    <definedName name="Excel_BuiltIn_Print_Area_6_1_1_1_1">"$#REF!.$A$1:$AX$5"</definedName>
    <definedName name="Excel_BuiltIn_Print_Area_6_1_1_1_1_1">"$#REF!.$A$1:$O$169"</definedName>
    <definedName name="Excel_BuiltIn_Print_Area_6_1_1_1_1_1_1">"$#REF!.$A$1:$IT$9"</definedName>
    <definedName name="Excel_BuiltIn_Print_Area_6_1_1_1_1_1_1_1">"$#REF!.$A$1:$Q$2"</definedName>
    <definedName name="Excel_BuiltIn_Print_Area_7">"$#REF!.$A$1:$M$62"</definedName>
    <definedName name="Excel_BuiltIn_Print_Area_7_1">"$#REF!.$A$1:$AX$612"</definedName>
    <definedName name="Excel_BuiltIn_Print_Area_7_1_1">"$#REF!.$A$1:$AX$613"</definedName>
    <definedName name="Excel_BuiltIn_Print_Area_7_1_1_1">"$#REF!.$A$3:$L$459"</definedName>
    <definedName name="Excel_BuiltIn_Print_Area_7_1_1_1_1">"$#REF!.$A$1:$AX$611;$#REF!.$A$626:$F$660"</definedName>
    <definedName name="Excel_BuiltIn_Print_Area_7_1_1_1_1_1">"$#REF!.$A$1:$O$175"</definedName>
    <definedName name="Excel_BuiltIn_Print_Area_7_1_1_1_1_1_1">"$#REF!.$A$1:$N$5"</definedName>
    <definedName name="Excel_BuiltIn_Print_Area_8">"$#REF!.$A$1:$M$62"</definedName>
    <definedName name="Excel_BuiltIn_Print_Area_8_1">"$#REF!.$A$1:$R$47"</definedName>
    <definedName name="Excel_BuiltIn_Print_Area_8_1_1">"$#REF!.$A$1:$Y$54"</definedName>
    <definedName name="Excel_BuiltIn_Print_Area_8_1_1_1">"$#REF!.$A$1:$Y$62"</definedName>
    <definedName name="Excel_BuiltIn_Print_Area_8_1_1_1_1">"$#REF!.$A$1:$Y$62"</definedName>
    <definedName name="Excel_BuiltIn_Print_Area_8_1_1_1_1_1">"$#REF!.$A$1:$Y$46"</definedName>
    <definedName name="Excel_BuiltIn_Print_Area_8_1_1_1_1_1_1">"$#REF!.$A$1:$Q$289"</definedName>
    <definedName name="Excel_BuiltIn_Print_Area_8_1_1_1_1_1_1_1">"$#REF!.$A$1:$Q$26"</definedName>
    <definedName name="Excel_BuiltIn_Print_Area_9">"$#REF!.$A$1:$M$62"</definedName>
    <definedName name="Excel_BuiltIn_Print_Area_9_1">"$#REF!.$A$1:$R$47"</definedName>
    <definedName name="Excel_BuiltIn_Print_Area_9_1_1">"$#REF!.$A$1:$Y$54"</definedName>
    <definedName name="Excel_BuiltIn_Print_Area_9_1_1_1">"$#REF!.$A$1:$Y$46"</definedName>
    <definedName name="Excel_BuiltIn_Print_Area_9_1_1_1_1">"$#REF!.$A$2:$E$40"</definedName>
    <definedName name="Excel_BuiltIn_Print_Area_9_1_1_1_1_1">"$#REF!.$B$2:$V$62"</definedName>
    <definedName name="Excel_BuiltIn_Print_Area_9_1_1_1_1_1_1">"$#REF!.$A$1:$Q$25"</definedName>
    <definedName name="Excel_BuiltIn_Print_Area_9_1_1_1_1_1_1_1">"$'PS III 6 May 08'.$#REF!$#REF!:$#REF!$#REF!"</definedName>
    <definedName name="Excel_BuiltIn_Print_Titles_1">"$#REF!.$A$7:$AMJ$8"</definedName>
    <definedName name="Excel_BuiltIn_Print_Titles_12">"$#REF!.$A$3:$AMJ$4"</definedName>
    <definedName name="Excel_BuiltIn_Print_Titles_14">"$#REF!.$A$1:$AMJ$2"</definedName>
    <definedName name="Excel_BuiltIn_Print_Titles_2">"$#REF!.$A$7:$AMJ$11"</definedName>
    <definedName name="Excel_BuiltIn_Print_Titles_2_1">"$#REF!.$A$4:$AMJ$5"</definedName>
    <definedName name="Excel_BuiltIn_Print_Titles_3">"$#REF!.$A$3:$IV$4"</definedName>
    <definedName name="Excel_BuiltIn_Print_Titles_3_1">"$#REF!.$A$3:$IU$4"</definedName>
    <definedName name="Excel_BuiltIn_Print_Titles_5">"$#REF!.$A$1:$IV$8"</definedName>
    <definedName name="Excel_BuiltIn_Print_Titles_7_1_1_1">"$#REF!.$A$7:$ID$8"</definedName>
    <definedName name="Excel_BuiltIn_Print_Titles_7_1_1_1_1">"$#REF!.$A$3:$IB$4"</definedName>
    <definedName name="Excel_BuiltIn_Print_Titles_7_1_1_1_2">"$#REF!.$A$7:$ID$11"</definedName>
    <definedName name="exchange">[107]임차도급!#REF!</definedName>
    <definedName name="exchangerate">[80]기본Data!$G$5</definedName>
    <definedName name="Exhide">#REF!,#REF!,#REF!,#REF!,#REF!,#REF!</definedName>
    <definedName name="ExternalData1_2001">[108]ProntoActual!$E$2:$S$1414</definedName>
    <definedName name="eyueherth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F">"$#REF!.$B$2:$P$92"</definedName>
    <definedName name="f.drive">'[33]GEN Assumpt'!$H$51</definedName>
    <definedName name="FA">[109]FORM!$A:$IV</definedName>
    <definedName name="Factor">[106]M!$W$4:$W$15</definedName>
    <definedName name="FAD">{#N/A,#N/A,FALSE,"Summary";#N/A,#N/A,FALSE,"A-01";#N/A,#N/A,FALSE,"A-03";#N/A,#N/A,FALSE,"A-04";#N/A,#N/A,FALSE,"A-06"}</definedName>
    <definedName name="fafa">{#N/A,#N/A,FALSE,"Summary";#N/A,#N/A,FALSE,"A-01";#N/A,#N/A,FALSE,"A-03";#N/A,#N/A,FALSE,"A-04";#N/A,#N/A,FALSE,"A-06"}</definedName>
    <definedName name="fdfdsf">{"CapCost",#N/A,TRUE,"CAP";"Revenue",#N/A,TRUE,"Rev";"OpCost",#N/A,TRUE,"Costs";"WorkCap",#N/A,TRUE,"WorkCap";"Depreciation",#N/A,TRUE,"Dep";"Fin_Report",#N/A,TRUE,"FS"}</definedName>
    <definedName name="fds">'[110]Daily Report'!#REF!</definedName>
    <definedName name="fdsf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dwsg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fdfdf">[111]Sheet1!#REF!</definedName>
    <definedName name="ffefe">{"adj95mult",#N/A,FALSE,"COMPCO";"adj95est",#N/A,FALSE,"COMPCO"}</definedName>
    <definedName name="FFF">{#N/A,#N/A,FALSE,"CCTV"}</definedName>
    <definedName name="FFFF">[112]Input!#REF!</definedName>
    <definedName name="FFFG">{#N/A,#N/A,FALSE,"BS-T";#N/A,#N/A,FALSE,"BS-2";#N/A,#N/A,FALSE,"BS-3";#N/A,#N/A,FALSE,"BS-4";#N/A,#N/A,FALSE,"BS-5";#N/A,#N/A,FALSE,"BS-6";#N/A,#N/A,FALSE,"BS-7";#N/A,#N/A,FALSE,"BS-8"}</definedName>
    <definedName name="fg">{"gyprint",#N/A,FALSE,"Goonyella";"rvprint",#N/A,FALSE,"Riverside"}</definedName>
    <definedName name="fgdh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ds">[0]!MCOST2</definedName>
    <definedName name="fghdfh">{"AHLGANDG",#N/A,FALSE,"GANDG";"OSGANDG",#N/A,FALSE,"GANDG"}</definedName>
    <definedName name="fghg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u76">{#N/A,#N/A,FALSE,"ADDS";#N/A,#N/A,FALSE,"NIRPT";#N/A,#N/A,FALSE,"YREND";#N/A,#N/A,FALSE,"PROD";#N/A,#N/A,FALSE,"pr-t";#N/A,#N/A,FALSE,"RR-T";#N/A,#N/A,FALSE,"CF-t"}</definedName>
    <definedName name="fhgfhdf">{"AHLGANDG",#N/A,FALSE,"GANDG";"OSGANDG",#N/A,FALSE,"GANDG"}</definedName>
    <definedName name="finmonth">[56]_!#REF!</definedName>
    <definedName name="finyear">[56]_!#REF!</definedName>
    <definedName name="FJAAL">{#N/A,#N/A,FALSE,"A-07";#N/A,#N/A,FALSE,"A-08";#N/A,#N/A,FALSE,"A-09";#N/A,#N/A,FALSE,"A-11";#N/A,#N/A,FALSE,"A-12";#N/A,#N/A,FALSE,"ADDENDUM"}</definedName>
    <definedName name="fklsdjfiwf">[96]Contract!$C$5</definedName>
    <definedName name="fleet_ob1">[33]prodty!$C$51</definedName>
    <definedName name="fleet_ob2">[33]prodty!$C$85</definedName>
    <definedName name="fleet_ob3">[33]prodty!$C$118</definedName>
    <definedName name="fleet_soil">[33]prodty!$C$17</definedName>
    <definedName name="fleet1">[33]prodty!$C$28:$K$47</definedName>
    <definedName name="fleet2">[33]prodty!$C$62:$K$81</definedName>
    <definedName name="fleet3">[33]prodty!$C$96:$K$115</definedName>
    <definedName name="fleet4">[33]prodty!$C$129:$K$148</definedName>
    <definedName name="FleetCountPerWeek">COUNTIF('[113]CO Cap'!$L$12:$P$12,"&gt;0")+COUNTIF('[113]CO Cap'!$L$37:$P$37,"&gt;0")+COUNTIF('[113]CO Cap'!$L$59:$P$59,"&gt;0")+COUNTIF('[113]CO Cap'!$L$81:$P$81,"&gt;0")+COUNTIF('[113]CO Cap'!$L$111:$P$111,"&gt;0")+COUNTIF('[113]CO Cap'!$L$133:$P$133,"&gt;0")</definedName>
    <definedName name="FleetCountPerWeekOb">COUNTIF('[113]OB Cap'!$L$12:$P$12,"&gt;0")+COUNTIF('[113]OB Cap'!$L$40:$P$40,"&gt;0")+COUNTIF('[113]OB Cap'!$L$62:$P$62,"&gt;0")+COUNTIF('[113]OB Cap'!$L$84:$P$84,"&gt;0")+COUNTIF('[113]OB Cap'!$L$113:$P$113,"&gt;0")+COUNTIF('[113]OB Cap'!$L$141:$P$141,"&gt;0")+COUNTIF('[113]OB Cap'!$L$166:$P$166,"&gt;0")+COUNTIF('[113]OB Cap'!$L$190:$P$190,"&gt;0")+COUNTIF('[113]OB Cap'!$L$222:$P$222,"&gt;0")+COUNTIF('[113]OB Cap'!$L$244:$P$244,"&gt;0")</definedName>
    <definedName name="Flex_Time_Line">OFFSET(#REF!,0,0,1,#REF!)</definedName>
    <definedName name="FLOOD">"$#REF!.$C$5:$I$6173"</definedName>
    <definedName name="FM320TI">[33]prodty!$C$163:$K$176</definedName>
    <definedName name="FMC">"$#REF!.$C$5:$I$6131"</definedName>
    <definedName name="FOB_23">'[114]K_FOB '!$EG$11:$EG$328</definedName>
    <definedName name="FOB_E">[115]Data!$Z$4:$Z$9889</definedName>
    <definedName name="FOB_K">[115]Data!$Y$4:$Y$9889</definedName>
    <definedName name="Forecast">[54]Forecast!$F$6:$Q$123</definedName>
    <definedName name="FPS">[116]!Table7[Kode]</definedName>
    <definedName name="fqq">{"report",#N/A,FALSE,"PAYMENTS";"report",#N/A,FALSE,"VARIATIONS";"COSTS",#N/A,FALSE,"COST REPORT";"FLOW",#N/A,FALSE,"COST REPORT"}</definedName>
    <definedName name="Freq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Fuel">[27]Data!$B$177:$AG$208</definedName>
    <definedName name="fuel_cons">[117]Technical_Assumption!$D$12:$F$22</definedName>
    <definedName name="Fuel_MTD">[27]Data!$B$247:$AG$277</definedName>
    <definedName name="FUEL_OBS">{"Aneh",#N/A,FALSE,"Sheet1"}</definedName>
    <definedName name="Fuel_STO">[27]Data!$B$166:$AG$173</definedName>
    <definedName name="Full_Print">'[100]Loan Amortization Schedule'!$A$1:$J$497</definedName>
    <definedName name="FullYear">[56]_!#REF!</definedName>
    <definedName name="G">"$#REF!.$B$2:$P$92"</definedName>
    <definedName name="g_to_oz">'[35]1 notes'!$C$6</definedName>
    <definedName name="GA">[118]FORM!$A:$IV</definedName>
    <definedName name="gajiga">'[31]Gaji GA'!$B$7:$AD$22</definedName>
    <definedName name="gajilog">'[31]Gaji Log'!$B$8:$AB$14</definedName>
    <definedName name="GAJIPROD">'[31]Gaji Prod'!$B$7:$AG$141</definedName>
    <definedName name="gajirm">'[31]Gaji RM'!$B$7:$AE$52</definedName>
    <definedName name="gajistaff">'[31]Gaji Staff'!$B$8:$AA$25</definedName>
    <definedName name="GANT_PREP">#REF!,#REF!,#REF!</definedName>
    <definedName name="GAPOK">'[119]NRPP &amp; Nama'!$B$3:$F$277</definedName>
    <definedName name="gb">{"gyprint",#N/A,FALSE,"Goonyella";"rvprint",#N/A,FALSE,"Riverside"}</definedName>
    <definedName name="GEO">[120]FORM!$A:$IV</definedName>
    <definedName name="GET">'[98]RMSOURCE BSS'!$J$6:$P$27</definedName>
    <definedName name="gfdh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fhdfh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GGG">[121]SPO!$F$10</definedName>
    <definedName name="ghdfh">{"AHLGANDG",#N/A,FALSE,"GANDG";"OSGANDG",#N/A,FALSE,"GANDG"}</definedName>
    <definedName name="ghhh">{#N/A,#N/A,FALSE,"Act.Fcst Costs"}</definedName>
    <definedName name="ghjku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hsts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HYTR">{#N/A,#N/A,FALSE,"M06";#N/A,#N/A,FALSE,"M07"}</definedName>
    <definedName name="GLASS">"$#REF!.$C$5:$I$6116"</definedName>
    <definedName name="gnd">[120]gnd!$A$1:$AN$355</definedName>
    <definedName name="GO">{#N/A,#N/A,FALSE,"PR-3";#N/A,#N/A,FALSE,"CF-3";#N/A,#N/A,FALSE,"BS-3";#N/A,#N/A,FALSE,"RR-3"}</definedName>
    <definedName name="golongan">[122]!Table1[KODE]</definedName>
    <definedName name="GREASE">'[33]GEN Assumpt'!$H$53</definedName>
    <definedName name="GROUP_1">[123]MATERIAL!$D$7:$F$30</definedName>
    <definedName name="GROUP_2">[123]MATERIAL!$D$31:$F$36</definedName>
    <definedName name="GROUP_3">[123]MATERIAL!$D$37:$F$46</definedName>
    <definedName name="GROUP_4">[123]MATERIAL!$D$47:$F$53</definedName>
    <definedName name="GRUP">NA()</definedName>
    <definedName name="Guodian">[124]Overall!#REF!</definedName>
    <definedName name="gvsd">[39]Master!#REF!:INDEX([39]Master!#REF!,COUNTA([39]Master!#REF!)+2,)</definedName>
    <definedName name="H">"$#REF!.$B$2:$P$92"</definedName>
    <definedName name="HANCUR">"$#REF!.$C$5:$I$5993"</definedName>
    <definedName name="HANCURLAGI">"$#REF!.$C$5:$I$6002"</definedName>
    <definedName name="hand">{"Aneh",#N/A,FALSE,"Sheet1"}</definedName>
    <definedName name="HARDCORE">"$#REF!.$C$5:$I$6074"</definedName>
    <definedName name="haulcapw1">[62]OVBD!$J$82:$J$102</definedName>
    <definedName name="haulcapw2">[62]OVBD!$K$82:$K$102</definedName>
    <definedName name="haulcapw3">[62]OVBD!$L$82:$L$102</definedName>
    <definedName name="haulcapw4">[62]OVBD!$M$82:$M$102</definedName>
    <definedName name="haulcapw5">[62]OVBD!$N$82:$N$102</definedName>
    <definedName name="haulcapw6">[62]OVBD!$O$82:$O$102</definedName>
    <definedName name="haulcmcapw1">[62]COAL!$J$64:$J$77</definedName>
    <definedName name="haulcmcapw2">[62]COAL!$K$64:$K$77</definedName>
    <definedName name="haulcmcapw3">[62]COAL!$L$64:$L$77</definedName>
    <definedName name="haulcmcapw4">[62]COAL!$M$64:$M$77</definedName>
    <definedName name="haulcmcapw5">[62]COAL!$N$64:$N$77</definedName>
    <definedName name="haulcmcapw6">[62]COAL!$O$64:$O$77</definedName>
    <definedName name="Hauler">[41]Master!$N$12:$N$33</definedName>
    <definedName name="Hauler_Code">[106]M!$L$36:$L$168</definedName>
    <definedName name="Hauler_Model">[106]M!$K$36:$K$168</definedName>
    <definedName name="Hauler_New_Code">[106]M!$M$36:$M$168</definedName>
    <definedName name="HAULFLEETCONFCM">[62]COAL!$D$64:$D$77</definedName>
    <definedName name="HAULFLEETCONFHAULER">[62]OVBD!$C$82:$C$102</definedName>
    <definedName name="HAULFLEETCONFLOADER">[62]OVBD!$D$82:$D$102</definedName>
    <definedName name="HAULPLAN">'[65] OB PLAN'!$B$47:$I$79</definedName>
    <definedName name="HBA">[125]Data!$H$3</definedName>
    <definedName name="hduyjujk">{#N/A,#N/A,FALSE,"PR-2";#N/A,#N/A,FALSE,"RR-2";#N/A,#N/A,FALSE,"CF-2";#N/A,#N/A,FALSE,"BS-2"}</definedName>
    <definedName name="h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ad_c1">NA()</definedName>
    <definedName name="head_c1_10">NA()</definedName>
    <definedName name="head_e">NA()</definedName>
    <definedName name="head_e_10">NA()</definedName>
    <definedName name="Header_Row">ROW('[100]Loan Amortization Schedule'!$17:$17)</definedName>
    <definedName name="heri">[126]!Table5[Tanggal]</definedName>
    <definedName name="HFA">{"Graphic",#N/A,TRUE,"Graphic"}</definedName>
    <definedName name="hfkjh">{"PT. PETROSEA - Personal View",#N/A,FALSE,"SALES97"}</definedName>
    <definedName name="hgfhh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hghgh">{"Admin Costs",#N/A,FALSE,"Act.Fcst Costs"}</definedName>
    <definedName name="hh">{"gyprint",#N/A,FALSE,"Goonyella";"rvprint",#N/A,FALSE,"Riverside"}</definedName>
    <definedName name="hhgfdg">{"AHLGANDG",#N/A,FALSE,"GANDG";"OSGANDG",#N/A,FALSE,"GANDG"}</definedName>
    <definedName name="hhyte">{#N/A,#N/A,FALSE,"A-07";#N/A,#N/A,FALSE,"A-08";#N/A,#N/A,FALSE,"A-09";#N/A,#N/A,FALSE,"A-11";#N/A,#N/A,FALSE,"A-12";#N/A,#N/A,FALSE,"ADDENDUM"}</definedName>
    <definedName name="HITACHI">[67]!Table7[HITACHI]</definedName>
    <definedName name="hjgj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HM">[27]Data!$B$212:$AG$243</definedName>
    <definedName name="HM_Start">[127]Resume!$A$2:$EA$35</definedName>
    <definedName name="HM_Stop">[127]Resume!$A$1:$EA$35</definedName>
    <definedName name="hometown">OFFSET([63]General_Assumption!$D$46,0,0,COUNTA([63]General_Assumption!$D$46:$D$99),1)</definedName>
    <definedName name="hore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HRD">[128]FORM!$A:$IV</definedName>
    <definedName name="HRGA">[129]FORM!$A:$IV</definedName>
    <definedName name="HSD">[14]ANALISA!#REF!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1_1">"[FCFF3]Sheet1!$A$1:$L$34"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Count">1</definedName>
    <definedName name="htyerju">{#N/A,#N/A,FALSE,"PR-2";#N/A,#N/A,FALSE,"RR-2";#N/A,#N/A,FALSE,"CF-2";#N/A,#N/A,FALSE,"BS-2"}</definedName>
    <definedName name="huge">{"Aneh",#N/A,FALSE,"Sheet1"}</definedName>
    <definedName name="HV">{#N/A,#N/A,FALSE,"CCTV"}</definedName>
    <definedName name="HYD">'[33]GEN Assumpt'!$H$52</definedName>
    <definedName name="hydp_1">NA()</definedName>
    <definedName name="hydp_10">NA()</definedName>
    <definedName name="hydp_11">NA()</definedName>
    <definedName name="hydp_12">NA()</definedName>
    <definedName name="hydp_13">NA()</definedName>
    <definedName name="hydp_14">NA()</definedName>
    <definedName name="hydp_15">NA()</definedName>
    <definedName name="hydp_16">NA()</definedName>
    <definedName name="hydp_17">NA()</definedName>
    <definedName name="hydp_18">NA()</definedName>
    <definedName name="hydp_19">NA()</definedName>
    <definedName name="hydp_2">NA()</definedName>
    <definedName name="hydp_20">NA()</definedName>
    <definedName name="hydp_23">NA()</definedName>
    <definedName name="hydp_24">NA()</definedName>
    <definedName name="hydp_25">NA()</definedName>
    <definedName name="hydp_27">NA()</definedName>
    <definedName name="hydp_28">NA()</definedName>
    <definedName name="hydp_3">NA()</definedName>
    <definedName name="hydp_30">NA()</definedName>
    <definedName name="hydp_31">NA()</definedName>
    <definedName name="hydp_32">NA()</definedName>
    <definedName name="hydp_33">NA()</definedName>
    <definedName name="hydp_36">NA()</definedName>
    <definedName name="hydp_37">NA()</definedName>
    <definedName name="hydp_38">NA()</definedName>
    <definedName name="hydp_39">NA()</definedName>
    <definedName name="hydp_40">NA()</definedName>
    <definedName name="hydp_41">NA()</definedName>
    <definedName name="hydp_43">NA()</definedName>
    <definedName name="hydp_44">NA()</definedName>
    <definedName name="hydp_45">NA()</definedName>
    <definedName name="hydp_46">NA()</definedName>
    <definedName name="hydp_47">NA()</definedName>
    <definedName name="hydp_48">NA()</definedName>
    <definedName name="hydp_49">NA()</definedName>
    <definedName name="hydp_5">NA()</definedName>
    <definedName name="hydp_50">NA()</definedName>
    <definedName name="hydp_51">NA()</definedName>
    <definedName name="hydp_53">NA()</definedName>
    <definedName name="hydp_54">NA()</definedName>
    <definedName name="hydp_56">NA()</definedName>
    <definedName name="hydp_57">NA()</definedName>
    <definedName name="hydp_58">NA()</definedName>
    <definedName name="hydp_59">NA()</definedName>
    <definedName name="hydp_60">NA()</definedName>
    <definedName name="hydp_61">NA()</definedName>
    <definedName name="hydp_62">NA()</definedName>
    <definedName name="hydp_63">NA()</definedName>
    <definedName name="hydp_64">NA()</definedName>
    <definedName name="hydp_65">NA()</definedName>
    <definedName name="hydp_66">NA()</definedName>
    <definedName name="hydp_67">NA()</definedName>
    <definedName name="hydp_68">NA()</definedName>
    <definedName name="hydp_69">NA()</definedName>
    <definedName name="hydp_70">NA()</definedName>
    <definedName name="hydp_71">NA()</definedName>
    <definedName name="hydp_72">NA()</definedName>
    <definedName name="hydp_73">NA()</definedName>
    <definedName name="hydp_74">NA()</definedName>
    <definedName name="hydp_75">NA()</definedName>
    <definedName name="hydp_76">NA()</definedName>
    <definedName name="hydp_77">NA()</definedName>
    <definedName name="hydp_78">NA()</definedName>
    <definedName name="hydp_79">NA()</definedName>
    <definedName name="hydp_8">NA()</definedName>
    <definedName name="hydp_80">NA()</definedName>
    <definedName name="hydp_81">NA()</definedName>
    <definedName name="hydp_82">NA()</definedName>
    <definedName name="hydp_83">NA()</definedName>
    <definedName name="hydp_85">NA()</definedName>
    <definedName name="hydp_86">NA()</definedName>
    <definedName name="hydp_87">NA()</definedName>
    <definedName name="hydp_88">NA()</definedName>
    <definedName name="hydp_89">NA()</definedName>
    <definedName name="hydp_9">NA()</definedName>
    <definedName name="hydp_90">NA()</definedName>
    <definedName name="hydp_91">NA()</definedName>
    <definedName name="hyu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yye">{#N/A,#N/A,FALSE,"Summary";#N/A,#N/A,FALSE,"A-01";#N/A,#N/A,FALSE,"A-03";#N/A,#N/A,FALSE,"A-04";#N/A,#N/A,FALSE,"A-06"}</definedName>
    <definedName name="I">"$#REF!.$B$2:$P$92"</definedName>
    <definedName name="IA">255</definedName>
    <definedName name="ID">[115]Data!$C$4:$C$9889</definedName>
    <definedName name="Idle">[27]Data!$B$139:$AG$144</definedName>
    <definedName name="IDN">"$#REF!.$C$5:$I$6117"</definedName>
    <definedName name="Idontknow">{"PT. PETROSEA - Personal View",#N/A,FALSE,"SALES97"}</definedName>
    <definedName name="IEIREI">{#N/A,#N/A,FALSE,"Summary";#N/A,#N/A,FALSE,"A-01";#N/A,#N/A,FALSE,"A-03";#N/A,#N/A,FALSE,"A-04";#N/A,#N/A,FALSE,"A-06"}</definedName>
    <definedName name="iktrkur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INDRIANA">"$#REF!.$C$5:$I$5994"</definedName>
    <definedName name="indspliner">[130]!Table8[Nama]</definedName>
    <definedName name="Inform">{#N/A,#N/A,FALSE,"CCTV"}</definedName>
    <definedName name="input">91090000</definedName>
    <definedName name="Insitu_270308">'[131]2008'!$D$4:$M$1209</definedName>
    <definedName name="insur">'[98]GEN ASSUMPT'!$E$38</definedName>
    <definedName name="insurance">'[33]GEN Assumpt'!$H$37</definedName>
    <definedName name="Interest_Rate">'[100]Loan Amortization Schedule'!$D$6</definedName>
    <definedName name="interst">'[98]GEN ASSUMPT'!$E$36</definedName>
    <definedName name="inv">[32]FORM!$A:$IV</definedName>
    <definedName name="inve">{"Aneh",#N/A,FALSE,"Sheet1"}</definedName>
    <definedName name="Inventory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iofjsdfnl">SUMPRODUCT(([95]Des!$X1=[95]Des!$R$4:$R$45)*([95]Des!A$3=[95]Des!$E$4:$E$45),[95]Des!$K$4:$K$45)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"c7"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DIN">"AUTO"</definedName>
    <definedName name="IQ_ADJ_AVG_BANK_ASSETS">"c2671"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"c16"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MT_OUT">"c2145"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NK_DEBT">"c2544"</definedName>
    <definedName name="IQ_BANK_DEBT_PCT">"c2545"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"c88"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Y">"c102"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PITAL_LEASES_TOTAL">"c3031"</definedName>
    <definedName name="IQ_CAPITAL_LEASES_TOTAL_PCT">"c2506"</definedName>
    <definedName name="IQ_CAPITALIZED_INTEREST">"c3460"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"c124"</definedName>
    <definedName name="IQ_CASH_ST_INVEST">"c124"</definedName>
    <definedName name="IQ_CASH_TAXES">"c125"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ED">"c2681"</definedName>
    <definedName name="IQ_CLASSA_OPTIONS_GRANTED">"c2680"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ST_BORROWING">"c2936"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PAYOUT">"c3005"</definedName>
    <definedName name="IQ_DISTRIBUTABLE_CASH_SHARE">"c3003"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URATION">"c2181"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EQ_INC">"c3498"</definedName>
    <definedName name="IQ_EBIT_EQ_INC_EXCL_SBC">"c3502"</definedName>
    <definedName name="IQ_EBIT_EXCL_SBC">"c3082"</definedName>
    <definedName name="IQ_EBIT_INT">"c360"</definedName>
    <definedName name="IQ_EBIT_MARGIN">"c359"</definedName>
    <definedName name="IQ_EBIT_OVER_IE">"c360"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">"c2215"</definedName>
    <definedName name="IQ_EBITDA_CAPEX_INT">"c368"</definedName>
    <definedName name="IQ_EBITDA_CAPEX_OVER_TOTAL_IE">"c368"</definedName>
    <definedName name="IQ_EBITDA_EQ_INC">"c3496"</definedName>
    <definedName name="IQ_EBITDA_EQ_INC_EXCL_SBC">"c3500"</definedName>
    <definedName name="IQ_EBITDA_EST">"c369"</definedName>
    <definedName name="IQ_EBITDA_EXCL_SBC">"c3081"</definedName>
    <definedName name="IQ_EBITDA_HIGH_EST">"c370"</definedName>
    <definedName name="IQ_EBITDA_INT">"c373"</definedName>
    <definedName name="IQ_EBITDA_LOW_EST">"c371"</definedName>
    <definedName name="IQ_EBITDA_MARGIN">"c372"</definedName>
    <definedName name="IQ_EBITDA_MEDIAN_EST">"c1663"</definedName>
    <definedName name="IQ_EBITDA_NUM_EST">"c374"</definedName>
    <definedName name="IQ_EBITDA_OVER_TOTAL_IE">"c373"</definedName>
    <definedName name="IQ_EBITDA_STDDEV_EST">"c375"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GROWTH_1YR">"c1636"</definedName>
    <definedName name="IQ_EST_EPS_GROWTH_5YR">"c1655"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VAL_DATE">"c2180"</definedName>
    <definedName name="IQ_EXCHANGE">"c405"</definedName>
    <definedName name="IQ_EXERCISE_PRICE">"c406"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EDFUNDS_SOLD">"c2256"</definedName>
    <definedName name="IQ_FFO">"c1574"</definedName>
    <definedName name="IQ_FFO_PAYOUT_RATIO">"c3492"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"c192"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"c511"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_TARGET_PRICE">"c1651"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MPUT_OPER_LEASE_DEPR">"c2987"</definedName>
    <definedName name="IQ_IMPUT_OPER_LEASE_INT_EXP">"c2986"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CASH_DEPOSITS">"c2255"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SS_TO_NET_EARNED">"c2751"</definedName>
    <definedName name="IQ_LOW_TARGET_PRICE">"c1652"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INT_CAPEX">"c2947"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C_RATIO">"c2783"</definedName>
    <definedName name="IQ_MC_STATUTORY_SURPLUS">"c2772"</definedName>
    <definedName name="IQ_MEDIAN_TARGET_PRICE">"c1650"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ET_CHANGE">"c749"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EARNED">"c2734"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IFE_INS_IN_FORCE">"c2769"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CASH_PENSION_EXP">"c3000"</definedName>
    <definedName name="IQ_NONRECOURSE_DEBT">"c2550"</definedName>
    <definedName name="IQ_NONRECOURSE_DEBT_PCT">"c2551"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GRANTED">"c2673"</definedName>
    <definedName name="IQ_OPTIONS_ISSUED">"c857"</definedName>
    <definedName name="IQ_OPTIONS_STRIKE_PRICE_GRANTED">"c2678"</definedName>
    <definedName name="IQ_OPTIONS_STRIKE_PRICE_OS">"c2677"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BT">"c2507"</definedName>
    <definedName name="IQ_OTHER_DEBT_PCT">"c2508"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ED">"c2688"</definedName>
    <definedName name="IQ_OTHER_OPTIONS_GRANTED">"c2687"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STRIKE_PRICE_GRANTED">"c2692"</definedName>
    <definedName name="IQ_OTHER_UNDRAWN">"c2522"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FILING_DATE">"c1023"</definedName>
    <definedName name="IQ_OWNERSHIP">"c2160"</definedName>
    <definedName name="IQ_PART_TIME">"c1024"</definedName>
    <definedName name="IQ_PAY_ACCRUED">"c8"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CHURN">"c2120"</definedName>
    <definedName name="IQ_PREPAID_EXP">"c1068"</definedName>
    <definedName name="IQ_PREPAID_EXPEN">"c1068"</definedName>
    <definedName name="IQ_PREPAID_SUBS">"c2117"</definedName>
    <definedName name="IQ_PRICE_OVER_BVPS">"c1026"</definedName>
    <definedName name="IQ_PRICE_OVER_LTM_EPS">"c1029"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T_DATE_SCHEDULE">"c2483"</definedName>
    <definedName name="IQ_PUT_NOTIFICATION">"c2485"</definedName>
    <definedName name="IQ_PUT_PRICE_SCHEDULE">"c2484"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STDDEV_EST">"c1124"</definedName>
    <definedName name="IQ_REV_UTI">"c1125"</definedName>
    <definedName name="IQ_REVENUE">"c1122"</definedName>
    <definedName name="IQ_REVENUE_ACT_OR_EST">"c2214"</definedName>
    <definedName name="IQ_REVENUE_EST">"c1126"</definedName>
    <definedName name="IQ_REVENUE_HIGH_EST">"c1127"</definedName>
    <definedName name="IQ_REVENUE_LOW_EST">"c1128"</definedName>
    <definedName name="IQ_REVENUE_MEDIAN_EST">"c1662"</definedName>
    <definedName name="IQ_REVENUE_NUM_EST">"c1129"</definedName>
    <definedName name="IQ_REVISION_DATE_">39351.714375</definedName>
    <definedName name="IQ_RISK_ADJ_BANK_ASSETS">"c2670"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UR_RECEIV">"c1151"</definedName>
    <definedName name="IQ_SECURED_DEBT">"c2546"</definedName>
    <definedName name="IQ_SECURED_DEBT_PCT">"c2547"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PCT">"c2539"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RGET_PRICE_NUM">"c1653"</definedName>
    <definedName name="IQ_TARGET_PRICE_STDDEV">"c1654"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UFCF">"c2208"</definedName>
    <definedName name="IQ_TIER_ONE_CAPITAL">"c2667"</definedName>
    <definedName name="IQ_TIER_ONE_RATIO">"c1229"</definedName>
    <definedName name="IQ_TIER_TWO_CAPITAL">"c2669"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HURN">"c2122"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UNUSUAL">"c1508"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DA">"c2381"</definedName>
    <definedName name="IQ_TR_ACQ_FILING_CURRENCY">"c3033"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DA">"c2334"</definedName>
    <definedName name="IQ_TR_TARGET_FILING_CURRENCY">"c3034"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"c40"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SECURED_DEBT">"c2548"</definedName>
    <definedName name="IQ_UNSECURED_DEBT_PCT">"c2549"</definedName>
    <definedName name="IQ_UNUSUAL_EXP">"c1456"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IGHTED_AVG_PRICE">"c1334"</definedName>
    <definedName name="IQ_WIP_INV">"c1335"</definedName>
    <definedName name="IQ_WORKING_CAP">"c3494"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W">"c2163"</definedName>
    <definedName name="IQ_YTW_DATE">"c2164"</definedName>
    <definedName name="IQ_YTW_DATE_TYPE">"c2165"</definedName>
    <definedName name="IQ_Z_SCORE">"c1339"</definedName>
    <definedName name="irma">[132]기본Data!$G$5</definedName>
    <definedName name="IS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em_cat">[106]M!$AG$5:$AG$98</definedName>
    <definedName name="ItemCat">[41]Master!$S$4:$S$60</definedName>
    <definedName name="ItemCategory">[39]Master!#REF!:INDEX([39]Master!#REF!,COUNTA([39]Master!#REF!)+2,)</definedName>
    <definedName name="itoy">{"Valuation",#N/A,TRUE,"Valuation Summary";"Financial Statements",#N/A,TRUE,"Results";"Results",#N/A,TRUE,"Results";"Ratios",#N/A,TRUE,"Results";"P2 Summary",#N/A,TRUE,"Results"}</definedName>
    <definedName name="iu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yfutdy4jb">[133]!Table4[UNIT]</definedName>
    <definedName name="JAALA">{"report",#N/A,FALSE,"PAYMENTS";"report",#N/A,FALSE,"VARIATIONS";"COSTS",#N/A,FALSE,"COST REPORT";"FLOW",#N/A,FALSE,"COST REPORT"}</definedName>
    <definedName name="jab">[134]List!$A$3:$A$247</definedName>
    <definedName name="JABATAN">[135]!Table8[JABATAN]</definedName>
    <definedName name="Jan_coal">[37]Contract!$M$106</definedName>
    <definedName name="Jan_Rom">[37]Contract!$D$35</definedName>
    <definedName name="Jan_TMCT">[37]Contract!$D$36</definedName>
    <definedName name="Jan_Trans">[37]Contract!$E$176</definedName>
    <definedName name="JASA_AKTUARIS">NA()</definedName>
    <definedName name="JASA_CATERING">NA()</definedName>
    <definedName name="JASA_DESIGN_INTERIOR">NA()</definedName>
    <definedName name="JASA_INSTALASI">NA()</definedName>
    <definedName name="JASA_INTERNET">NA()</definedName>
    <definedName name="JASA_KONSULTAN">NA()</definedName>
    <definedName name="JASA_KUSTODIAN">NA()</definedName>
    <definedName name="JASA_MAINTENANCE">NA()</definedName>
    <definedName name="JASA_MANAGEMENT">NA()</definedName>
    <definedName name="JASA_PELAKSANAAN_KONSTRUKSI">NA()</definedName>
    <definedName name="JASA_PENUNJANG_TAMBANG">NA()</definedName>
    <definedName name="JASA_PENYEDIAAN_TENAGA_KERJA">NA()</definedName>
    <definedName name="JASA_PERENCANAAN_KONSTRUKSI">NA()</definedName>
    <definedName name="JASA_SOFTWARE_KOMPUTER">NA()</definedName>
    <definedName name="JASA_TAMBANG">NA()</definedName>
    <definedName name="JASA_TEHNIK">NA()</definedName>
    <definedName name="Jenis_Material">[39]Master!#REF!:INDEX([39]Master!#REF!,COUNTA([39]Master!#REF!)+2,)</definedName>
    <definedName name="JenisMaterial">[39]Master!#REF!:INDEX([39]Master!#REF!,COUNTA([39]Master!#REF!)+2,)</definedName>
    <definedName name="Jetty">'[136]w44-d2 '!$A$8:$P$180</definedName>
    <definedName name="jghjh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jh">{"EVA",#N/A,FALSE,"EVA";"WACC",#N/A,FALSE,"WACC"}</definedName>
    <definedName name="jhfeirhr">{"Graphic",#N/A,TRUE,"Graphic"}</definedName>
    <definedName name="JHV">OFFSET(#REF!,0,0,MIN(COUNTA(#REF!)-2,COUNTA(#REF!)-1),1)</definedName>
    <definedName name="jika">{"Valuation",#N/A,TRUE,"Valuation Summary";"Financial Statements",#N/A,TRUE,"Results";"Results",#N/A,TRUE,"Results";"Ratios",#N/A,TRUE,"Results";"P2 Summary",#N/A,TRUE,"Results"}</definedName>
    <definedName name="jil">{"CapCost",#N/A,TRUE,"CAP";"FS",#N/A,TRUE,"FS"}</definedName>
    <definedName name="jjjj">[137]PARAMETER!$K$4:$K$14</definedName>
    <definedName name="jjjja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kj">{"mult96",#N/A,FALSE,"PETCOMP";"est96",#N/A,FALSE,"PETCOMP";"mult95",#N/A,FALSE,"PETCOMP";"est95",#N/A,FALSE,"PETCOMP";"multltm",#N/A,FALSE,"PETCOMP";"resultltm",#N/A,FALSE,"PETCOMP"}</definedName>
    <definedName name="jkl">{"mult96",#N/A,FALSE,"PETCOMP";"est96",#N/A,FALSE,"PETCOMP";"mult95",#N/A,FALSE,"PETCOMP";"est95",#N/A,FALSE,"PETCOMP";"multltm",#N/A,FALSE,"PETCOMP";"resultltm",#N/A,FALSE,"PETCOMP"}</definedName>
    <definedName name="JobNo">'[60]Title &amp; Notes'!$K$38</definedName>
    <definedName name="JOJO">{"PT. PETROSEA - Personal View",#N/A,FALSE,"SALES97"}</definedName>
    <definedName name="jol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jtyjytujtj">{#N/A,#N/A,FALSE,"CEO-SHEET"}</definedName>
    <definedName name="jule">{"Aneh",#N/A,FALSE,"Sheet1"}</definedName>
    <definedName name="Jum_Unit">[27]Data!$B$125:$AG$135</definedName>
    <definedName name="KAMPRET">"$#REF!.$C$5:$I$6016"</definedName>
    <definedName name="kARY">[138]!Table13[KARY. RM &amp; LOGISTIK]</definedName>
    <definedName name="KATEGORIBD">[139]!Table7[KATEGORI B/D]</definedName>
    <definedName name="KATROKEPARAT">"$#REF!.$D$5:$J$5995"</definedName>
    <definedName name="kc">{"Valuation",#N/A,TRUE,"Valuation Summary";"Financial Statements",#N/A,TRUE,"Results";"Results",#N/A,TRUE,"Results";"Ratios",#N/A,TRUE,"Results";"P2 Summary",#N/A,TRUE,"Results"}</definedName>
    <definedName name="KEBDRP">'[51]kebd(rp)'!$A$4:$F$45</definedName>
    <definedName name="KEBDUSD">'[51]kebd($)'!$A$4:$F$27</definedName>
    <definedName name="KENI">{"Panel",#N/A,FALSE,"Panel";"Price",#N/A,FALSE,"Price"}</definedName>
    <definedName name="KEONGRACUN">"$#REF!.$D$5:$J$5993"</definedName>
    <definedName name="KEPARAT">"$#REF!.$C$5:$I$6173"</definedName>
    <definedName name="KEPITING">"$#REF!.$C$5:$I$6173"</definedName>
    <definedName name="KEPOMPONG">"$#REF!.$C$5:$I$5985"</definedName>
    <definedName name="KEPRET">"$#REF!.$C$5:$I$6154"</definedName>
    <definedName name="KERA">"$#REF!.$C$5:$I$6013"</definedName>
    <definedName name="Kerusakan">[140]!Table5[KERUSAKAN]</definedName>
    <definedName name="kerusakn">[18]Master!$F$2:$F$18</definedName>
    <definedName name="ket">[31]Upah!$E$1:$F$34</definedName>
    <definedName name="key">{"Aneh",#N/A,FALSE,"Sheet1"}</definedName>
    <definedName name="keyp">{"Aneh",#N/A,FALSE,"Sheet1"}</definedName>
    <definedName name="KGO">[67]!Table5[KGO]</definedName>
    <definedName name="kill">{"Aneh",#N/A,FALSE,"Sheet1"}</definedName>
    <definedName name="KINE">{"Panel",#N/A,FALSE,"Panel";"Price",#N/A,FALSE,"Price"}</definedName>
    <definedName name="KINERJA">{"CapCost",#N/A,TRUE,"CAP";"Revenue",#N/A,TRUE,"Rev";"OpCost",#N/A,TRUE,"Costs";"WorkCap",#N/A,TRUE,"WorkCap";"Depreciation",#N/A,TRUE,"Dep";"Fin_Report",#N/A,TRUE,"FS"}</definedName>
    <definedName name="kirim">[141]RESUME!$B$57:$F$89</definedName>
    <definedName name="kjfgkreik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kjiu">{"mult96",#N/A,FALSE,"PETCOMP";"est96",#N/A,FALSE,"PETCOMP";"mult95",#N/A,FALSE,"PETCOMP";"est95",#N/A,FALSE,"PETCOMP";"multltm",#N/A,FALSE,"PETCOMP";"resultltm",#N/A,FALSE,"PETCOMP"}</definedName>
    <definedName name="KK">{#N/A,#N/A,FALSE,"M01";#N/A,#N/A,FALSE,"M02";#N/A,#N/A,FALSE,"M03";#N/A,#N/A,FALSE,"M04";#N/A,#N/A,FALSE,"M05";#N/A,#N/A,FALSE,"M08"}</definedName>
    <definedName name="kkl">{"Graphic",#N/A,TRUE,"Graphic"}</definedName>
    <definedName name="klk">{"Graphic",#N/A,TRUE,"Graphic"}</definedName>
    <definedName name="klo">{"Aneh",#N/A,FALSE,"Sheet1"}</definedName>
    <definedName name="KLOP">"$#REF!.$C$5:$I$6101"</definedName>
    <definedName name="KLOP_1">"$#REF!.$C$5:$I$6165"</definedName>
    <definedName name="KM">[142]OUTCM!#REF!</definedName>
    <definedName name="knfejdmdfejd">{"EVA",#N/A,FALSE,"EVA";"WACC",#N/A,FALSE,"WACC"}</definedName>
    <definedName name="KNI">"$#REF!.$C$5:$I$6074"</definedName>
    <definedName name="KODE_ACC">NA()</definedName>
    <definedName name="KODE_LK">NA()</definedName>
    <definedName name="KODE_LP">NA()</definedName>
    <definedName name="kode_unit">[143]!Table6[No. Lambung]</definedName>
    <definedName name="KODEGOL">[144]!Table1[KODE]</definedName>
    <definedName name="KODOK">"$#REF!.$C$5:$I$6056"</definedName>
    <definedName name="kojcjhsdjvhjlsdcv">{"paging",#N/A,TRUE,"TITLE";#N/A,#N/A,TRUE,"Paging subs";#N/A,#N/A,TRUE,"P&amp;L - Paging";#N/A,#N/A,TRUE,"Rev &amp; Usage Assump - Paging";#N/A,#N/A,TRUE,"Cost - Paging";"paging",#N/A,TRUE,"Capex "}</definedName>
    <definedName name="KOMATSU">"$#REF!.$D$5:$J$5964"</definedName>
    <definedName name="KOMATSU_1">"$#REF!.$D$5:$J$5962"</definedName>
    <definedName name="kompar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Konversi">'[27]Konversi Jarak'!$A$4:$B$34</definedName>
    <definedName name="KORUPTOR">"$#REF!.$C$5:$I$5993"</definedName>
    <definedName name="kpp">'[145]  '!$O$5</definedName>
    <definedName name="kurang">{"PT. PETROSEA - Personal View",#N/A,FALSE,"SALES97"}</definedName>
    <definedName name="KWB_2">"$#REF!.$C$5:$I$6131"</definedName>
    <definedName name="ky">{"Aneh",#N/A,FALSE,"Sheet1"}</definedName>
    <definedName name="L_DRIVER">[146]!TABEL_DRIVER[NAMA DRIVER]</definedName>
    <definedName name="L_SUPPLIER">[146]!TABEL_DRIVER7[SUPPLIER]</definedName>
    <definedName name="L_TANKI">[146]!TABEL_TANKI[NAMA UNIT]</definedName>
    <definedName name="L_UNIT">[146]!TABEL_UNIT[Unit]</definedName>
    <definedName name="Lap">{"Aneh",#N/A,FALSE,"Sheet1"}</definedName>
    <definedName name="laPO">{"Aneh",#N/A,FALSE,"Sheet1"}</definedName>
    <definedName name="Lapor">[147]!Table_Query_from_dataroommsj[#Data]</definedName>
    <definedName name="LASTDAY">#REF!+DAY(DATE(YEAR(#REF!),MONTH(#REF!),1)-1)</definedName>
    <definedName name="Lati">NA()</definedName>
    <definedName name="Lati_2">NA()</definedName>
    <definedName name="LBR">'[148]Lbr April 2006'!$1:$1048576</definedName>
    <definedName name="Left_EFOB">[149]Data!$AA$3:$AA$9910</definedName>
    <definedName name="Left_ID">[149]Data!$D$3:$D$9910</definedName>
    <definedName name="Left_KFOB">[149]Data!$Z$3:$Z$9910</definedName>
    <definedName name="Left_Month">[149]Data!$C$3:$C$9910</definedName>
    <definedName name="Left_Qty">[149]Data!$N$3:$N$9910</definedName>
    <definedName name="Leverage">OFFSET(#REF!,0,0,1,#REF!)</definedName>
    <definedName name="lfjskldfj">[93]Sheet1!#REF!</definedName>
    <definedName name="LHJOGOSL">{"report",#N/A,FALSE,"PAYMENTS";"report",#N/A,FALSE,"VARIATIONS";"COSTS",#N/A,FALSE,"COST REPORT";"FLOW",#N/A,FALSE,"COST REPORT"}</definedName>
    <definedName name="LI">{"Valuation",#N/A,TRUE,"Valuation Summary";"Financial Statements",#N/A,TRUE,"Results";"Results",#N/A,TRUE,"Results";"Ratios",#N/A,TRUE,"Results";"P2 Summary",#N/A,TRUE,"Results"}</definedName>
    <definedName name="limcount">1</definedName>
    <definedName name="LINE">NA()</definedName>
    <definedName name="LIST2">'[79]D-04'!#REF!</definedName>
    <definedName name="LIST3">'[79]D-04'!#REF!</definedName>
    <definedName name="lknoln">{#N/A,#N/A,FALSE,"A-07";#N/A,#N/A,FALSE,"A-08";#N/A,#N/A,FALSE,"A-09";#N/A,#N/A,FALSE,"A-11";#N/A,#N/A,FALSE,"A-12";#N/A,#N/A,FALSE,"ADDENDUM"}</definedName>
    <definedName name="ll">{"Aneh",#N/A,FALSE,"Sheet1"}</definedName>
    <definedName name="lll">{#N/A,#N/A,FALSE,"표 (2)";#N/A,#N/A,FALSE,"목차";#N/A,#N/A,FALSE,"매출계획";#N/A,#N/A,FALSE,"가격현황";#N/A,#N/A,FALSE,"수주계획";#N/A,#N/A,FALSE,"수금계획";#N/A,#N/A,FALSE,"주요업무"}</definedName>
    <definedName name="LLLD">{#N/A,#N/A,FALSE,"A-07";#N/A,#N/A,FALSE,"A-08";#N/A,#N/A,FALSE,"A-09";#N/A,#N/A,FALSE,"A-11";#N/A,#N/A,FALSE,"A-12";#N/A,#N/A,FALSE,"ADDENDUM"}</definedName>
    <definedName name="LMA">{#N/A,#N/A,FALSE,"A-07";#N/A,#N/A,FALSE,"A-08";#N/A,#N/A,FALSE,"A-09";#N/A,#N/A,FALSE,"A-11";#N/A,#N/A,FALSE,"A-12";#N/A,#N/A,FALSE,"ADDENDUM"}</definedName>
    <definedName name="lmo">[150]lmo!$A$1:$AN$306</definedName>
    <definedName name="Load_haul">[82]Rates!$B$5:$G$32</definedName>
    <definedName name="loadcapw1">[62]OVBD!$J$23:$J$27</definedName>
    <definedName name="loadcapw2">[62]OVBD!$K$23:$K$27</definedName>
    <definedName name="loadcapw3">[62]OVBD!$L$23:$L$27</definedName>
    <definedName name="loadcapw4">[62]OVBD!$M$23:$M$27</definedName>
    <definedName name="loadcapw5">[62]OVBD!$N$23:$N$27</definedName>
    <definedName name="loadcapw6">[62]OVBD!$O$23:$O$27</definedName>
    <definedName name="loadcmcapw1">[62]COAL!$J$21:$J$24</definedName>
    <definedName name="loadcmcapw2">[62]COAL!$K$21:$K$24</definedName>
    <definedName name="loadcmcapw3">[62]COAL!$L$21:$L$24</definedName>
    <definedName name="loadcmcapw4">[62]COAL!$M$21:$M$24</definedName>
    <definedName name="loadcmcapw5">[62]COAL!$N$21:$N$24</definedName>
    <definedName name="loadcmcapw6">[62]COAL!$O$21:$O$24</definedName>
    <definedName name="LOADER">[151]BASE!$C$215:$C$257</definedName>
    <definedName name="Loader_18">#REF!,#REF!</definedName>
    <definedName name="LOADER_2018">#REF!,#REF!</definedName>
    <definedName name="Loader_Code">[106]M!$L$4:$L$32</definedName>
    <definedName name="Loader_Model">[106]M!$K$4:$K$32</definedName>
    <definedName name="Loader_New_Code">[106]M!$M$4:$M$32</definedName>
    <definedName name="LoaderCoal">[152]SPEC!$E$33:$E$38</definedName>
    <definedName name="LoaderHauling">[152]SPEC!$E$44:$E$46</definedName>
    <definedName name="LoaderOB">[152]SPEC!$E$13:$E$20</definedName>
    <definedName name="loadfleetconfhauler1">[62]OVBD!$C$23:$C$27</definedName>
    <definedName name="loadfleetconfhauler2">[62]OVBD!$E$23:$E$27</definedName>
    <definedName name="loadfleetconfloader">[62]OVBD!$B$23:$B$27</definedName>
    <definedName name="Loan_Amount">'[100]Loan Amortization Schedule'!$D$5</definedName>
    <definedName name="Loan_Start">'[100]Loan Amortization Schedule'!$D$9</definedName>
    <definedName name="Loan_Years">'[100]Loan Amortization Schedule'!$D$7</definedName>
    <definedName name="Loc_Formula">[106]M!$AV$13:$AV$19</definedName>
    <definedName name="locate">[153]BOMAG!#REF!</definedName>
    <definedName name="Location">[39]Master!$S$4:INDEX([39]Master!$S:$S,COUNTA([39]Master!$S:$S)+2,)</definedName>
    <definedName name="lock">{"Aneh",#N/A,FALSE,"Sheet1"}</definedName>
    <definedName name="LOGISTIC_HEAVY_EQUIP">"log"</definedName>
    <definedName name="LOM_strip_ratio">'[35]1 notes'!$C$7</definedName>
    <definedName name="long">{"Aneh",#N/A,FALSE,"Sheet1"}</definedName>
    <definedName name="LongDate">[56]_!#REF!</definedName>
    <definedName name="LongMonth">[56]_!#REF!</definedName>
    <definedName name="LOOKUP">"LOOKUP!$B$7:$C$15"</definedName>
    <definedName name="LOSS_CMH">[62]RSTR!$B$143:$L$189</definedName>
    <definedName name="LOSS_CML">[62]RSTR!$B$46:$L$82</definedName>
    <definedName name="LOSS_OBH">[62]RSTR!$B$86:$L$139</definedName>
    <definedName name="LOSS_OBL">[62]RSTR!$B$5:$L$42</definedName>
    <definedName name="loss_oocs">[62]RSTR!$B$192:$C$196</definedName>
    <definedName name="louy">{"Valuation",#N/A,TRUE,"Valuation Summary";"Financial Statements",#N/A,TRUE,"Results";"Results",#N/A,TRUE,"Results";"Ratios",#N/A,TRUE,"Results";"P2 Summary",#N/A,TRUE,"Results"}</definedName>
    <definedName name="LU">[42]!Table19[LUBRICATING]</definedName>
    <definedName name="M">"$#REF!.$B$2:$P$94"</definedName>
    <definedName name="machine_plan">MCOST2</definedName>
    <definedName name="machine_plan_abc">MCOST2</definedName>
    <definedName name="machine_plan_abm">MCOST2</definedName>
    <definedName name="maret">{"Aneh",#N/A,FALSE,"Sheet1"}</definedName>
    <definedName name="MARKING">"$#REF!.$C$5:$I$6068"</definedName>
    <definedName name="MARKING_1">"$#REF!.$C$5:$I$6117"</definedName>
    <definedName name="MASTER">"$#REF!.$D$139:$F$377"</definedName>
    <definedName name="MASTER_1">"$#REF!.$D$138:$F$343"</definedName>
    <definedName name="MASTERLINK">[154]MASTER!$DB$4:$EL$35</definedName>
    <definedName name="mate">{"CapCost",#N/A,TRUE,"CAP";"Revenue",#N/A,TRUE,"Rev";"OpCost",#N/A,TRUE,"Costs";"WorkCap",#N/A,TRUE,"WorkCap";"Depreciation",#N/A,TRUE,"Dep";"Fin_Report",#N/A,TRUE,"FS"}</definedName>
    <definedName name="Material">[155]mapping!$C$3:$C$11</definedName>
    <definedName name="MaterialFactor">[41]Master!$AB$4:INDEX([41]Master!$AC:$AC,COUNTA([41]Master!$AC:$AC)+2)</definedName>
    <definedName name="MBVNS">{"notes",#N/A,FALSE,"NPV";"notes",#N/A,FALSE,"VO";"notes",#N/A,FALSE,"PC"}</definedName>
    <definedName name="mcl">'[156]mine-close'!$A$1:$AN$299</definedName>
    <definedName name="MCOST2">[28]MCOST1!$A$64:$W$124</definedName>
    <definedName name="MDELJKGAKG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med">[25]POO!$G$35:$H$46</definedName>
    <definedName name="mekanik">'[33]GEN Assumpt'!$H$72</definedName>
    <definedName name="MERAPI">"$#REF!.$D$5:$J$6074"</definedName>
    <definedName name="MERC">[67]!Table3[MERC]</definedName>
    <definedName name="mid">[157]data!$C$76:$C$83</definedName>
    <definedName name="middle1">'[99]Bottom Sump mid'!$A$3:$C$116</definedName>
    <definedName name="Milik">'[158](1)'!$E$73:$E$77</definedName>
    <definedName name="MILLER">"$#REF!.$C$5:$I$5990"</definedName>
    <definedName name="milling_cost">[82]CostP!$A$30:$B$34</definedName>
    <definedName name="MINGGUAN">'[73]bank-data'!$A$1:$R$102</definedName>
    <definedName name="MINING">"prod"</definedName>
    <definedName name="Mining_Figures">'[82]Ecc Analysis'!$A$32:$L$58</definedName>
    <definedName name="MIS">[159]FORM!$A:$IV</definedName>
    <definedName name="MKT">[160]FORM!$A:$IV</definedName>
    <definedName name="mm">{"adj95mult",#N/A,FALSE,"COMPCO";"adj95est",#N/A,FALSE,"COMPCO"}</definedName>
    <definedName name="MOBILE">[67]!Table4[MOBILE]</definedName>
    <definedName name="Model_unit">[106]M!$D$4:$D$213</definedName>
    <definedName name="month_type">[90]data!$A$9:$A$713</definedName>
    <definedName name="Month_Type_1">[89]data!$A$9:$A$64554</definedName>
    <definedName name="month1">'[161]Pronto Data'!$O$1:$P$16</definedName>
    <definedName name="Months">[56]_!#REF!</definedName>
    <definedName name="Mths_in_qtr">3</definedName>
    <definedName name="Mths_in_year">12</definedName>
    <definedName name="Muatan_Material">[84]Master!$Q$29:$Q$41</definedName>
    <definedName name="MUMTAZ">"$#REF!.$D$5:$J$5964"</definedName>
    <definedName name="MUSYAWARAH">"$#REF!.$D$5:$J$5971"</definedName>
    <definedName name="myspec">[62]SPEC!$C$8:$N$25</definedName>
    <definedName name="NAMA_ACC">NA()</definedName>
    <definedName name="Namabarang">[140]!Table10[NAMA BARANG]</definedName>
    <definedName name="NamaDriver">[162]!no[Nama]</definedName>
    <definedName name="NamaGL">[38]Formula!#REF!</definedName>
    <definedName name="NamaPit">[140]!Table1[KODE-PIT]</definedName>
    <definedName name="NamaUnit">[140]!Table4[UNIT]</definedName>
    <definedName name="name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name2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nav">{"Valuation - Letter",#N/A,TRUE,"Valuation Summary";"Financial Statements - Letter",#N/A,TRUE,"Results";"Results - Letter",#N/A,TRUE,"Results";"Ratios - Letter",#N/A,TRUE,"Results";"P2 Summary - Letter",#N/A,TRUE,"Results"}</definedName>
    <definedName name="new">NA()</definedName>
    <definedName name="new_10">NA()</definedName>
    <definedName name="New_Code">[106]M!$F$4:$F$213</definedName>
    <definedName name="New_Detail_Item_Category">[106]M!$AE$5:$AE$98</definedName>
    <definedName name="NEWNAME">{#N/A,#N/A,FALSE,"CCTV"}</definedName>
    <definedName name="NIRPT">{#N/A,#N/A,FALSE,"BS-1";#N/A,#N/A,FALSE,"BS-T";#N/A,#N/A,FALSE,"BS-2";#N/A,#N/A,FALSE,"BS-3";#N/A,#N/A,FALSE,"BS-4";#N/A,#N/A,FALSE,"BS-5";#N/A,#N/A,FALSE,"BS-6";#N/A,#N/A,FALSE,"BS-7";#N/A,#N/A,FALSE,"BS-8"}</definedName>
    <definedName name="NIRPTNEW">{#N/A,#N/A,FALSE,"BS-1";#N/A,#N/A,FALSE,"BS-T";#N/A,#N/A,FALSE,"BS-2";#N/A,#N/A,FALSE,"BS-3";#N/A,#N/A,FALSE,"BS-4";#N/A,#N/A,FALSE,"BS-5";#N/A,#N/A,FALSE,"BS-6";#N/A,#N/A,FALSE,"BS-7";#N/A,#N/A,FALSE,"BS-8"}</definedName>
    <definedName name="NISSAN">"$#REF!.$D$5:$J$5962"</definedName>
    <definedName name="nm">{"DCF","UPSIDE CASE",FALSE,"Sheet1";"DCF","BASE CASE",FALSE,"Sheet1";"DCF","DOWNSIDE CASE",FALSE,"Sheet1"}</definedName>
    <definedName name="nmCategory">OFFSET(#REF!,0,0,MIN(COUNTA(#REF!)-2,COUNTA(#REF!)-1),1)</definedName>
    <definedName name="nmCategory_8">OFFSET(#REF!,0,0,MIN(COUNTA(#REF!)-2,COUNTA(#REF!)-1),1)</definedName>
    <definedName name="nmCategory_9">OFFSET(#REF!,0,0,MIN(COUNTA(#REF!)-2,COUNTA(#REF!)-1),1)</definedName>
    <definedName name="nmValue">OFFSET(nmCategory,0,1)</definedName>
    <definedName name="nmValue_8">OFFSET(nmCategory_9,0,1)</definedName>
    <definedName name="nmValue_9">OFFSET(nmL1s,0,1)</definedName>
    <definedName name="NO_LAMBUNG">[163]!Table6[No. Lambung]</definedName>
    <definedName name="NO_PPU">[140]!Table141213[PPU]</definedName>
    <definedName name="noe">[164]RESUME!#REF!</definedName>
    <definedName name="NOPAT___FP">OFFSET(#REF!,0,0,1,#REF!)</definedName>
    <definedName name="NOUNIT">[18]SPK!#REF!</definedName>
    <definedName localSheetId="0" name="NPAT_FP">IF(Show_Sales_Growth_9,NumDays_9,BlankRange_9)</definedName>
    <definedName name="NPAT_FP">IF(Show_Sales_Growth_9,NumDays_9,BlankRange_9)</definedName>
    <definedName name="NPAUI___Sales">OFFSET(#REF!,0,0,1,#REF!)</definedName>
    <definedName name="NRP">[165]!Table3[Column2]</definedName>
    <definedName name="NRPP">[166]PMR76HA3!$A$5:$C$444</definedName>
    <definedName name="Nstaff">'[167]Non-staff Tender Rates'!$C$5:$N$35</definedName>
    <definedName name="numb">{"Aneh",#N/A,FALSE,"Sheet1"}</definedName>
    <definedName name="NUSANTARA">"$#REF!.$D$4:$I$5971"</definedName>
    <definedName name="o_o_cost_a">MCOST2</definedName>
    <definedName name="OB_CAP">[62]OVBD!$I$109:$P$113</definedName>
    <definedName name="OBPLAN">'[65] OB PLAN'!$B$5:$AF$42</definedName>
    <definedName name="OC">[168]ooc!$E$9:$BL$46</definedName>
    <definedName name="OffsetMonths">[56]_!#REF!</definedName>
    <definedName name="oi">{"Valuation",#N/A,TRUE,"Valuation Summary";"Financial Statements",#N/A,TRUE,"Results";"Results",#N/A,TRUE,"Results";"Ratios",#N/A,TRUE,"Results";"P2 Summary",#N/A,TRUE,"Results"}</definedName>
    <definedName name="OK">{#N/A,#N/A,FALSE,"BS-T";#N/A,#N/A,FALSE,"BS-2";#N/A,#N/A,FALSE,"BS-3";#N/A,#N/A,FALSE,"BS-4";#N/A,#N/A,FALSE,"BS-5";#N/A,#N/A,FALSE,"BS-6";#N/A,#N/A,FALSE,"BS-7";#N/A,#N/A,FALSE,"BS-8"}</definedName>
    <definedName name="oke">"$#REF!.$C$1:$I$65536"</definedName>
    <definedName name="okle">"$#REF!.$C$1:$I$65536"</definedName>
    <definedName name="oktober">{"Aneh",#N/A,FALSE,"Sheet1"}</definedName>
    <definedName name="OL">{"Valuation",#N/A,TRUE,"Valuation Summary";"Financial Statements",#N/A,TRUE,"Results";"Results",#N/A,TRUE,"Results";"Ratios",#N/A,TRUE,"Results";"P2 Summary",#N/A,TRUE,"Results"}</definedName>
    <definedName name="old">NA()</definedName>
    <definedName name="old_10">NA()</definedName>
    <definedName name="olie">'[98]RMSOURCE BSS'!$B$6:$H$27</definedName>
    <definedName name="Oncall">"$#REF!.$B$3:$H$13"</definedName>
    <definedName name="ONTOHOD">"$#REF!.$D$5:$J$5995"</definedName>
    <definedName name="oo">{"gyprint",#N/A,FALSE,"Goonyella";"rvprint",#N/A,FALSE,"Riverside"}</definedName>
    <definedName name="ooo">{"Graphic",#N/A,TRUE,"Graphic"}</definedName>
    <definedName name="opbals">'[35]3.3 input opbals'!$A$5:$Q$46</definedName>
    <definedName name="operator">[169]bantuan!$B$2:$C$30</definedName>
    <definedName name="Operator_18">[170]Master!$E$3:$E$101</definedName>
    <definedName name="Operator3">[171]Master!$G$3:$G$179</definedName>
    <definedName name="OPR">[172]FORM!$A:$IV</definedName>
    <definedName name="Opr_setup">{"gyprint",#N/A,FALSE,"Goonyella";"rvprint",#N/A,FALSE,"Riverside"}</definedName>
    <definedName name="ORDERINGSTATUS">[173]UOM!$B:$B</definedName>
    <definedName name="OSBL">{"'장비'!$A$3:$M$12"}</definedName>
    <definedName name="OSBL1">{"'장비'!$A$3:$M$12"}</definedName>
    <definedName name="OT">[42]!Table6[OTHERS]</definedName>
    <definedName name="OTHERPART">'[98]RMSOURCE BSS'!$R$6:$X$27</definedName>
    <definedName name="outlet">INDIRECT("Sheet1!$D$7:$D$"&amp;COUNTA(#REF!)+5)</definedName>
    <definedName localSheetId="0" name="Ownership">OFFSET([76]!Data.Top.Left,1,0)</definedName>
    <definedName name="Ownership">OFFSET([76]!Data.Top.Left,1,0)</definedName>
    <definedName name="p_all">[174]Coding!$AK$3:$AK$1880</definedName>
    <definedName name="P_Area">[175]Title!$A$7:$M$59</definedName>
    <definedName name="PA_Actual">[27]Data!$B$86:$AG$95</definedName>
    <definedName name="PA_CMH">[62]PAVB!$B$39:$I$52</definedName>
    <definedName name="PA_CML">[62]PAVB!$B$12:$I$15</definedName>
    <definedName name="PA_OBH">[62]PAVB!$B$17:$I$37</definedName>
    <definedName name="PA_OBL">[62]PAVB!$B$6:$I$10</definedName>
    <definedName name="PA_Plan">[27]Data!$B$73:$AG$82</definedName>
    <definedName name="PA_unit">[176]Sheet2!$B$7:$G$91</definedName>
    <definedName name="PACARKU">"$#REF!.$C$5:$I$6033"</definedName>
    <definedName name="PADASIBUK">"$#REF!.$C$5:$I$5989"</definedName>
    <definedName name="PAGE">"$#REF!.$D$5:$J$5958"</definedName>
    <definedName name="Pal_Workbook_GUID">"69JH7Y1QN6285D4I2U2R2MNU"</definedName>
    <definedName name="PAMA_1">"$#REF!.$D$1:$I$65536"</definedName>
    <definedName name="PAMAPERSADA">"$#REF!.$D$1:$I$5968"</definedName>
    <definedName name="PAMAPERSADA_1">"$#REF!.$D$5:$I$5972"</definedName>
    <definedName name="Pan">'[110]Daily Report'!#REF!</definedName>
    <definedName name="param">'[177]Hitung ulang PPh '!#REF!</definedName>
    <definedName name="payroll">NA()</definedName>
    <definedName name="pdv">[178]prodev!$A$1:$AN$252</definedName>
    <definedName name="Peb">{"gyprint",#N/A,FALSE,"Goonyella";"rvprint",#N/A,FALSE,"Riverside"}</definedName>
    <definedName name="pekerjaan2">'[138]Data Master 2010'!#REF!</definedName>
    <definedName name="Pelanggaran">[162]!Table10[Type Pelanggaran]</definedName>
    <definedName name="PENGAWAS">[139]!Table5[PENGAWAS]</definedName>
    <definedName name="perc">{"0.5","0.55","0.6","0.65","0.7","0.75","0.8","0.85","0.9","0.95","1","1.05","1.1","1.15","1.2","1.25","1.3","1.35","1.4","1.45","1.5","1.55","1.6","1.65","1.7","1.75","1.8","1.85","1.9","1.95","2"}</definedName>
    <definedName name="perc_2">{"0.5","0.55","0.6","0.65","0.7","0.75","0.8","0.85","0.9","0.95","1","1.05","1.1","1.15","1.2","1.25","1.3","1.35","1.4","1.45","1.5","1.55","1.6","1.65","1.7","1.75","1.8","1.85","1.9","1.95","2"}</definedName>
    <definedName name="perc_4">{"0.5","0.55","0.6","0.65","0.7","0.75","0.8","0.85","0.9","0.95","1","1.05","1.1","1.15","1.2","1.25","1.3","1.35","1.4","1.45","1.5","1.55","1.6","1.65","1.7","1.75","1.8","1.85","1.9","1.95","2"}</definedName>
    <definedName name="PERCAYADIRI">"$#REF!.$C$5:$I$5976"</definedName>
    <definedName name="PERSADA">"$#REF!.$D$1:$H$65536"</definedName>
    <definedName name="PERSADA_1">"$#REF!.$D$1:$I$65536"</definedName>
    <definedName name="PERSADA_2">"$#REF!.$D$1:$I$65536"</definedName>
    <definedName name="PF">{"Aneh",#N/A,FALSE,"Sheet1"}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">{"Valuation - Letter",#N/A,TRUE,"Valuation Summary";"Financial Statements - Letter",#N/A,TRUE,"Results";"Results - Letter",#N/A,TRUE,"Results";"Ratios - Letter",#N/A,TRUE,"Results";"P2 Summary - Letter",#N/A,TRUE,"Results"}</definedName>
    <definedName name="PIERINA">'[179]July Forecast Costs'!#REF!</definedName>
    <definedName name="pit_avbd2">[62]OVBD!$H$82:$I$102</definedName>
    <definedName name="pit_coal2">[62]COAL!$H$64:$I$77</definedName>
    <definedName name="pit_ovbd">[62]OVBD!$I$23:$I$27</definedName>
    <definedName name="pit_uqty">[62]UQTY!$E$5:$E$50</definedName>
    <definedName name="Plan2009">[180]report!#REF!</definedName>
    <definedName name="PLANT_HEAVY_EQUIP">"plant"</definedName>
    <definedName name="plant2013">{#N/A,#N/A,FALSE,"Summary";#N/A,#N/A,FALSE,"A-01";#N/A,#N/A,FALSE,"A-03";#N/A,#N/A,FALSE,"A-04";#N/A,#N/A,FALSE,"A-06"}</definedName>
    <definedName name="PlantThisMonth">[181]PLAN!$A$1:$IV$8</definedName>
    <definedName name="pmCOST">#REF!,#REF!,#REF!,#REF!,#REF!,#REF!</definedName>
    <definedName name="pmtdat_1">NA()</definedName>
    <definedName name="po">{"paging",#N/A,TRUE,"TITLE";#N/A,#N/A,TRUE,"Paging subs";#N/A,#N/A,TRUE,"P&amp;L - Paging";#N/A,#N/A,TRUE,"Rev &amp; Usage Assump - Paging";#N/A,#N/A,TRUE,"Cost - Paging";"paging",#N/A,TRUE,"Capex "}</definedName>
    <definedName name="POIFDF">{#N/A,#N/A,FALSE,"A-07";#N/A,#N/A,FALSE,"A-08";#N/A,#N/A,FALSE,"A-09";#N/A,#N/A,FALSE,"A-11";#N/A,#N/A,FALSE,"A-12";#N/A,#N/A,FALSE,"ADDENDUM"}</definedName>
    <definedName name="POLBAN_1">"$#REF!.$C$5:$I$6074"</definedName>
    <definedName name="POLBAN_2">"$#REF!.$C$5:$I$6074"</definedName>
    <definedName name="pop">"$#REF!.$D$2:$D$177"</definedName>
    <definedName name="port">#REF!+#REF!</definedName>
    <definedName name="Port__Closed">#REF!+#REF!</definedName>
    <definedName name="pp">{"DCF","UPSIDE CASE",FALSE,"Sheet1";"DCF","BASE CASE",FALSE,"Sheet1";"DCF","DOWNSIDE CASE",FALSE,"Sheet1"}</definedName>
    <definedName name="PPH_23_BUNGA">NA()</definedName>
    <definedName name="PPH_PASAL_26">NA()</definedName>
    <definedName name="ppp">{"DCF","UPSIDE CASE",FALSE,"Sheet1";"DCF","BASE CASE",FALSE,"Sheet1";"DCF","DOWNSIDE CASE",FALSE,"Sheet1"}</definedName>
    <definedName name="PPU">[182]!T_PPU[NO.PPU]</definedName>
    <definedName name="PQC">[183]FORM!$A:$IV</definedName>
    <definedName name="PR">{"Aneh",#N/A,FALSE,"Sheet1"}</definedName>
    <definedName name="PRC">[184]FORM!$A:$IV</definedName>
    <definedName name="premi">[31]Premi!$A$6:$J$129</definedName>
    <definedName name="PRes">'[79]D-04'!#REF!</definedName>
    <definedName name="PRET_1">"$#REF!.$C$5:$I$6173"</definedName>
    <definedName name="PriceMarker">[125]Data!$B$8:$N$15</definedName>
    <definedName name="Print_Titles_MI">NA()</definedName>
    <definedName name="PRJ">[178]FORM!$A:$IV</definedName>
    <definedName name="pro">{"gyprint",#N/A,FALSE,"Goonyella";"rvprint",#N/A,FALSE,"Riverside"}</definedName>
    <definedName name="problem">[84]Master!$L$10:$L$21</definedName>
    <definedName name="problem_unit">[106]Data!$BE$71:$BX$76</definedName>
    <definedName name="PROD_COAL">'[185]DP Report'!$F$42:$F$42</definedName>
    <definedName name="PROD_OB">'[185]DP Report'!$F$33:$F$33</definedName>
    <definedName name="Prod_PA_Coal">[34]Summary!#REF!</definedName>
    <definedName name="Prod_PA_Coal_SELATAN">[34]Summary!#REF!</definedName>
    <definedName name="Prod_PA_Coal_UTARA">[34]Summary!#REF!</definedName>
    <definedName name="Prod_PA_DT">[34]Summary!#REF!</definedName>
    <definedName name="Prod_PA_DT_SELATAN">[34]Summary!#REF!</definedName>
    <definedName name="Prod_PA_DT_UTARA">[34]Summary!#REF!</definedName>
    <definedName name="Prod_PA_OB">[34]Summary!#REF!</definedName>
    <definedName name="Prod_PA_OB_SELATAN">[34]Summary!#REF!</definedName>
    <definedName name="Prod_PA_OB_UTARA">[34]Summary!#REF!</definedName>
    <definedName name="PRODCOAL">[186]coal!$A$32:$AG$65</definedName>
    <definedName name="PRODOB">[186]ob!$A$42:$AG$52</definedName>
    <definedName name="PRODOBHD">[186]ob!$A$91:$AG$115</definedName>
    <definedName name="Prodty_Actual">[27]Data!$B$20:$AG$33</definedName>
    <definedName name="Prodty_Plan">[27]Data!$B$3:$AG$16</definedName>
    <definedName name="Production">[27]Data!$B$149:$AG$153</definedName>
    <definedName name="Productivity">[39]Master!$AD$4:INDEX([39]Master!$AD:$AD,COUNTA([39]Master!$AD:$AD)+2,)</definedName>
    <definedName name="Productivity_Problem">[106]M!$AM$4:$AM$35</definedName>
    <definedName name="proforma">{#N/A,#N/A,FALSE,"A-07";#N/A,#N/A,FALSE,"A-08";#N/A,#N/A,FALSE,"A-09";#N/A,#N/A,FALSE,"A-11";#N/A,#N/A,FALSE,"A-12";#N/A,#N/A,FALSE,"ADDENDUM"}</definedName>
    <definedName name="Project">'[60]Title &amp; Notes'!$K$35</definedName>
    <definedName name="pty_co">[106]Hourly!$CB$9:$CB$29</definedName>
    <definedName name="pty_ob">[106]Hourly!$AN$9:$AN$29</definedName>
    <definedName name="Pump">'[187]2.Pump Spec'!$F$6:$J$29</definedName>
    <definedName name="puskopol1">{#N/A,#N/A,FALSE,"Summary";#N/A,#N/A,FALSE,"A-01";#N/A,#N/A,FALSE,"A-03";#N/A,#N/A,FALSE,"A-04";#N/A,#N/A,FALSE,"A-06"}</definedName>
    <definedName name="Q">MCOST2</definedName>
    <definedName name="q.d">{"gyprint",#N/A,FALSE,"Goonyella";"rvprint",#N/A,FALSE,"Riverside"}</definedName>
    <definedName name="Q1_FOB">'[114]K_FOB '!$AL$11:$AL$328</definedName>
    <definedName name="Q2_FOB">'[114]K_FOB '!$BM$11:$BM$328</definedName>
    <definedName name="Q3_FOB">'[114]K_FOB '!$CT$11:$CT$328</definedName>
    <definedName name="Q4_FOB">'[114]K_FOB '!$DU$11:$DU$328</definedName>
    <definedName name="QBGKGAF">{#N/A,#N/A,FALSE,"Summary";#N/A,#N/A,FALSE,"A-01";#N/A,#N/A,FALSE,"A-03";#N/A,#N/A,FALSE,"A-04";#N/A,#N/A,FALSE,"A-06"}</definedName>
    <definedName name="Qc_New">[188]Summary!#REF!</definedName>
    <definedName name="QP">'[1]98인건비'!#REF!</definedName>
    <definedName name="QQ">'[1]98인건비'!#REF!</definedName>
    <definedName name="qqq">[93]Sheet1!#REF!</definedName>
    <definedName name="qR2_ActCoalHor_01">'[189]Opsi 2_Sulphur&lt;1.5'!#REF!</definedName>
    <definedName name="qR2_ActCoalHor_02">'[189]Opsi 2_Sulphur&lt;1.5'!#REF!</definedName>
    <definedName name="qR2_ActCoalHor_03">'[189]Opsi 2_Sulphur&lt;1.5'!#REF!</definedName>
    <definedName name="qR2_ActCoalHor_04">'[189]Opsi 2_Sulphur&lt;1.5'!#REF!</definedName>
    <definedName name="qR2_ActCoalHor_05">'[189]Opsi 2_Sulphur&lt;1.5'!#REF!</definedName>
    <definedName name="qR2_ActCoalHor_06">'[189]Opsi 2_Sulphur&lt;1.5'!#REF!</definedName>
    <definedName name="qR2_ActCoalHor_07">'[189]Opsi 2_Sulphur&lt;1.5'!#REF!</definedName>
    <definedName name="qR2_ActCoalHor_08">'[189]Opsi 2_Sulphur&lt;1.5'!#REF!</definedName>
    <definedName name="qR2_ActCoalHor_09">'[189]Opsi 2_Sulphur&lt;1.5'!#REF!</definedName>
    <definedName name="qR2_ActCoalHor_10">'[189]Opsi 2_Sulphur&lt;1.5'!#REF!</definedName>
    <definedName name="qR2_ActCoalHor_11">'[189]Opsi 2_Sulphur&lt;1.5'!#REF!</definedName>
    <definedName name="qR2_ActCoalHor_12">'[189]Opsi 2_Sulphur&lt;1.5'!#REF!</definedName>
    <definedName name="qR2_ActCoalHor_13">'[189]Opsi 2_Sulphur&lt;1.5'!#REF!</definedName>
    <definedName name="qR2_ActCoalHor_14">'[189]Opsi 2_Sulphur&lt;1.5'!#REF!</definedName>
    <definedName name="qR2_ActCoalHor_15">'[189]Opsi 2_Sulphur&lt;1.5'!#REF!</definedName>
    <definedName name="qR2_ActCoalVer_01">'[189]Opsi 2_Sulphur&lt;1.5'!#REF!</definedName>
    <definedName name="qR2_ActCoalVer_02">'[189]Opsi 2_Sulphur&lt;1.5'!#REF!</definedName>
    <definedName name="qR2_ActCoalVer_03">'[189]Opsi 2_Sulphur&lt;1.5'!#REF!</definedName>
    <definedName name="qR2_ActCoalVer_04">'[189]Opsi 2_Sulphur&lt;1.5'!#REF!</definedName>
    <definedName name="qR2_ActCoalVer_05">'[189]Opsi 2_Sulphur&lt;1.5'!#REF!</definedName>
    <definedName name="qR2_ActCoalVer_06">'[189]Opsi 2_Sulphur&lt;1.5'!#REF!</definedName>
    <definedName name="qR2_ActCoalVer_07">'[189]Opsi 2_Sulphur&lt;1.5'!#REF!</definedName>
    <definedName name="qR2_ActCoalVer_08">'[189]Opsi 2_Sulphur&lt;1.5'!#REF!</definedName>
    <definedName name="qR2_ActCoalVer_09">'[189]Opsi 2_Sulphur&lt;1.5'!#REF!</definedName>
    <definedName name="qR2_ActCoalVer_10">'[189]Opsi 2_Sulphur&lt;1.5'!#REF!</definedName>
    <definedName name="qR2_ActCoalVer_11">'[189]Opsi 2_Sulphur&lt;1.5'!#REF!</definedName>
    <definedName name="qR2_ActCoalVer_12">'[189]Opsi 2_Sulphur&lt;1.5'!#REF!</definedName>
    <definedName name="qR2_ActCoalVer_13">'[189]Opsi 2_Sulphur&lt;1.5'!#REF!</definedName>
    <definedName name="qR2_ActCoalVer_14">'[189]Opsi 2_Sulphur&lt;1.5'!#REF!</definedName>
    <definedName name="qR2_ActCoalVer_15">'[189]Opsi 2_Sulphur&lt;1.5'!#REF!</definedName>
    <definedName name="qR2_ActWstHor_01">'[189]Opsi 2_Sulphur&lt;1.5'!#REF!</definedName>
    <definedName name="qR2_ActWstHor_02">'[189]Opsi 2_Sulphur&lt;1.5'!#REF!</definedName>
    <definedName name="qR2_ActWstHor_03">'[189]Opsi 2_Sulphur&lt;1.5'!#REF!</definedName>
    <definedName name="qR2_ActWstHor_04">'[189]Opsi 2_Sulphur&lt;1.5'!#REF!</definedName>
    <definedName name="qR2_ActWstHor_05">'[189]Opsi 2_Sulphur&lt;1.5'!#REF!</definedName>
    <definedName name="qR2_ActWstHor_06">'[189]Opsi 2_Sulphur&lt;1.5'!#REF!</definedName>
    <definedName name="qR2_ActWstHor_07">'[189]Opsi 2_Sulphur&lt;1.5'!#REF!</definedName>
    <definedName name="qR2_ActWstHor_08">'[189]Opsi 2_Sulphur&lt;1.5'!#REF!</definedName>
    <definedName name="qR2_ActWstHor_09">'[189]Opsi 2_Sulphur&lt;1.5'!#REF!</definedName>
    <definedName name="qR2_ActWstHor_10">'[189]Opsi 2_Sulphur&lt;1.5'!#REF!</definedName>
    <definedName name="qR2_ActWstHor_11">'[189]Opsi 2_Sulphur&lt;1.5'!#REF!</definedName>
    <definedName name="qR2_ActWstHor_12">'[189]Opsi 2_Sulphur&lt;1.5'!#REF!</definedName>
    <definedName name="qR2_ActWstHor_13">'[189]Opsi 2_Sulphur&lt;1.5'!#REF!</definedName>
    <definedName name="qR2_ActWstHor_14">'[189]Opsi 2_Sulphur&lt;1.5'!#REF!</definedName>
    <definedName name="qR2_ActWstHor_15">'[189]Opsi 2_Sulphur&lt;1.5'!#REF!</definedName>
    <definedName name="qR2_ActWstVer_01">'[189]Opsi 2_Sulphur&lt;1.5'!#REF!</definedName>
    <definedName name="qR2_ActWstVer_02">'[189]Opsi 2_Sulphur&lt;1.5'!#REF!</definedName>
    <definedName name="qR2_ActWstVer_03">'[189]Opsi 2_Sulphur&lt;1.5'!#REF!</definedName>
    <definedName name="qR2_ActWstVer_04">'[189]Opsi 2_Sulphur&lt;1.5'!#REF!</definedName>
    <definedName name="qR2_ActWstVer_05">'[189]Opsi 2_Sulphur&lt;1.5'!#REF!</definedName>
    <definedName name="qR2_ActWstVer_06">'[189]Opsi 2_Sulphur&lt;1.5'!#REF!</definedName>
    <definedName name="qR2_ActWstVer_07">'[189]Opsi 2_Sulphur&lt;1.5'!#REF!</definedName>
    <definedName name="qR2_ActWstVer_08">'[189]Opsi 2_Sulphur&lt;1.5'!#REF!</definedName>
    <definedName name="qR2_ActWstVer_09">'[189]Opsi 2_Sulphur&lt;1.5'!#REF!</definedName>
    <definedName name="qR2_ActWstVer_10">'[189]Opsi 2_Sulphur&lt;1.5'!#REF!</definedName>
    <definedName name="qR2_ActWstVer_11">'[189]Opsi 2_Sulphur&lt;1.5'!#REF!</definedName>
    <definedName name="qR2_ActWstVer_12">'[189]Opsi 2_Sulphur&lt;1.5'!#REF!</definedName>
    <definedName name="qR2_ActWstVer_13">'[189]Opsi 2_Sulphur&lt;1.5'!#REF!</definedName>
    <definedName name="qR2_ActWstVer_14">'[189]Opsi 2_Sulphur&lt;1.5'!#REF!</definedName>
    <definedName name="qR2_ActWstVer_15">'[189]Opsi 2_Sulphur&lt;1.5'!#REF!</definedName>
    <definedName name="qR2_Coal_01">'[189]Opsi 2_Sulphur&lt;1.5'!#REF!</definedName>
    <definedName name="qR2_Coal_02">'[189]Opsi 2_Sulphur&lt;1.5'!#REF!</definedName>
    <definedName name="qR2_Coal_03">'[189]Opsi 2_Sulphur&lt;1.5'!#REF!</definedName>
    <definedName name="qR2_Coal_04">'[189]Opsi 2_Sulphur&lt;1.5'!#REF!</definedName>
    <definedName name="qR2_Coal_05">'[189]Opsi 2_Sulphur&lt;1.5'!#REF!</definedName>
    <definedName name="qR2_Coal_06">'[189]Opsi 2_Sulphur&lt;1.5'!#REF!</definedName>
    <definedName name="qR2_Coal_07">'[189]Opsi 2_Sulphur&lt;1.5'!#REF!</definedName>
    <definedName name="qR2_Coal_08">'[189]Opsi 2_Sulphur&lt;1.5'!#REF!</definedName>
    <definedName name="qR2_Coal_09">'[189]Opsi 2_Sulphur&lt;1.5'!#REF!</definedName>
    <definedName name="qR2_Coal_10">'[189]Opsi 2_Sulphur&lt;1.5'!#REF!</definedName>
    <definedName name="qR2_Coal_11">'[189]Opsi 2_Sulphur&lt;1.5'!#REF!</definedName>
    <definedName name="qR2_Coal_12">'[189]Opsi 2_Sulphur&lt;1.5'!#REF!</definedName>
    <definedName name="qR2_Coal_13">'[189]Opsi 2_Sulphur&lt;1.5'!#REF!</definedName>
    <definedName name="qR2_Coal_14">'[189]Opsi 2_Sulphur&lt;1.5'!#REF!</definedName>
    <definedName name="qR2_Coal_15">'[189]Opsi 2_Sulphur&lt;1.5'!#REF!</definedName>
    <definedName name="qR2_CV_01">'[189]Opsi 2_Sulphur&lt;1.5'!#REF!</definedName>
    <definedName name="qR2_CV_02">'[189]Opsi 2_Sulphur&lt;1.5'!#REF!</definedName>
    <definedName name="qR2_CV_03">'[189]Opsi 2_Sulphur&lt;1.5'!#REF!</definedName>
    <definedName name="qR2_CV_04">'[189]Opsi 2_Sulphur&lt;1.5'!#REF!</definedName>
    <definedName name="qR2_CV_05">'[189]Opsi 2_Sulphur&lt;1.5'!#REF!</definedName>
    <definedName name="qR2_CV_06">'[189]Opsi 2_Sulphur&lt;1.5'!#REF!</definedName>
    <definedName name="qR2_CV_07">'[189]Opsi 2_Sulphur&lt;1.5'!#REF!</definedName>
    <definedName name="qR2_CV_08">'[189]Opsi 2_Sulphur&lt;1.5'!#REF!</definedName>
    <definedName name="qR2_CV_09">'[189]Opsi 2_Sulphur&lt;1.5'!#REF!</definedName>
    <definedName name="qR2_CV_10">'[189]Opsi 2_Sulphur&lt;1.5'!#REF!</definedName>
    <definedName name="qR2_CV_11">'[189]Opsi 2_Sulphur&lt;1.5'!#REF!</definedName>
    <definedName name="qR2_CV_12">'[189]Opsi 2_Sulphur&lt;1.5'!#REF!</definedName>
    <definedName name="qR2_CV_13">'[189]Opsi 2_Sulphur&lt;1.5'!#REF!</definedName>
    <definedName name="qR2_CV_14">'[189]Opsi 2_Sulphur&lt;1.5'!#REF!</definedName>
    <definedName name="qR2_CV_15">'[189]Opsi 2_Sulphur&lt;1.5'!#REF!</definedName>
    <definedName name="qR2_SR_01">'[189]Opsi 2_Sulphur&lt;1.5'!#REF!</definedName>
    <definedName name="qR2_SR_02">'[189]Opsi 2_Sulphur&lt;1.5'!#REF!</definedName>
    <definedName name="qR2_SR_03">'[189]Opsi 2_Sulphur&lt;1.5'!#REF!</definedName>
    <definedName name="qR2_SR_04">'[189]Opsi 2_Sulphur&lt;1.5'!#REF!</definedName>
    <definedName name="qR2_SR_05">'[189]Opsi 2_Sulphur&lt;1.5'!#REF!</definedName>
    <definedName name="qR2_SR_06">'[189]Opsi 2_Sulphur&lt;1.5'!#REF!</definedName>
    <definedName name="qR2_SR_07">'[189]Opsi 2_Sulphur&lt;1.5'!#REF!</definedName>
    <definedName name="qR2_SR_08">'[189]Opsi 2_Sulphur&lt;1.5'!#REF!</definedName>
    <definedName name="qR2_SR_09">'[189]Opsi 2_Sulphur&lt;1.5'!#REF!</definedName>
    <definedName name="qR2_SR_10">'[189]Opsi 2_Sulphur&lt;1.5'!#REF!</definedName>
    <definedName name="qR2_SR_11">'[189]Opsi 2_Sulphur&lt;1.5'!#REF!</definedName>
    <definedName name="qR2_SR_12">'[189]Opsi 2_Sulphur&lt;1.5'!#REF!</definedName>
    <definedName name="qR2_SR_13">'[189]Opsi 2_Sulphur&lt;1.5'!#REF!</definedName>
    <definedName name="qR2_SR_14">'[189]Opsi 2_Sulphur&lt;1.5'!#REF!</definedName>
    <definedName name="qR2_SR_15">'[189]Opsi 2_Sulphur&lt;1.5'!#REF!</definedName>
    <definedName name="qR2_SU_01">'[189]Opsi 2_Sulphur&lt;1.5'!#REF!</definedName>
    <definedName name="qR2_SU_02">'[189]Opsi 2_Sulphur&lt;1.5'!#REF!</definedName>
    <definedName name="qR2_SU_03">'[189]Opsi 2_Sulphur&lt;1.5'!#REF!</definedName>
    <definedName name="qR2_SU_04">'[189]Opsi 2_Sulphur&lt;1.5'!#REF!</definedName>
    <definedName name="qR2_SU_05">'[189]Opsi 2_Sulphur&lt;1.5'!#REF!</definedName>
    <definedName name="qR2_SU_06">'[189]Opsi 2_Sulphur&lt;1.5'!#REF!</definedName>
    <definedName name="qR2_SU_07">'[189]Opsi 2_Sulphur&lt;1.5'!#REF!</definedName>
    <definedName name="qR2_SU_08">'[189]Opsi 2_Sulphur&lt;1.5'!#REF!</definedName>
    <definedName name="qR2_SU_09">'[189]Opsi 2_Sulphur&lt;1.5'!#REF!</definedName>
    <definedName name="qR2_SU_10">'[189]Opsi 2_Sulphur&lt;1.5'!#REF!</definedName>
    <definedName name="qR2_SU_11">'[189]Opsi 2_Sulphur&lt;1.5'!#REF!</definedName>
    <definedName name="qR2_SU_12">'[189]Opsi 2_Sulphur&lt;1.5'!#REF!</definedName>
    <definedName name="qR2_SU_13">'[189]Opsi 2_Sulphur&lt;1.5'!#REF!</definedName>
    <definedName name="qR2_SU_14">'[189]Opsi 2_Sulphur&lt;1.5'!#REF!</definedName>
    <definedName name="qR2_SU_15">'[189]Opsi 2_Sulphur&lt;1.5'!#REF!</definedName>
    <definedName name="qR2_TM_01">'[189]Opsi 2_Sulphur&lt;1.5'!#REF!</definedName>
    <definedName name="qR2_TM_02">'[189]Opsi 2_Sulphur&lt;1.5'!#REF!</definedName>
    <definedName name="qR2_TM_03">'[189]Opsi 2_Sulphur&lt;1.5'!#REF!</definedName>
    <definedName name="qR2_TM_04">'[189]Opsi 2_Sulphur&lt;1.5'!#REF!</definedName>
    <definedName name="qR2_TM_05">'[189]Opsi 2_Sulphur&lt;1.5'!#REF!</definedName>
    <definedName name="qR2_TM_06">'[189]Opsi 2_Sulphur&lt;1.5'!#REF!</definedName>
    <definedName name="qR2_TM_07">'[189]Opsi 2_Sulphur&lt;1.5'!#REF!</definedName>
    <definedName name="qR2_TM_08">'[189]Opsi 2_Sulphur&lt;1.5'!#REF!</definedName>
    <definedName name="qR2_TM_09">'[189]Opsi 2_Sulphur&lt;1.5'!#REF!</definedName>
    <definedName name="qR2_TM_10">'[189]Opsi 2_Sulphur&lt;1.5'!#REF!</definedName>
    <definedName name="qR2_TM_11">'[189]Opsi 2_Sulphur&lt;1.5'!#REF!</definedName>
    <definedName name="qR2_TM_12">'[189]Opsi 2_Sulphur&lt;1.5'!#REF!</definedName>
    <definedName name="qR2_TM_13">'[189]Opsi 2_Sulphur&lt;1.5'!#REF!</definedName>
    <definedName name="qR2_TM_14">'[189]Opsi 2_Sulphur&lt;1.5'!#REF!</definedName>
    <definedName name="qR2_TM_15">'[189]Opsi 2_Sulphur&lt;1.5'!#REF!</definedName>
    <definedName name="qR2_Wst_01">'[189]Opsi 2_Sulphur&lt;1.5'!#REF!</definedName>
    <definedName name="qR2_Wst_02">'[189]Opsi 2_Sulphur&lt;1.5'!#REF!</definedName>
    <definedName name="qR2_Wst_03">'[189]Opsi 2_Sulphur&lt;1.5'!#REF!</definedName>
    <definedName name="qR2_Wst_04">'[189]Opsi 2_Sulphur&lt;1.5'!#REF!</definedName>
    <definedName name="qR2_Wst_05">'[189]Opsi 2_Sulphur&lt;1.5'!#REF!</definedName>
    <definedName name="qR2_Wst_06">'[189]Opsi 2_Sulphur&lt;1.5'!#REF!</definedName>
    <definedName name="qR2_Wst_07">'[189]Opsi 2_Sulphur&lt;1.5'!#REF!</definedName>
    <definedName name="qR2_Wst_08">'[189]Opsi 2_Sulphur&lt;1.5'!#REF!</definedName>
    <definedName name="qR2_Wst_09">'[189]Opsi 2_Sulphur&lt;1.5'!#REF!</definedName>
    <definedName name="qR2_Wst_10">'[189]Opsi 2_Sulphur&lt;1.5'!#REF!</definedName>
    <definedName name="qR2_Wst_11">'[189]Opsi 2_Sulphur&lt;1.5'!#REF!</definedName>
    <definedName name="qR2_Wst_12">'[189]Opsi 2_Sulphur&lt;1.5'!#REF!</definedName>
    <definedName name="qR2_Wst_13">'[189]Opsi 2_Sulphur&lt;1.5'!#REF!</definedName>
    <definedName name="qR2_Wst_14">'[189]Opsi 2_Sulphur&lt;1.5'!#REF!</definedName>
    <definedName name="qR2_Wst_15">'[189]Opsi 2_Sulphur&lt;1.5'!#REF!</definedName>
    <definedName name="Qty">[115]Data!$M$4:$M$9889</definedName>
    <definedName name="Qty_23">'[114]K_FOB '!$EF$11:$EF$328</definedName>
    <definedName name="QTY_7">NA()</definedName>
    <definedName name="QUALITY">[190]QUALITY!$B$5:$CX$35</definedName>
    <definedName name="qwqw">[13]Sheet1!#REF!</definedName>
    <definedName name="radit">[1]계획서!#REF!</definedName>
    <definedName name="rain">{"Aneh",#N/A,FALSE,"Sheet1"}</definedName>
    <definedName name="Rain_01">'[191]Rain &amp; Slippery Method'!$A$1:$GH$51</definedName>
    <definedName name="RANTAU">"$#REF!.$C$5:$I$6169"</definedName>
    <definedName name="RATA">"$#REF!.$C$5:$I$6012"</definedName>
    <definedName name="RCP">{#N/A,#N/A,FALSE,"M01";#N/A,#N/A,FALSE,"M02";#N/A,#N/A,FALSE,"M03";#N/A,#N/A,FALSE,"M04";#N/A,#N/A,FALSE,"M05";#N/A,#N/A,FALSE,"M08"}</definedName>
    <definedName name="recep">{#N/A,#N/A,FALSE,"CCTV"}</definedName>
    <definedName name="red">{"Aneh",#N/A,FALSE,"Sheet1"}</definedName>
    <definedName name="REKAP">[14]ANALISA!#REF!</definedName>
    <definedName name="Remark">[39]Master!#REF!</definedName>
    <definedName name="Remarks">[39]Master!#REF!:INDEX([39]Master!#REF!,COUNTA([39]Master!#REF!)+2)</definedName>
    <definedName name="required">"$#REF!.$L$81"</definedName>
    <definedName name="Res_July09">{"gyprint",#N/A,FALSE,"Goonyella";"rvprint",#N/A,FALSE,"Riverside"}</definedName>
    <definedName name="ret">{#N/A,#N/A,FALSE,"PR-4";#N/A,#N/A,FALSE,"RR-4";#N/A,#N/A,FALSE,"CF-4";#N/A,#N/A,FALSE,"BS-4"}</definedName>
    <definedName name="retb">{#N/A,#N/A,FALSE,"CF-t";#N/A,#N/A,FALSE,"CF-2";#N/A,#N/A,FALSE,"CF-3";#N/A,#N/A,FALSE,"CF-4";#N/A,#N/A,FALSE,"CF-5";#N/A,#N/A,FALSE,"CF-6";#N/A,#N/A,FALSE,"CF-7";#N/A,#N/A,FALSE,"CF-8"}</definedName>
    <definedName name="RETRO">"$#REF!.$C$5:$I$6130"</definedName>
    <definedName name="ReworkPM">[20]KPI!#REF!</definedName>
    <definedName name="rip_d375">[33]prodty!$C$277:$F$285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ku">{#N/A,#N/A,FALSE,"A-07";#N/A,#N/A,FALSE,"A-08";#N/A,#N/A,FALSE,"A-09";#N/A,#N/A,FALSE,"A-11";#N/A,#N/A,FALSE,"A-12";#N/A,#N/A,FALSE,"ADDENDUM"}</definedName>
    <definedName name="rmks">INDEX([95]Des!$AH$4:$AH$25,MATCH([95]Des!XFA1,[95]Des!$AG$4:$AG$25,0))</definedName>
    <definedName name="rng01_8">ROW(#REF!)-1</definedName>
    <definedName name="rng01_9">ROW(#REF!)-1</definedName>
    <definedName name="rng11_8">SIGN(ROW(#REF!))</definedName>
    <definedName name="rng11_9">SIGN(ROW(#REF!))</definedName>
    <definedName name="ROSTER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RQIQO5">{#N/A,#N/A,FALSE,"Notes";#N/A,#N/A,FALSE,"JOB";#N/A,#N/A,FALSE,"CONTRACTS";"show all",#N/A,FALSE,"PAYMENTS";"show all",#N/A,FALSE,"VARIATIONS";#N/A,#N/A,FALSE,"NPV";#N/A,#N/A,FALSE,"VO";#N/A,#N/A,FALSE,"PC";"SHOW ALL",#N/A,FALSE,"COST REPORT"}</definedName>
    <definedName name="rqrq">{"notes",#N/A,FALSE,"NPV";"notes",#N/A,FALSE,"VO";"notes",#N/A,FALSE,"PC"}</definedName>
    <definedName name="rss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rt">[192]Master!$AE$3:INDEX([192]Master!$AF$1:$AF$65536,COUNTA([192]Master!$AF$1:$AF$65536)+2)</definedName>
    <definedName name="rtg">{#N/A,#N/A,TRUE,"Alba"}</definedName>
    <definedName name="rtuyu7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RUERQ">{#N/A,#N/A,FALSE,"A-07";#N/A,#N/A,FALSE,"A-08";#N/A,#N/A,FALSE,"A-09";#N/A,#N/A,FALSE,"A-11";#N/A,#N/A,FALSE,"A-12";#N/A,#N/A,FALSE,"ADDENDUM"}</definedName>
    <definedName name="RUJIT">"$#REF!.$C$5:$I$6021"</definedName>
    <definedName name="rush">{"Aneh",#N/A,FALSE,"Sheet1"}</definedName>
    <definedName name="saaf">{"Aneh",#N/A,FALSE,"Sheet1"}</definedName>
    <definedName name="sai">SUMPRODUCT(([95]Nov!A$3=[95]Nov!$E$3:$E$282)*([95]Nov!$X1=[95]Nov!$R$3:$R$282),[95]Nov!$K$3:$K$282)</definedName>
    <definedName name="SAKIT">"$#REF!.$C$5:$I$6173"</definedName>
    <definedName name="Sales_Growth">OFFSET(#REF!,0,0,1,#REF!)</definedName>
    <definedName name="SAPBEXdnldView">"AOIZVCV92YZG6T1R2WW1W0I1T"</definedName>
    <definedName name="SAPBEXsysID">"BWP"</definedName>
    <definedName name="SARAH">"$#REF!.$C$5:$I$6073"</definedName>
    <definedName name="SARAHDEWI">"$#REF!.$C$5:$I$5995"</definedName>
    <definedName name="sasad">[139]!Table10[KOMPONEN]</definedName>
    <definedName name="Satui_620">#REF!,#REF!,#REF!,#REF!,#REF!,#REF!,#REF!,#REF!,#REF!,#REF!</definedName>
    <definedName name="Scenario">OFFSET(#REF!,0,0,1,#REF!)</definedName>
    <definedName name="schedule_aug08">{"gyprint",#N/A,FALSE,"Goonyella";"rvprint",#N/A,FALSE,"Riverside"}</definedName>
    <definedName name="SCOPE">"$#REF!.$C$5:$I$6083"</definedName>
    <definedName localSheetId="0" name="score">filled/[0]!required*100</definedName>
    <definedName name="score">filled/required*100</definedName>
    <definedName name="score_3">filled_3/required_3*100</definedName>
    <definedName name="sda">[0]!MCOST2</definedName>
    <definedName name="sdbdkjcskdjbcoi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SDDER">{#N/A,#N/A,FALSE,"PACK";#N/A,#N/A,FALSE,"Prod";#N/A,#N/A,FALSE,"Royprod";#N/A,#N/A,FALSE,"Liftprod";#N/A,#N/A,FALSE,"Lifts";#N/A,#N/A,FALSE,"Equity";#N/A,#N/A,FALSE,"Transp'n";#N/A,#N/A,FALSE,"Gasprices";#N/A,#N/A,FALSE,"Variances"}</definedName>
    <definedName name="sdf">{#N/A,#N/A,FALSE,"PR-7";#N/A,#N/A,FALSE,"RR-7";#N/A,#N/A,FALSE,"CF-7";#N/A,#N/A,FALSE,"BS-7"}</definedName>
    <definedName name="sdfe">{#N/A,#N/A,FALSE,"pr-t";#N/A,#N/A,FALSE,"PR-2";#N/A,#N/A,FALSE,"PR-3";#N/A,#N/A,FALSE,"PR-4";#N/A,#N/A,FALSE,"PR-5";#N/A,#N/A,FALSE,"PR-6";#N/A,#N/A,FALSE,"PR-7";#N/A,#N/A,FALSE,"PR-8"}</definedName>
    <definedName name="sdfsdf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sdifj">{#N/A,#N/A,FALSE,"BS-1";#N/A,#N/A,FALSE,"BS-T";#N/A,#N/A,FALSE,"BS-2";#N/A,#N/A,FALSE,"BS-3";#N/A,#N/A,FALSE,"BS-4";#N/A,#N/A,FALSE,"BS-5";#N/A,#N/A,FALSE,"BS-6";#N/A,#N/A,FALSE,"BS-7";#N/A,#N/A,FALSE,"BS-8"}</definedName>
    <definedName name="sdkl">{#N/A,#N/A,FALSE,"BS-T";#N/A,#N/A,FALSE,"BS-2";#N/A,#N/A,FALSE,"BS-3";#N/A,#N/A,FALSE,"BS-4";#N/A,#N/A,FALSE,"BS-5";#N/A,#N/A,FALSE,"BS-6";#N/A,#N/A,FALSE,"BS-7";#N/A,#N/A,FALSE,"BS-8"}</definedName>
    <definedName name="SDS">{"Aneh",#N/A,FALSE,"Sheet1"}</definedName>
    <definedName name="SDSE">{"Aneh",#N/A,FALSE,"Sheet1"}</definedName>
    <definedName name="Seam_H1">#REF!,#REF!</definedName>
    <definedName name="senakin">{"gyprint",#N/A,FALSE,"Goonyella";"rvprint",#N/A,FALSE,"Riverside"}</definedName>
    <definedName name="senakin1">{"gyprint",#N/A,FALSE,"Goonyella";"rvprint",#N/A,FALSE,"Riverside"}</definedName>
    <definedName name="sencount">1</definedName>
    <definedName name="Sensy">{"Admin Costs",#N/A,FALSE,"Act.Fcst Costs"}</definedName>
    <definedName name="Sensy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localSheetId="0" name="series_llllll">IF(Show_NOPAT___FP_9,Life_FD,BlankRange_9)</definedName>
    <definedName name="series_llllll">IF(Show_NOPAT___FP_9,Life_FD,BlankRange_9)</definedName>
    <definedName localSheetId="0" name="Series_WI___Sales_8">IF([0]!ShowProductB,[0]!WkRevCoalHaulage,BLAST2)</definedName>
    <definedName name="Series_WI___Sales_8">IF([0]!ShowProductB,[0]!WkRevCoalHaulage,BLAST2)</definedName>
    <definedName localSheetId="0" name="Series_WI___Sales_9">IF([0]!ShowProductB,WkRevCoalHaulage_8,BLAST2)</definedName>
    <definedName name="Series_WI___Sales_9">IF([0]!ShowProductB,WkRevCoalHaulage_8,BLAST2)</definedName>
    <definedName name="SeriesA">IF([0]!ShowProductA,[0]!ProductA,[0]!BlankRange)</definedName>
    <definedName localSheetId="0" name="SeriesA_8">IF([0]!ShowProductC,[0]!ProductC,BLAST2)</definedName>
    <definedName name="SeriesA_8">IF([0]!ShowProductC,[0]!ProductC,BLAST2)</definedName>
    <definedName localSheetId="0" name="SeriesA_9">IF([0]!ShowProductC,[0]!ProductC,BLAST2)</definedName>
    <definedName name="SeriesA_9">IF([0]!ShowProductC,[0]!ProductC,BLAST2)</definedName>
    <definedName name="SeriesB">IF([0]!ShowProductB,[0]!ProductB,[0]!BlankRange)</definedName>
    <definedName localSheetId="0" name="SeriesB_8">IF(sippp,pssr,BLAST2)</definedName>
    <definedName name="SeriesB_8">IF(sippp,pssr,BLAST2)</definedName>
    <definedName localSheetId="0" name="SeriesB_9">IF(sippp,pssr,BLAST2)</definedName>
    <definedName name="SeriesB_9">IF(sippp,pssr,BLAST2)</definedName>
    <definedName name="SeriesC">IF([0]!ShowProductC,[0]!ProductC,[0]!BlankRange)</definedName>
    <definedName localSheetId="0" name="SeriesC_8">IF(smu24h,pssr,BLAST2)</definedName>
    <definedName name="SeriesC_8">IF(smu24h,pssr,BLAST2)</definedName>
    <definedName localSheetId="0" name="SeriesC_9">IF(smu24h,pssr_8,BLAST2)</definedName>
    <definedName name="SeriesC_9">IF(smu24h,pssr_8,BLAST2)</definedName>
    <definedName name="SEWA_HARTA">NA()</definedName>
    <definedName name="SF">[81]Master!$AS$4:INDEX([81]Master!$AS:$AS,COUNTA([81]Master!$AS:$AS)+2,)</definedName>
    <definedName name="SFADSFG">[81]Master!$F$4:INDEX([81]Master!$F:$F,COUNTA([81]Master!$F:$F)-3,)</definedName>
    <definedName name="sgsg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SHARED_FORMULA_14_67_14_67_0">2.05/28</definedName>
    <definedName name="SHARED_FORMULA_14_67_14_67_2">2.05/28</definedName>
    <definedName name="SHARED_FORMULA_18_57_18_57_0">28+18</definedName>
    <definedName name="SHARED_FORMULA_18_57_18_57_2">28+18</definedName>
    <definedName name="Sheet2">[28]COSTSALES!#REF!</definedName>
    <definedName name="SHELL">[67]!Table6[SHELL]</definedName>
    <definedName name="shi">[193]shiping!$A$1:$AN$29</definedName>
    <definedName name="Shift_1">[39]Fuel!$K:$K</definedName>
    <definedName name="Shift_For">[106]M!$AT$13:$AT$16</definedName>
    <definedName name="SHIT">{#N/A,#N/A,FALSE,"Summary";#N/A,#N/A,FALSE,"A-01";#N/A,#N/A,FALSE,"A-03";#N/A,#N/A,FALSE,"A-04";#N/A,#N/A,FALSE,"A-06"}</definedName>
    <definedName name="ShortDate">[56]_!#REF!</definedName>
    <definedName name="ShortMonth">[56]_!#REF!</definedName>
    <definedName name="SHP">[193]FORM!$A:$IV</definedName>
    <definedName name="SICK">"$#REF!.$C$5:$I$6012"</definedName>
    <definedName name="simulasi03">{"gyprint",#N/A,FALSE,"Goonyella";"rvprint",#N/A,FALSE,"Riverside"}</definedName>
    <definedName name="sip">"$#REF!.$C$1:$I$65536"</definedName>
    <definedName name="sis_16">'[55]SIS BMO'!$B$4:$L$21</definedName>
    <definedName name="sis_a_smo">'[55]SIS SMO'!$B$4:$L$21</definedName>
    <definedName name="sis_b_smo">'[55]SIS SMO'!$B$27:$L$44</definedName>
    <definedName name="SISA7">NA()</definedName>
    <definedName name="SITE">{"'장비'!$A$3:$M$12"}</definedName>
    <definedName name="SITE설치비">[194]설치일정표!#REF!</definedName>
    <definedName name="SLIP">"$#REF!.$C$5:$I$6021"</definedName>
    <definedName name="smo">[195]smo!$A$1:$AN$312</definedName>
    <definedName name="SMonth">[56]_!#REF!</definedName>
    <definedName name="snapper">{"gyprint",#N/A,FALSE,"Goonyella";"rvprint",#N/A,FALSE,"Riverside"}</definedName>
    <definedName name="SNM">{"'장비'!$A$3:$M$12"}</definedName>
    <definedName name="sodhfklsjho">[28]COSTSALES!#REF!</definedName>
    <definedName name="solar_2_3">MCOST2</definedName>
    <definedName name="solarr">[196]!Table1[Nama Driver]</definedName>
    <definedName name="solver_lin">0</definedName>
    <definedName name="solver_num">0</definedName>
    <definedName name="solver_typ">3</definedName>
    <definedName name="solver_val">0</definedName>
    <definedName name="Space">" "</definedName>
    <definedName name="SPARE_CMH">[62]RSTR!$C$169:$K$182</definedName>
    <definedName name="SPARE_CML">[62]RSTR!$C$72:$K$75</definedName>
    <definedName name="SPARE_OBH">[62]RSTR!$C$112:$K$132</definedName>
    <definedName name="SPARE_OBL">[62]RSTR!$C$31:$K$35</definedName>
    <definedName name="SPAREPART">'[98]RMSOURCE BSS'!$Z$6:$AF$27</definedName>
    <definedName name="Sqr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rimulat">{"gyprint",#N/A,FALSE,"Goonyella";"rvprint",#N/A,FALSE,"Riverside"}</definedName>
    <definedName name="sss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sssssssss">{"Valuation - Letter",#N/A,TRUE,"Valuation Summary";"Financial Statements - Letter",#N/A,TRUE,"Results";"Results - Letter",#N/A,TRUE,"Results";"Ratios - Letter",#N/A,TRUE,"Results";"P2 Summary - Letter",#N/A,TRUE,"Results"}</definedName>
    <definedName name="ST">[42]!Table20[STERING]</definedName>
    <definedName name="Staff">'[167]Nat staff Tender Rates'!$C$5:$K$52</definedName>
    <definedName name="Standby_Break">[197]Data!#REF!</definedName>
    <definedName name="Standby_fuelStation">[197]Data!#REF!</definedName>
    <definedName name="StartRecording">NA()</definedName>
    <definedName name="stats">'[35]3.1 input stats'!$A$5:$Q$30</definedName>
    <definedName name="STATUS">"$#REF!.$C$5:$I$6173"</definedName>
    <definedName name="STATUS.BD">[140]!Table14[STATUS]</definedName>
    <definedName name="STATUS_PRIBADI">[135]!Table5[STATUS
PRIBADI]</definedName>
    <definedName name="STATUSBD">[139]!Table6[STATUS B/D]</definedName>
    <definedName name="STATUSPART">[85]UOM!$D:$D</definedName>
    <definedName name="STATUSRETURN">[173]UOM!$G:$G</definedName>
    <definedName name="STD">"$#REF!.$C$37:$F$55"</definedName>
    <definedName name="STERING">[42]!Table20[STERING]</definedName>
    <definedName name="stock">[190]TONNAGE!$B$6:$X$36</definedName>
    <definedName name="STOREMAN">[85]UOM!$F:$F</definedName>
    <definedName name="STORM">"$#REF!.$C$5:$I$6068"</definedName>
    <definedName name="STREET">"$#REF!.$C$5:$I$6013"</definedName>
    <definedName name="stripcapcmpit">[62]COAL!$I$83:$I$87</definedName>
    <definedName name="stripcapcmw1">[62]COAL!$J$83:$J$87</definedName>
    <definedName name="stripcapcmw2">[62]COAL!$K$83:$K$87</definedName>
    <definedName name="stripcapcmw3">[62]COAL!$L$83:$L$87</definedName>
    <definedName name="stripcapcmw4">[62]COAL!$M$83:$M$87</definedName>
    <definedName name="stripcapcmw5">[62]COAL!$N$83:$N$87</definedName>
    <definedName name="stripcapcmw6">[62]COAL!$O$83:$O$87</definedName>
    <definedName name="stripcappit">[62]OVBD!$I$109:$I$114</definedName>
    <definedName name="stripcapw1">[62]OVBD!$J$109:$J$114</definedName>
    <definedName name="stripcapw2">[62]OVBD!$K$109:$K$114</definedName>
    <definedName name="stripcapw3">[62]OVBD!$L$109:$L$114</definedName>
    <definedName name="stripcapw4">[62]OVBD!$M$109:$M$114</definedName>
    <definedName name="stripcapw5">[62]OVBD!$N$109:$N$114</definedName>
    <definedName name="stripcapw6">[62]OVBD!$O$109:$O$114</definedName>
    <definedName name="SU">[42]!Table21[SUSPENSION]</definedName>
    <definedName name="SUB">[198]FORM!$A:$IV</definedName>
    <definedName name="Sub_Material">[106]M!$V$4:$V$15</definedName>
    <definedName name="SubMat">[41]Master!$AB$4:$AB$11</definedName>
    <definedName name="SubMaterial">[39]Master!$V$4:INDEX([39]Master!$V:$V,COUNTA([39]Master!$V:$V)+2,)</definedName>
    <definedName name="SULE">"$#REF!.$C$5:$I$6165"</definedName>
    <definedName name="Sum">[63]Master_Data!$B$48</definedName>
    <definedName name="Sum_2022">[114]Sales_status!$D$5:$D$37</definedName>
    <definedName name="Sum_Country">[114]Sales_status!$C$5:$C$37</definedName>
    <definedName name="SUMARY">[199]Range!$O$5:$S$203</definedName>
    <definedName name="summary1">'[200]Daily Report'!#REF!</definedName>
    <definedName name="Sump_Tab">'[99]Sump Tabuhan'!$A$3:$C$111</definedName>
    <definedName name="SUNDA">"$#REF!.$C$5:$I$5976"</definedName>
    <definedName name="svb">'[50]survey-bmo'!$A$1:$AN$271</definedName>
    <definedName name="svg">'[156]survey-gen'!$A$1:$AN$311</definedName>
    <definedName name="svl">'[150]survey-lmo'!$A$1:$AN$278</definedName>
    <definedName name="svs">'[195]survey-smo'!$A$1:$AN$267</definedName>
    <definedName name="sweelfactor">[62]SPEC!$D$3</definedName>
    <definedName name="SWL">"$#REF!.$C$5:$I$6116"</definedName>
    <definedName name="SWL_1">"$#REF!.$C$5:$I$6165"</definedName>
    <definedName name="swq">[0]!MCOST2</definedName>
    <definedName name="t_8">OFFSET(nmCategory_9,0,1)</definedName>
    <definedName name="t_9">OFFSET(nmL1s,0,1)</definedName>
    <definedName name="tab">"$#REF!.$D$105:$D$319"</definedName>
    <definedName name="TABEL2">[201]DT!$L$1:$L$65536</definedName>
    <definedName name="Talpac">{"gyprint",#N/A,FALSE,"Goonyella";"rvprint",#N/A,FALSE,"Riverside"}</definedName>
    <definedName name="tam">{"PT. PETROSEA - Personal View",#N/A,FALSE,"SALES97"}</definedName>
    <definedName name="Target">[38]Formula!#REF!</definedName>
    <definedName name="TaxTV">10%</definedName>
    <definedName name="TaxXL">5%</definedName>
    <definedName name="tbl_bantu1">'[202]OB Cap'!$D$12:$J$359</definedName>
    <definedName name="tbl_bantu2">'[202]OB Cap'!$D$11:$I$359</definedName>
    <definedName name="tbl_bntu">'[202]OB Cap'!$A$14:$A$358</definedName>
    <definedName name="tbl_co1">'[202]CO Cap'!$A$10:$CK$264</definedName>
    <definedName name="tbl_co2">'[202]CO Cap'!$D$13:$I$280</definedName>
    <definedName name="tbl_co4">'[202]CO Cap'!$D$12:$J$280</definedName>
    <definedName name="tbl_hlookup">'[202]wbs alat produksi'!$F$3:$R$1048576</definedName>
    <definedName name="tbl_obcap">'[202]OB Cap'!$A$22:$CK$335</definedName>
    <definedName name="tbl_vlo">'[202]wbs alat produksi'!$D$3:$R$1048576</definedName>
    <definedName name="tbl_wbs1">'[202]wbs alat produksi'!$D$3:$J$273</definedName>
    <definedName name="tcm">{"Aneh",#N/A,FALSE,"Sheet1"}</definedName>
    <definedName name="template">{"PT. PETROSEA - Personal View",#N/A,FALSE,"SALES97"}</definedName>
    <definedName name="TES">{"PT. PETROSEA - Personal View",#N/A,FALSE,"SALES97"}</definedName>
    <definedName localSheetId="0" name="test_8">IF([0]!Show_NPAUI___Sales,Life_FD,BLAST2)</definedName>
    <definedName name="test_8">IF([0]!Show_NPAUI___Sales,Life_FD,BLAST2)</definedName>
    <definedName localSheetId="0" name="test_9">IF([0]!Show_NPAUI___Sales,Life_FD_4,BLAST2)</definedName>
    <definedName name="test_9">IF([0]!Show_NPAUI___Sales,Life_FD_4,BLAST2)</definedName>
    <definedName name="testA">{#N/A,#N/A,FALSE,"PR-7";#N/A,#N/A,FALSE,"RR-7";#N/A,#N/A,FALSE,"CF-7";#N/A,#N/A,FALSE,"BS-7"}</definedName>
    <definedName name="testB">{#N/A,#N/A,FALSE,"PR-5";#N/A,#N/A,FALSE,"RR-5";#N/A,#N/A,FALSE,"CF-5";#N/A,#N/A,FALSE,"BS-5"}</definedName>
    <definedName name="testC">{#N/A,#N/A,FALSE,"pr-t";#N/A,#N/A,FALSE,"PR-2";#N/A,#N/A,FALSE,"PR-3";#N/A,#N/A,FALSE,"PR-4";#N/A,#N/A,FALSE,"PR-5";#N/A,#N/A,FALSE,"PR-6";#N/A,#N/A,FALSE,"PR-7";#N/A,#N/A,FALSE,"PR-8"}</definedName>
    <definedName name="testE">{#N/A,#N/A,FALSE,"RR-T";#N/A,#N/A,FALSE,"RR-2";#N/A,#N/A,FALSE,"RR-3";#N/A,#N/A,FALSE,"RR-4";#N/A,#N/A,FALSE,"RR-5";#N/A,#N/A,FALSE,"RR-6";#N/A,#N/A,FALSE,"RR-7";#N/A,#N/A,FALSE,"RR-8"}</definedName>
    <definedName name="TESTF">{#N/A,#N/A,FALSE,"PR-3";#N/A,#N/A,FALSE,"CF-3";#N/A,#N/A,FALSE,"BS-3";#N/A,#N/A,FALSE,"RR-3"}</definedName>
    <definedName name="TESTUS">{#N/A,#N/A,FALSE,"PR-2";#N/A,#N/A,FALSE,"RR-2";#N/A,#N/A,FALSE,"CF-2";#N/A,#N/A,FALSE,"BS-2"}</definedName>
    <definedName name="TextRefCopyRangeCount">2</definedName>
    <definedName name="TGL">[203]input!$N$5:$N$35</definedName>
    <definedName name="TH">[49]input!$L$5:$L$17</definedName>
    <definedName name="THREAD">"$#REF!.$C$5:$I$6068"</definedName>
    <definedName name="TI">[42]!Table22[TIRE]</definedName>
    <definedName name="Tidak_Baik">"Picture 25"</definedName>
    <definedName name="Time_Category">[94]Master!$P$4:$P$49</definedName>
    <definedName name="time_cek">[106]Status!$O:$O</definedName>
    <definedName name="tipe">'[204]Tabel FPI'!#REF!</definedName>
    <definedName name="Tipe_Shift">[106]M!$AT$3:$AT$6</definedName>
    <definedName name="TIRE">'[98]RMSOURCE BSS'!$AX$6:$BD$27</definedName>
    <definedName name="TO_DAY">[65]REPORT01!$M$75</definedName>
    <definedName name="TODAY">TODAY()</definedName>
    <definedName name="Total_Coal">'[205]Coal per seam'!$AF$4</definedName>
    <definedName name="Total_OB">'[205]OB per seam'!$AF$3</definedName>
    <definedName name="TOTLITER">[206]OUTCM!$M$6:$M$1048576</definedName>
    <definedName name="TPC">[124]Overall!#REF!</definedName>
    <definedName name="Trans_Total">[207]Contract!$E$176</definedName>
    <definedName name="transmisi">'[33]GEN Assumpt'!$H$50</definedName>
    <definedName name="Transport_Accom_Index">[208]General_Assumption!$D$43:$J$89</definedName>
    <definedName name="TRE">[209]FORM!$A:$IV</definedName>
    <definedName name="TRIAD">"$#REF!.$C$5:$I$6165"</definedName>
    <definedName name="TRIBOTAK">"$#REF!.$C$5:$I$5990"</definedName>
    <definedName name="TRNSMISI">[42]!Table23[[TRANSMISION ]]</definedName>
    <definedName name="Truck_Factor">[106]M!$Y$4:$Y$13</definedName>
    <definedName name="truck_ob1">[33]prodty!$C$66</definedName>
    <definedName name="truck_ob2">[33]prodty!$C$100</definedName>
    <definedName name="truck_ob3">[33]prodty!$C$133</definedName>
    <definedName name="truck_soil">[33]prodty!$C$32</definedName>
    <definedName name="TruckFactor">[41]Master!$AE$4:INDEX([41]Master!$AF:$AF,COUNTA([41]Master!$AF:$AF)+2)</definedName>
    <definedName name="truejhetjh">{#N/A,#N/A,TRUE,"Alba"}</definedName>
    <definedName name="trust">{"Aneh",#N/A,FALSE,"Sheet1"}</definedName>
    <definedName name="tryueruje">{#N/A,#N/A,FALSE,"BS-1";#N/A,#N/A,FALSE,"BS-T";#N/A,#N/A,FALSE,"BS-2";#N/A,#N/A,FALSE,"BS-3";#N/A,#N/A,FALSE,"BS-4";#N/A,#N/A,FALSE,"BS-5";#N/A,#N/A,FALSE,"BS-6";#N/A,#N/A,FALSE,"BS-7";#N/A,#N/A,FALSE,"BS-8"}</definedName>
    <definedName name="tryuyu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TSPB">[50]FORM!$A:$IV</definedName>
    <definedName name="TSPH">[156]FORM!$A:$IV</definedName>
    <definedName name="TSPL">[150]FORM!$A:$IV</definedName>
    <definedName name="TSPS">[195]FORM!$A:$IV</definedName>
    <definedName name="ttrr">{#N/A,#N/A,FALSE,"Summary";#N/A,#N/A,FALSE,"A-01";#N/A,#N/A,FALSE,"A-03";#N/A,#N/A,FALSE,"A-04";#N/A,#N/A,FALSE,"A-06"}</definedName>
    <definedName name="tuyer">{#N/A,#N/A,FALSE,"Prod";#N/A,#N/A,FALSE,"Royprod";#N/A,#N/A,FALSE,"Liftprod";#N/A,#N/A,FALSE,"Lifts";#N/A,#N/A,FALSE,"Equity"}</definedName>
    <definedName name="Type">[210]Loading!#REF!</definedName>
    <definedName name="tYPE_HAULER">[84]Master!$P$61:$P$65</definedName>
    <definedName name="TypeBD">[39]Master!#REF!</definedName>
    <definedName name="TypeDT">[211]Bantuan!$E$2:$F$124</definedName>
    <definedName name="tyst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U">"$#REF!.$B$2:$P$92"</definedName>
    <definedName name="UA">{"Aneh",#N/A,FALSE,"Sheet1"}</definedName>
    <definedName name="UA_Actual">[27]Data!$B$112:$AG$121</definedName>
    <definedName name="UA_Plan">[27]Data!$B$99:$AG$108</definedName>
    <definedName name="uiu8i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ujy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ULAP">[31]Upah!$H$12:$J$16</definedName>
    <definedName name="Uli">SUM(#REF!)</definedName>
    <definedName name="Unit_Code">[106]M!$E$4:$E$213</definedName>
    <definedName name="Unit_Equipment">[94]Master!$K$4:$K$76</definedName>
    <definedName name="unit_haurly">[106]Hourly!$C$9:$C$29</definedName>
    <definedName name="UnitCode">[39]Master!$J$4:INDEX([39]Master!$J:$J,COUNTA([39]Master!$J:$J)+2,)</definedName>
    <definedName name="UnitCostexclDevilsIsland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UOM">[85]UOM!$C:$C</definedName>
    <definedName name="UPAH">[31]Upah!$A$2:$C$65</definedName>
    <definedName name="UPDATE_HSE_INSP">[86]Master_Data!$D$15:$D$94</definedName>
    <definedName name="usd">[212]BoQ!$O$529</definedName>
    <definedName name="usd_2003">[213]Asumsi!$D$2</definedName>
    <definedName name="usd_2004">[213]Asumsi!$E$2</definedName>
    <definedName name="usd_2005">[214]Asumsi!$F$2</definedName>
    <definedName name="usd_rate">[215]ASSUMPT!$G$15</definedName>
    <definedName name="uteryuer">{#N/A,#N/A,FALSE,"PR-7";#N/A,#N/A,FALSE,"RR-7";#N/A,#N/A,FALSE,"CF-7";#N/A,#N/A,FALSE,"BS-7"}</definedName>
    <definedName name="utjytr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uu">{"Valuation",#N/A,TRUE,"Valuation Summary";"Financial Statements",#N/A,TRUE,"Results";"Results",#N/A,TRUE,"Results";"Ratios",#N/A,TRUE,"Results";"P2 Summary",#N/A,TRUE,"Results"}</definedName>
    <definedName name="uuu">{"Aneh",#N/A,FALSE,"Sheet1"}</definedName>
    <definedName name="V">[14]ANALISA!#REF!</definedName>
    <definedName name="valbreak">AVERAGE(nmValue_8)</definedName>
    <definedName name="valbreak_4">AVERAGE(nmValue_8)</definedName>
    <definedName name="valbreak_5">AVERAGE(nmValue_8)</definedName>
    <definedName name="valbreak_6">AVERAGE(nmValue_8)</definedName>
    <definedName name="valbreak_8">AVERAGE(nmValue_9)</definedName>
    <definedName localSheetId="0" name="valbreak_9">AVERAGE('Summary v1'!NPAT_FP)</definedName>
    <definedName name="valbreak_9">AVERAGE(NPAT_FP)</definedName>
    <definedName name="valMean">AVERAGE(nmValue)</definedName>
    <definedName name="valMean_4">AVERAGE(nmValue_8)</definedName>
    <definedName name="valMean_5">AVERAGE(nmValue_8)</definedName>
    <definedName name="valMean_6">AVERAGE(nmValue_8)</definedName>
    <definedName name="valMean_8">AVERAGE(nmValue_9)</definedName>
    <definedName localSheetId="0" name="valMean_9">AVERAGE('Summary v1'!NPAT_FP)</definedName>
    <definedName name="valMean_9">AVERAGE(NPAT_FP)</definedName>
    <definedName name="valStD">STDEV(nmValue)</definedName>
    <definedName name="valStD_4">STDEV(nmValue_8)</definedName>
    <definedName name="valStD_5">STDEV(nmValue_8)</definedName>
    <definedName name="valStD_6">STDEV(nmValue_8)</definedName>
    <definedName name="valStD_8">STDEV(nmValue_9)</definedName>
    <definedName localSheetId="0" name="valStD_9">STDEV('Summary v1'!NPAT_FP)</definedName>
    <definedName name="valStD_9">STDEV(NPAT_FP)</definedName>
    <definedName name="valste">STDEV(nmValue_8)</definedName>
    <definedName name="valste_4">STDEV(nmValue_8)</definedName>
    <definedName name="valste_5">STDEV(nmValue_8)</definedName>
    <definedName name="valste_6">STDEV(nmValue_8)</definedName>
    <definedName name="valste_8">STDEV(nmValue_9)</definedName>
    <definedName localSheetId="0" name="valste_9">STDEV('Summary v1'!NPAT_FP)</definedName>
    <definedName name="valste_9">STDEV(NPAT_FP)</definedName>
    <definedName name="valuevx">42.314159</definedName>
    <definedName name="versi2">{"Valuation",#N/A,TRUE,"Valuation Summary";"Financial Statements",#N/A,TRUE,"Results";"Results",#N/A,TRUE,"Results";"Ratios",#N/A,TRUE,"Results";"P2 Summary",#N/A,TRUE,"Results"}</definedName>
    <definedName name="Vesseltype">[216]Data!$AG$4:$AG$9893</definedName>
    <definedName name="void1">'[99]Bottom Sump cbm'!$A$3:$C$235</definedName>
    <definedName name="vvv">{"DCF","UPSIDE CASE",FALSE,"Sheet1";"DCF","BASE CASE",FALSE,"Sheet1";"DCF","DOWNSIDE CASE",FALSE,"Sheet1"}</definedName>
    <definedName name="vvvvv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>'[217]Test Depre'!#REF!</definedName>
    <definedName name="w_1">[62]UQTY!$F$5:$F$50</definedName>
    <definedName name="w_2">[62]UQTY!$G$5:$G$50</definedName>
    <definedName name="w_3">[62]UQTY!$H$5:$H$50</definedName>
    <definedName name="w_4">[62]UQTY!$I$5:$I$50</definedName>
    <definedName name="w_5">[62]UQTY!$J$5:$J$50</definedName>
    <definedName name="w_6">[62]UQTY!$K$5:$K$50</definedName>
    <definedName name="wage">[218]인건비!$G$3</definedName>
    <definedName name="wahyu">[0]!MCOST2</definedName>
    <definedName name="wdnwhdjwn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eek">#REF!:INDEX(#REF!,COUNTA(#REF!)+1,)</definedName>
    <definedName name="weekly_aug2008">{"gyprint",#N/A,FALSE,"Goonyella";"rvprint",#N/A,FALSE,"Riverside"}</definedName>
    <definedName name="weekly_schedule">{"gyprint",#N/A,FALSE,"Goonyella";"rvprint",#N/A,FALSE,"Riverside"}</definedName>
    <definedName name="weeklyprices">OFFSET(#REF!,0,0,COUNTA(#REF!),COUNTA(#REF!))</definedName>
    <definedName name="west">_rng11*valMean+2*valStD</definedName>
    <definedName name="wet">{"Aneh",#N/A,FALSE,"Sheet1"}</definedName>
    <definedName name="Wet_Blast">[82]Rates!$B$47:$E$59</definedName>
    <definedName name="WH_COAL">[127]Resume!$A$70:$DX$103</definedName>
    <definedName name="WH_OB">[127]Resume!$A$36:$DZ$69</definedName>
    <definedName name="Whatisit">{"PT. PETROSEA - Personal View",#N/A,FALSE,"SALES97"}</definedName>
    <definedName name="WHBC">[58]wh!$B$4:$AJ$102</definedName>
    <definedName name="WHRS">[62]RSTR!$B$205:$J$208</definedName>
    <definedName name="WI___Sales">OFFSET(#REF!,0,0,1,#REF!)</definedName>
    <definedName name="WIKA">"$#REF!.$C$5:$I$6070"</definedName>
    <definedName name="WINDOW">"$#REF!.$D$5:$J$5949"</definedName>
    <definedName name="WINDOW_1">"$#REF!.$C$5:$I$6068"</definedName>
    <definedName name="wira">'[219]Test Depre'!#REF!</definedName>
    <definedName name="wira2">[220]!MCOST2</definedName>
    <definedName name="wkj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n.1">{"AHLGANDG",#N/A,FALSE,"GANDG";"OSGANDG",#N/A,FALSE,"GANDG"}</definedName>
    <definedName name="wrb">{#N/A,#N/A,FALSE,"Summary";#N/A,#N/A,FALSE,"A-01";#N/A,#N/A,FALSE,"A-03";#N/A,#N/A,FALSE,"A-04";#N/A,#N/A,FALSE,"A-06"}</definedName>
    <definedName name="WRITE">{#N/A,#N/A,FALSE,"CCTV"}</definedName>
    <definedName name="wrn.1.">{"Aneh",#N/A,FALSE,"Sheet1"}</definedName>
    <definedName name="wrn.12._.Costs._.Act._.Fcast._.All.">{#N/A,#N/A,FALSE,"Act.Fcst Costs"}</definedName>
    <definedName name="wrn.1996._.SPT._.BADAN.">{#N/A,#N/A,FALSE,"FLOWCHART (96)";#N/A,#N/A,FALSE,"USD TRAIL (96)";#N/A,#N/A,FALSE,"RECLASS # 1 (96)";#N/A,#N/A,FALSE,"RECLASS # 2 (96)";#N/A,#N/A,FALSE,"RECLASS #1 EXPLANATIONS (96)";#N/A,#N/A,FALSE,"RECLASS # 2 EXPLANATIONS (96)";#N/A,#N/A,FALSE,"ALLOCATED COSTS &amp; INCOME 1996";#N/A,#N/A,FALSE,"Indirect Costs"}</definedName>
    <definedName name="wrn.AAA.">{#N/A,#N/A,FALSE,"REK";#N/A,#N/A,FALSE,"Bq-ARS"}</definedName>
    <definedName name="wrn.Accrual._.Schedule.">{"Accrual Schedule",#N/A,FALSE,"FEB"}</definedName>
    <definedName name="wrn.Acquisition_matrix.">{"Acq_matrix",#N/A,FALSE,"Acquisition Matrix"}</definedName>
    <definedName name="wrn.adj95.">{"adj95mult",#N/A,FALSE,"COMPCO";"adj95est",#N/A,FALSE,"COMPCO"}</definedName>
    <definedName name="wrn.Aging._.and._.Trend._.Analysis.">{#N/A,#N/A,FALSE,"Aging Summary";#N/A,#N/A,FALSE,"Ratio Analysis";#N/A,#N/A,FALSE,"Test 120 Day Accts";#N/A,#N/A,FALSE,"Tickmarks"}</definedName>
    <definedName name="wrn.Alba.">{#N/A,#N/A,TRUE,"Alba"}</definedName>
    <definedName name="wrn.ALL.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wrn.All._.Pages.">{#N/A,#N/A,FALSE,"PACK";#N/A,#N/A,FALSE,"Prod";#N/A,#N/A,FALSE,"Royprod";#N/A,#N/A,FALSE,"Liftprod";#N/A,#N/A,FALSE,"Lifts";#N/A,#N/A,FALSE,"Equity";#N/A,#N/A,FALSE,"Transp'n";#N/A,#N/A,FALSE,"Gasprices";#N/A,#N/A,FALSE,"Variances"}</definedName>
    <definedName name="wrn.AQUIROR._.DCF.">{"AQUIRORDCF",#N/A,FALSE,"Merger consequences";"Acquirorassns",#N/A,FALSE,"Merger consequences"}</definedName>
    <definedName name="wrn.BM.">{#N/A,#N/A,FALSE,"CCTV"}</definedName>
    <definedName name="wrn.BoardPack.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S.">{#N/A,#N/A,FALSE,"BS-T";#N/A,#N/A,FALSE,"BS-2";#N/A,#N/A,FALSE,"BS-3";#N/A,#N/A,FALSE,"BS-4";#N/A,#N/A,FALSE,"BS-5";#N/A,#N/A,FALSE,"BS-6";#N/A,#N/A,FALSE,"BS-7";#N/A,#N/A,FALSE,"BS-8"}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CANADA.">{#N/A,#N/A,FALSE,"PR-4";#N/A,#N/A,FALSE,"RR-4";#N/A,#N/A,FALSE,"CF-4";#N/A,#N/A,FALSE,"BS-4"}</definedName>
    <definedName name="wrn.CapersPlotter.">{#N/A,#N/A,FALSE,"DI 2 YEAR MASTER SCHEDULE"}</definedName>
    <definedName name="wrn.CBA.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ellular.">{#N/A,#N/A,TRUE,"TITLE";#N/A,#N/A,TRUE,"MKT Cellular Subs";#N/A,#N/A,TRUE,"Cellular sub ";#N/A,#N/A,TRUE,"P&amp;L - Cell";#N/A,#N/A,TRUE,"Rev &amp; Usage assump - Cell";#N/A,#N/A,TRUE,"Cost -  Cellular";"cellular",#N/A,TRUE,"Capex "}</definedName>
    <definedName name="wrn.CEO._.Sheet.">{#N/A,#N/A,FALSE,"CEO-SHEET"}</definedName>
    <definedName name="wrn.CF.">{#N/A,#N/A,FALSE,"CF-t";#N/A,#N/A,FALSE,"CF-2";#N/A,#N/A,FALSE,"CF-3";#N/A,#N/A,FALSE,"CF-4";#N/A,#N/A,FALSE,"CF-5";#N/A,#N/A,FALSE,"CF-6";#N/A,#N/A,FALSE,"CF-7";#N/A,#N/A,FALSE,"CF-8"}</definedName>
    <definedName name="wrn.CF._.WITH._.MODEL.">{"CF STATEMENT",#N/A,FALSE,"CF STATEMENT";#N/A,#N/A,FALSE,"MODEL"}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SA._.FS._.국문.">{#N/A,#N/A,FALSE,"BS";#N/A,#N/A,FALSE,"PL";#N/A,#N/A,FALSE,"처분";#N/A,#N/A,FALSE,"현금";#N/A,#N/A,FALSE,"매출";#N/A,#N/A,FALSE,"원가";#N/A,#N/A,FALSE,"경영"}</definedName>
    <definedName name="wrn.data.">{#N/A,#N/A,FALSE,"DATA"}</definedName>
    <definedName name="wrn.DCF_Terminal_Value_qchm.">{"qchm_dcf",#N/A,FALSE,"QCHMDCF2";"qchm_terminal",#N/A,FALSE,"QCHMDCF2"}</definedName>
    <definedName name="wrn.Debbie._.Hawkins.">{"Admin Costs",#N/A,FALSE,"Act.Fcst Costs"}</definedName>
    <definedName name="wrn.Economic._.Value._.Added._.Analysis.">{"EVA",#N/A,FALSE,"EVA";"WACC",#N/A,FALSE,"WACC"}</definedName>
    <definedName name="wrn.Edutainment._.Priority._.List.">{#N/A,#N/A,FALSE,"DI 2 YEAR MASTER SCHEDULE"}</definedName>
    <definedName name="wrn.EO.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Full._.Model._.Print.">{#N/A,#N/A,FALSE,"Reporting";#N/A,#N/A,FALSE,"Assumptions";#N/A,#N/A,FALSE,"Production";#N/A,#N/A,FALSE,"Revenue";#N/A,#N/A,FALSE,"Hedging";#N/A,#N/A,FALSE,"Opex";#N/A,#N/A,FALSE,"Capex";#N/A,#N/A,FALSE,"Inventory";#N/A,#N/A,FALSE,"DSE";#N/A,#N/A,FALSE,"Balsheet";#N/A,#N/A,FALSE,"Tax";#N/A,#N/A,FALSE,"Hyperion"}</definedName>
    <definedName name="wrn.GEN.._.INFO..">{#N/A,#N/A,FALSE,"OWNERSHIP"}</definedName>
    <definedName name="wrn.George._.Viska.">{#N/A,#N/A,FALSE,"Cost Report";#N/A,#N/A,FALSE,"Qtly Summ.";#N/A,#N/A,FALSE,"Mar  Qtr";#N/A,#N/A,FALSE,"Report Summary"}</definedName>
    <definedName name="wrn.Global._.CompCo.">{"Outputs",#N/A,TRUE,"North America";"Outputs",#N/A,TRUE,"Europe";"Outputs",#N/A,TRUE,"Asia Pacific";"Outputs",#N/A,TRUE,"Latin America";"Outputs",#N/A,TRUE,"Wireless"}</definedName>
    <definedName name="wrn.GRAPH.">{#N/A,#N/A,FALSE,"ADDS";#N/A,#N/A,FALSE,"NIRPT";#N/A,#N/A,FALSE,"YREND";#N/A,#N/A,FALSE,"PROD";#N/A,#N/A,FALSE,"pr-t";#N/A,#N/A,FALSE,"RR-T";#N/A,#N/A,FALSE,"CF-t"}</definedName>
    <definedName name="wrn.GRKL.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uides.">{"gyprint",#N/A,FALSE,"Goonyella";"rvprint",#N/A,FALSE,"Riverside"}</definedName>
    <definedName name="wrn.Information._.Schedule.">{"Information Schedule",#N/A,FALSE,"FEB"}</definedName>
    <definedName name="wrn.Input.">{#N/A,#N/A,FALSE,"Input"}</definedName>
    <definedName name="wrn.Inputs.">{"Inputs",#N/A,TRUE,"North America";"Inputs",#N/A,TRUE,"Europe";"Inputs",#N/A,TRUE,"Asia Pacific";"Inputs",#N/A,TRUE,"Latin America";"Inputs",#N/A,TRUE,"Wireless"}</definedName>
    <definedName name="wrn.INTER.">{#N/A,#N/A,FALSE,"PR-7";#N/A,#N/A,FALSE,"RR-7";#N/A,#N/A,FALSE,"CF-7";#N/A,#N/A,FALSE,"BS-7"}</definedName>
    <definedName name="wrn.Irr.">{#N/A,#N/A,FALSE,"IRR Calculations";#N/A,#N/A,FALSE,"EBIT - DLE review";#N/A,#N/A,FALSE,"Loan &amp; Interest"}</definedName>
    <definedName name="wrn.Japan_Capers_Ed._.Pub.">{"Japan_Capers_Ed_Pub",#N/A,FALSE,"DI 2 YEAR MASTER SCHEDULE"}</definedName>
    <definedName name="wrn.JDReport.">{#N/A,#N/A,FALSE,"SUMMARY";#N/A,#N/A,FALSE,"Bal Sheet";#N/A,#N/A,FALSE,"P&amp;LConsolidated SUMMARY";#N/A,#N/A,FALSE,"P&amp;L MTH";#N/A,#N/A,FALSE,"P&amp;L YTD";#N/A,#N/A,FALSE,"CASHMOVE - MONTH";#N/A,#N/A,FALSE,"CASHMOV";#N/A,#N/A,FALSE,"WA";#N/A,#N/A,FALSE,"SMM";#N/A,#N/A,FALSE,"NSW";#N/A,#N/A,FALSE,"INDONESIA";#N/A,#N/A,FALSE,"TREASURY";#N/A,#N/A,FALSE,"GS EXPL";#N/A,#N/A,FALSE,"GS OPS";#N/A,#N/A,FALSE,"CORPORATE";#N/A,#N/A,FALSE,"NMS"}</definedName>
    <definedName name="wrn.Kakap.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Lead._.Schedule.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okup._.Area.">{#N/A,#N/A,FALSE,"Lookup Area"}</definedName>
    <definedName name="wrn.M.">{#N/A,#N/A,FALSE,"M01";#N/A,#N/A,FALSE,"M02";#N/A,#N/A,FALSE,"M03";#N/A,#N/A,FALSE,"M04";#N/A,#N/A,FALSE,"M05";#N/A,#N/A,FALSE,"M08"}</definedName>
    <definedName name="wrn.Management._.Accounts.">{#N/A,#N/A,FALSE,"Summary";#N/A,#N/A,FALSE,"P&amp;L";#N/A,#N/A,FALSE,"BalSht";#N/A,#N/A,FALSE,"Cash Forc";#N/A,#N/A,FALSE,"Capex";#N/A,#N/A,FALSE,"Rec's &amp; Paybls";#N/A,#N/A,FALSE,"Claims";#N/A,#N/A,FALSE,"Rec's"}</definedName>
    <definedName name="wrn.Management._.Report.">{#N/A,#N/A,FALSE,"Sales and Profit";#N/A,#N/A,FALSE,"Project summary";#N/A,#N/A,FALSE,"Project detail";#N/A,#N/A,FALSE,"Order Intake"}</definedName>
    <definedName name="wrn.Management1">{#N/A,#N/A,FALSE,"SUMMARY";#N/A,#N/A,FALSE,"BAL SHEET";#N/A,#N/A,FALSE,"P&amp;L MTH";#N/A,#N/A,FALSE,"P&amp;L YTD";#N/A,#N/A,FALSE,"P&amp;L SUMMARY";#N/A,#N/A,FALSE,"CASHFLOW - MONTH";#N/A,#N/A,FALSE,"CASHFLOW";#N/A,#N/A,FALSE,"WA";#N/A,#N/A,FALSE,"NSW";#N/A,#N/A,FALSE,"INDONESIA";#N/A,#N/A,FALSE,"NMS";#N/A,#N/A,FALSE,"TREASURY";#N/A,#N/A,FALSE,"GS OPS";#N/A,#N/A,FALSE,"GS EXPL";#N/A,#N/A,FALSE,"CORPORATE"}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ini._.Printout.">{#N/A,#N/A,FALSE,"COVER";#N/A,#N/A,FALSE,"SUMMARY";#N/A,#N/A,FALSE,"OUTPUTS";#N/A,#N/A,FALSE,"PRODUCTION"}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PPrint.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Murray._.Simons.">{#N/A,#N/A,FALSE,"Cost Report";#N/A,#N/A,FALSE,"Table 2.1";#N/A,#N/A,FALSE,"Plant Statistics";"Plant Costs",#N/A,FALSE,"Cost Summary"}</definedName>
    <definedName name="wrn.NORWAY.">{#N/A,#N/A,FALSE,"PR-5";#N/A,#N/A,FALSE,"RR-5";#N/A,#N/A,FALSE,"CF-5";#N/A,#N/A,FALSE,"BS-5"}</definedName>
    <definedName name="wrn.OPEX._.AND._.CAPEX.">{#N/A,#N/A,FALSE,"OE &amp; CAP INV";#N/A,#N/A,FALSE,"DEPREC"}</definedName>
    <definedName name="wrn.OPS.._.INFO..">{#N/A,#N/A,FALSE,"WELL COUNTS";#N/A,#N/A,FALSE,"OWNERSHIP"}</definedName>
    <definedName name="wrn.OUTPUT.">{"DCF","UPSIDE CASE",FALSE,"Sheet1";"DCF","BASE CASE",FALSE,"Sheet1";"DCF","DOWNSIDE CASE",FALSE,"Sheet1"}</definedName>
    <definedName name="wrn.paging.">{"paging",#N/A,TRUE,"TITLE";#N/A,#N/A,TRUE,"Paging subs";#N/A,#N/A,TRUE,"P&amp;L - Paging";#N/A,#N/A,TRUE,"Rev &amp; Usage Assump - Paging";#N/A,#N/A,TRUE,"Cost - Paging";"paging",#N/A,TRUE,"Capex 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>{"Graphic",#N/A,TRUE,"Graphic"}</definedName>
    <definedName name="wrn.PLBS.">{#N/A,#N/A,FALSE,"CL_P&amp;L";#N/A,#N/A,FALSE,"CL_BalSht";#N/A,#N/A,FALSE,"CL_Key Ind";#N/A,#N/A,FALSE,"CEL_P&amp;L";#N/A,#N/A,FALSE,"CEL_BalSht";#N/A,#N/A,FALSE,"CEL_Key Ind"}</definedName>
    <definedName name="wrn.PR.">{#N/A,#N/A,FALSE,"pr-t";#N/A,#N/A,FALSE,"PR-2";#N/A,#N/A,FALSE,"PR-3";#N/A,#N/A,FALSE,"PR-4";#N/A,#N/A,FALSE,"PR-5";#N/A,#N/A,FALSE,"PR-6";#N/A,#N/A,FALSE,"PR-7";#N/A,#N/A,FALSE,"PR-8"}</definedName>
    <definedName name="wrn.PRICES.">{#N/A,#N/A,FALSE,"PRICES"}</definedName>
    <definedName name="wrn.Print._.all.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contents.">{#N/A,#N/A,FALSE,"Notes";#N/A,#N/A,FALSE,"JOB";#N/A,#N/A,FALSE,"CONTRACTS";"show all",#N/A,FALSE,"PAYMENTS";"show all",#N/A,FALSE,"VARIATIONS";#N/A,#N/A,FALSE,"NPV";#N/A,#N/A,FALSE,"VO";#N/A,#N/A,FALSE,"PC";"SHOW ALL",#N/A,FALSE,"COST REPORT"}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reports.">{"report",#N/A,FALSE,"PAYMENTS";"report",#N/A,FALSE,"VARIATIONS";"COSTS",#N/A,FALSE,"COST REPORT";"FLOW",#N/A,FALSE,"COST REPORT"}</definedName>
    <definedName name="wrn.Print._.NPV._.VO._.PC._.notes.">{"notes",#N/A,FALSE,"NPV";"notes",#N/A,FALSE,"VO";"notes",#N/A,FALSE,"PC"}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Stat.">{#N/A,#N/A,FALSE,"Cover";#N/A,#N/A,FALSE,"Pg2";#N/A,#N/A,FALSE,"Sch1";#N/A,#N/A,FALSE,"Sch2";#N/A,#N/A,FALSE,"Sch3";#N/A,#N/A,FALSE,"Sch4";#N/A,#N/A,FALSE,"Sch5";#N/A,#N/A,FALSE,"AppA";#N/A,#N/A,FALSE,"AppB";#N/A,#N/A,FALSE,"AppC";#N/A,#N/A,FALSE,"AppC(2)";#N/A,#N/A,FALSE,"AppD";#N/A,#N/A,FALSE,"AppE";#N/A,#N/A,FALSE,"AppF"}</definedName>
    <definedName name="wrn.Priority._.list.">{#N/A,#N/A,FALSE,"DI 2 YEAR MASTER SCHEDULE"}</definedName>
    <definedName name="wrn.Prjcted._.Mnthly._.Qtys.">{#N/A,#N/A,FALSE,"PRJCTED MNTHLY QTY's"}</definedName>
    <definedName name="wrn.Prjcted._.Qtrly._.Dollars.">{#N/A,#N/A,FALSE,"PRJCTED QTRLY $'s"}</definedName>
    <definedName name="wrn.Prjcted._.Qtrly._.Qtys.">{#N/A,#N/A,FALSE,"PRJCTED QTRLY QTY's"}</definedName>
    <definedName name="wrn.Production._.and._.Lifts.">{#N/A,#N/A,FALSE,"Prod";#N/A,#N/A,FALSE,"Royprod";#N/A,#N/A,FALSE,"Liftprod";#N/A,#N/A,FALSE,"Lifts";#N/A,#N/A,FALSE,"Equity"}</definedName>
    <definedName name="wrn.Quater.">{#N/A,#N/A,FALSE,"QR";#N/A,#N/A,FALSE,"R02";#N/A,#N/A,FALSE,"R04";#N/A,#N/A,FALSE,"R05";#N/A,#N/A,FALSE,"R08"}</definedName>
    <definedName name="wrn.REP1.">{"AHLGANDG",#N/A,FALSE,"GANDG";"OSGANDG",#N/A,FALSE,"GANDG"}</definedName>
    <definedName name="wrn.Report1.">{"CapCost",#N/A,TRUE,"CAP";"Revenue",#N/A,TRUE,"Rev";"OpCost",#N/A,TRUE,"Costs";"WorkCap",#N/A,TRUE,"WorkCap";"Depreciation",#N/A,TRUE,"Dep";"Fin_Report",#N/A,TRUE,"FS"}</definedName>
    <definedName name="wrn.Rob._.Smith.">{#N/A,#N/A,FALSE,"Cost Report";"Geology",#N/A,FALSE,"Cost Summary";"Geolgy Recon",#N/A,FALSE,"UG Geology Rep."}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R.">{#N/A,#N/A,FALSE,"RR-T";#N/A,#N/A,FALSE,"RR-2";#N/A,#N/A,FALSE,"RR-3";#N/A,#N/A,FALSE,"RR-4";#N/A,#N/A,FALSE,"RR-5";#N/A,#N/A,FALSE,"RR-6";#N/A,#N/A,FALSE,"RR-7";#N/A,#N/A,FALSE,"RR-8"}</definedName>
    <definedName name="wrn.rtpl.">{#N/A,#N/A,FALSE,"REK-S-TPL";#N/A,#N/A,FALSE,"REK-TPML";#N/A,#N/A,FALSE,"RAB-TEMPEL"}</definedName>
    <definedName name="wrn.RTS.">{"rts",#N/A,TRUE,"TITLE";#N/A,#N/A,TRUE,"P&amp;L - RTS";#N/A,#N/A,TRUE,"RTS biz";#N/A,#N/A,TRUE,"Cost - RTS";"RTS",#N/A,TRUE,"Capex "}</definedName>
    <definedName name="wrn.ry.">{#N/A,#N/A,FALSE,"REK";#N/A,#N/A,FALSE,"rab"}</definedName>
    <definedName name="wrn.sales.">{"PT. PETROSEA - Personal View",#N/A,FALSE,"SALES97"}</definedName>
    <definedName name="wrn.Shet1.">{#N/A,#N/A,FALSE,"Summary";#N/A,#N/A,FALSE,"A-01";#N/A,#N/A,FALSE,"A-03";#N/A,#N/A,FALSE,"A-04";#N/A,#N/A,FALSE,"A-06"}</definedName>
    <definedName name="wrn.Shet2.">{#N/A,#N/A,FALSE,"A-07";#N/A,#N/A,FALSE,"A-08";#N/A,#N/A,FALSE,"A-09";#N/A,#N/A,FALSE,"A-11";#N/A,#N/A,FALSE,"A-12";#N/A,#N/A,FALSE,"ADDENDUM"}</definedName>
    <definedName name="wrn.Short_Report.">{"CapCost",#N/A,TRUE,"CAP";"FS",#N/A,TRUE,"FS"}</definedName>
    <definedName name="wrn.SImon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R._.SHEET.">{#N/A,#N/A,FALSE,"SR-SHEET"}</definedName>
    <definedName name="wrn.Summary.">{"Section 1",#N/A,TRUE,"Summary";"Section 2",#N/A,TRUE,"Summary";"Section 3",#N/A,TRUE,"Summary";"Section 4",#N/A,TRUE,"Summary"}</definedName>
    <definedName name="wrn.TARGET._.DCF.">{"targetdcf",#N/A,FALSE,"Merger consequences";"TARGETASSU",#N/A,FALSE,"Merger consequences";"TERMINAL VALUE",#N/A,FALSE,"Merger consequences"}</definedName>
    <definedName name="wrn.TAX._.RETURN._.1996.">{#N/A,#N/A,FALSE,"PERHIT. RUGI LABA";#N/A,#N/A,FALSE,"INCOME";#N/A,#N/A,FALSE,"DIRECT COSTS";#N/A,#N/A,FALSE,"INDIRECT COSTS";#N/A,#N/A,FALSE,"NON-DEDUCTIBLE EXPENSES";#N/A,#N/A,FALSE,"SALARY RECONCILIATION";#N/A,#N/A,FALSE,"Workpapers";#N/A,#N/A,FALSE,"Indirects - Other Staff costs";#N/A,#N/A,FALSE,"Income Subject to Final Tax";#N/A,#N/A,FALSE,"Sale of Fixed Assets";#N/A,#N/A,FALSE,"PROVISIONS";#N/A,#N/A,FALSE,"TAX BALANCE SHEET"}</definedName>
    <definedName name="wrn.Telstra._.Inputs.">{"Inputs",#N/A,FALSE,"US_FL";"Inputs",#N/A,FALSE,"EUROPE_FL";"Inputs",#N/A,FALSE,"ASIA_FL"}</definedName>
    <definedName name="wrn.Telstra._.Output.">{"Output",#N/A,FALSE,"US_FL";"Output",#N/A,FALSE,"EUROPE_FL";"Output",#N/A,FALSE,"ASIA_FL"}</definedName>
    <definedName name="wrn.Test.">{#N/A,#N/A,FALSE,"Sheet1"}</definedName>
    <definedName name="wrn.Total._.Printout.">{"Cash Flow",#N/A,FALSE,"Plan04";"Production Detail",#N/A,FALSE,"Plan04";"Revenue Detail",#N/A,FALSE,"Plan04";"Cost Detail",#N/A,FALSE,"Plan04";"Opex Summary",#N/A,FALSE,"Plan04";"Tax",#N/A,FALSE,"Plan04"}</definedName>
    <definedName name="wrn.TPPI.">{"Panel",#N/A,FALSE,"Panel";"Price",#N/A,FALSE,"Price"}</definedName>
    <definedName name="wrn.uk.">{#N/A,#N/A,FALSE,"PR-3";#N/A,#N/A,FALSE,"CF-3";#N/A,#N/A,FALSE,"BS-3";#N/A,#N/A,FALSE,"RR-3"}</definedName>
    <definedName name="wrn.Upstream.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US.">{#N/A,#N/A,FALSE,"PR-2";#N/A,#N/A,FALSE,"RR-2";#N/A,#N/A,FALSE,"CF-2";#N/A,#N/A,FALSE,"BS-2"}</definedName>
    <definedName name="wrn.Valuation._.LB.">{"Assumptions",#N/A,FALSE,"ASSUMPTION";"Cash Minimum",#N/A,FALSE,"ASSUMPTION"}</definedName>
    <definedName name="wrn.Variance.">{#N/A,#N/A,FALSE,"M06";#N/A,#N/A,FALSE,"M07"}</definedName>
    <definedName name="wrn.VOLUMES.">{#N/A,#N/A,FALSE,"INLET STREAMS";#N/A,#N/A,FALSE,"CO2 VOLUMES";#N/A,#N/A,FALSE,"PRODUCTION";#N/A,#N/A,FALSE,"RESIDUE GAS";#N/A,#N/A,FALSE,"FUEL GAS VOLUMES";#N/A,#N/A,FALSE,"YIELD TABLES"}</definedName>
    <definedName name="wrn.Wacc.">{"Area1",#N/A,FALSE,"OREWACC";"Area2",#N/A,FALSE,"OREWACC"}</definedName>
    <definedName name="wrn.계획.">{#N/A,#N/A,FALSE,"표 (2)";#N/A,#N/A,FALSE,"목차";#N/A,#N/A,FALSE,"매출계획";#N/A,#N/A,FALSE,"가격현황";#N/A,#N/A,FALSE,"수주계획";#N/A,#N/A,FALSE,"수금계획";#N/A,#N/A,FALSE,"주요업무"}</definedName>
    <definedName name="wrn.광학적._.특성.">{#N/A,#N/A,FALSE,"관로 72c"}</definedName>
    <definedName name="wrn.설계내역서.">{#N/A,#N/A,FALSE,"설계내억서"}</definedName>
    <definedName name="wrn1.shet2">{#N/A,#N/A,FALSE,"A-07";#N/A,#N/A,FALSE,"A-08";#N/A,#N/A,FALSE,"A-09";#N/A,#N/A,FALSE,"A-11";#N/A,#N/A,FALSE,"A-12";#N/A,#N/A,FALSE,"ADDENDUM"}</definedName>
    <definedName name="WTF_OB">[164]RESUME!#REF!</definedName>
    <definedName name="WUWU">{"notes",#N/A,FALSE,"NPV";"notes",#N/A,FALSE,"VO";"notes",#N/A,FALSE,"PC"}</definedName>
    <definedName name="wvu.CapersView.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WW">{"Aneh",#N/A,FALSE,"Sheet1"}</definedName>
    <definedName name="wwwww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yy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x">{#N/A,#N/A,FALSE,"BS-T";#N/A,#N/A,FALSE,"BS-2";#N/A,#N/A,FALSE,"BS-3";#N/A,#N/A,FALSE,"BS-4";#N/A,#N/A,FALSE,"BS-5";#N/A,#N/A,FALSE,"BS-6";#N/A,#N/A,FALSE,"BS-7";#N/A,#N/A,FALSE,"BS-8"}</definedName>
    <definedName name="xcxx">[192]Master!$N$3:$N$8</definedName>
    <definedName name="xczc">[221]!Table6[DATA UNIT]</definedName>
    <definedName name="XFGFHDHDH">[222]!Table6[DATA UNIT]</definedName>
    <definedName name="XREF_COLUMN_8">[223]DD!#REF!</definedName>
    <definedName name="XRefColumnsCount">1</definedName>
    <definedName name="XRefCopyRangeCount">1</definedName>
    <definedName name="XRefPaste7">'[224].6 Turnover'!#REF!</definedName>
    <definedName name="XRefPasteRangeCount">13</definedName>
    <definedName name="xscsdzvzdbsb">SUM(#REF!)</definedName>
    <definedName name="XWPFF">{#N/A,#N/A,FALSE,"Summary";#N/A,#N/A,FALSE,"A-01";#N/A,#N/A,FALSE,"A-03";#N/A,#N/A,FALSE,"A-04";#N/A,#N/A,FALSE,"A-06"}</definedName>
    <definedName name="XX">{#N/A,#N/A,FALSE,"BS-1";#N/A,#N/A,FALSE,"BS-T";#N/A,#N/A,FALSE,"BS-2";#N/A,#N/A,FALSE,"BS-3";#N/A,#N/A,FALSE,"BS-4";#N/A,#N/A,FALSE,"BS-5";#N/A,#N/A,FALSE,"BS-6";#N/A,#N/A,FALSE,"BS-7";#N/A,#N/A,FALSE,"BS-8"}</definedName>
    <definedName name="XXX">{#N/A,#N/A,FALSE,"CCTV"}</definedName>
    <definedName name="XYZ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ye">{"Valuation",#N/A,TRUE,"Valuation Summary";"Financial Statements",#N/A,TRUE,"Results";"Results",#N/A,TRUE,"Results";"Ratios",#N/A,TRUE,"Results";"P2 Summary",#N/A,TRUE,"Results"}</definedName>
    <definedName name="Year_Next">[225]Ref!$B$4</definedName>
    <definedName name="yes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etye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yhtu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o">{"Aneh",#N/A,FALSE,"Sheet1"}</definedName>
    <definedName name="ytjut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yttr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tuy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YTYT">{#N/A,#N/A,FALSE,"QR";#N/A,#N/A,FALSE,"R02";#N/A,#N/A,FALSE,"R04";#N/A,#N/A,FALSE,"R05";#N/A,#N/A,FALSE,"R08"}</definedName>
    <definedName name="yui">{#N/A,#N/A,FALSE,"Summary";#N/A,#N/A,FALSE,"A-01";#N/A,#N/A,FALSE,"A-03";#N/A,#N/A,FALSE,"A-04";#N/A,#N/A,FALSE,"A-06"}</definedName>
    <definedName name="YUS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Z">"$#REF!.$B$2:$P$92"</definedName>
    <definedName name="Z_9A428CE1_B4D9_11D0_A8AA_0000C071AEE7_.wvu.Cols">#REF!,#REF!</definedName>
    <definedName name="Z_9A428CE1_B4D9_11D0_A8AA_0000C071AEE7_.wvu.Rows">#REF!,#REF!,#REF!,#REF!,#REF!,#REF!,#REF!,#REF!</definedName>
    <definedName name="ZERO">0</definedName>
    <definedName name="ZKZK">{#N/A,#N/A,FALSE,"A-07";#N/A,#N/A,FALSE,"A-08";#N/A,#N/A,FALSE,"A-09";#N/A,#N/A,FALSE,"A-11";#N/A,#N/A,FALSE,"A-12";#N/A,#N/A,FALSE,"ADDENDUM"}</definedName>
    <definedName name="zoo">{"Aneh",#N/A,FALSE,"Sheet1"}</definedName>
    <definedName name="zxdf">'[1]98년차.XLS'!#REF!</definedName>
    <definedName name="zxxc">OFFSET(nmCategory,0,1)</definedName>
    <definedName name="zzz">{#N/A,#N/A,FALSE,"Summary";#N/A,#N/A,FALSE,"A-01";#N/A,#N/A,FALSE,"A-03";#N/A,#N/A,FALSE,"A-04";#N/A,#N/A,FALSE,"A-06"}</definedName>
    <definedName name="ㄱㄷ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감가상각비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경남원화">'[226]9.22'!$J$19:$J$21</definedName>
    <definedName name="경남원화금리">'[226]9.22'!$K$19:$K$21</definedName>
    <definedName name="관세사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광">{#N/A,#N/A,FALSE,"관로 72c"}</definedName>
    <definedName name="금리">'[226]7.8'!$K$11:$K$54</definedName>
    <definedName name="금액">'[226]7.8'!$J$11:$J$54</definedName>
    <definedName name="기업원화">'[226]9.22'!$J$40:$J$41</definedName>
    <definedName name="기업원화금리">'[226]9.22'!$K$40:$K$41</definedName>
    <definedName name="길">[0]!MCOST2</definedName>
    <definedName name="ㄴㄹ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ㅁ">{#N/A,#N/A,FALSE,"표 (2)";#N/A,#N/A,FALSE,"목차";#N/A,#N/A,FALSE,"매출계획";#N/A,#N/A,FALSE,"가격현황";#N/A,#N/A,FALSE,"수주계획";#N/A,#N/A,FALSE,"수금계획";#N/A,#N/A,FALSE,"주요업무"}</definedName>
    <definedName name="ㄷㄷㄷ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대차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대차대조표일진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ㅇ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ㅁ">BlankMacro1</definedName>
    <definedName name="ㅁ">BlankMacro1</definedName>
    <definedName name="ㅁ2">[227]VXXXXXXXXXXXXXXXXXXXXXXXX!#REF!</definedName>
    <definedName name="ㅁㄴ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ㅇㄴ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ㅁ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{#N/A,#N/A,FALSE,"BS";#N/A,#N/A,FALSE,"PL";#N/A,#N/A,FALSE,"처분";#N/A,#N/A,FALSE,"현금";#N/A,#N/A,FALSE,"매출";#N/A,#N/A,FALSE,"원가";#N/A,#N/A,FALSE,"경영"}</definedName>
    <definedName name="메롱">{#N/A,#N/A,FALSE,"표 (2)";#N/A,#N/A,FALSE,"목차";#N/A,#N/A,FALSE,"매출계획";#N/A,#N/A,FALSE,"가격현황";#N/A,#N/A,FALSE,"수주계획";#N/A,#N/A,FALSE,"수금계획";#N/A,#N/A,FALSE,"주요업무"}</definedName>
    <definedName name="메롱1">{#N/A,#N/A,FALSE,"표 (2)";#N/A,#N/A,FALSE,"목차";#N/A,#N/A,FALSE,"매출계획";#N/A,#N/A,FALSE,"가격현황";#N/A,#N/A,FALSE,"수주계획";#N/A,#N/A,FALSE,"수금계획";#N/A,#N/A,FALSE,"주요업무"}</definedName>
    <definedName localSheetId="0" name="모재">BlankMacro1</definedName>
    <definedName name="모재">BlankMacro1</definedName>
    <definedName name="목차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>{#N/A,#N/A,FALSE,"표 (2)";#N/A,#N/A,FALSE,"목차";#N/A,#N/A,FALSE,"매출계획";#N/A,#N/A,FALSE,"가격현황";#N/A,#N/A,FALSE,"수주계획";#N/A,#N/A,FALSE,"수금계획";#N/A,#N/A,FALSE,"주요업무"}</definedName>
    <definedName name="미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민">{#N/A,#N/A,FALSE,"표 (2)";#N/A,#N/A,FALSE,"목차";#N/A,#N/A,FALSE,"매출계획";#N/A,#N/A,FALSE,"가격현황";#N/A,#N/A,FALSE,"수주계획";#N/A,#N/A,FALSE,"수금계획";#N/A,#N/A,FALSE,"주요업무"}</definedName>
    <definedName name="ㅂ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고자료">[0]!MCOST2</definedName>
    <definedName name="사삿">[228]Contract!$C$5</definedName>
    <definedName name="사장님">'[1]98년차.XLS'!#REF!</definedName>
    <definedName name="산업원화">'[226]9.22'!$J$44:$J$50</definedName>
    <definedName name="산업원화금리">'[226]9.22'!$K$44:$K$50</definedName>
    <definedName name="생산">[28]COSTSALES!#REF!</definedName>
    <definedName name="선재수급">{#N/A,#N/A,FALSE,"표 (2)";#N/A,#N/A,FALSE,"목차";#N/A,#N/A,FALSE,"매출계획";#N/A,#N/A,FALSE,"가격현황";#N/A,#N/A,FALSE,"수주계획";#N/A,#N/A,FALSE,"수금계획";#N/A,#N/A,FALSE,"주요업무"}</definedName>
    <definedName name="쇼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정제조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발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한금리">'[226]9.22'!$J$42:$J$43</definedName>
    <definedName name="신한원화">'[226]9.22'!$J$42:$J$43</definedName>
    <definedName name="신한원화금리">'[226]9.22'!$K$42:$K$43</definedName>
    <definedName name="ㅇㄴ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ㄻㅇㄹ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>{#N/A,#N/A,FALSE,"관로 72c"}</definedName>
    <definedName name="ㅇㅀㄱ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연도별제조원가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외화금리">'[226]7.8'!$K$59:$K$70</definedName>
    <definedName name="외화금액">'[226]7.8'!$I$59:$J$70</definedName>
    <definedName name="외환원화">'[226]9.22'!$J$11:$J$18</definedName>
    <definedName name="외환원화금리">'[226]9.22'!$K$11:$K$18</definedName>
    <definedName name="우리원화">'[226]9.22'!$J$28:$J$34</definedName>
    <definedName name="우리원화금리">'[226]9.22'!$K$28:$K$34</definedName>
    <definedName name="원가목차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진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ㅈ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자재">BlankMacro1</definedName>
    <definedName name="자재">BlankMacro1</definedName>
    <definedName name="전기C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일원화">'[226]9.22'!$J$35:$J$39</definedName>
    <definedName name="제일원화금리">'[226]9.22'!$K$35:$K$39</definedName>
    <definedName name="제조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">[0]!MCOST2</definedName>
    <definedName name="중점2">[0]!MCOST2</definedName>
    <definedName name="ㅌㅋㄹㅊㅍ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템플리트모듈1">BlankMacro1</definedName>
    <definedName name="템플리트모듈1">BlankMacro1</definedName>
    <definedName localSheetId="0" name="템플리트모듈2">BlankMacro1</definedName>
    <definedName name="템플리트모듈2">BlankMacro1</definedName>
    <definedName localSheetId="0" name="템플리트모듈3">BlankMacro1</definedName>
    <definedName name="템플리트모듈3">BlankMacro1</definedName>
    <definedName localSheetId="0" name="템플리트모듈4">BlankMacro1</definedName>
    <definedName name="템플리트모듈4">BlankMacro1</definedName>
    <definedName localSheetId="0" name="템플리트모듈5">BlankMacro1</definedName>
    <definedName name="템플리트모듈5">BlankMacro1</definedName>
    <definedName localSheetId="0" name="템플리트모듈6">BlankMacro1</definedName>
    <definedName name="템플리트모듈6">BlankMacro1</definedName>
    <definedName name="투자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투자상세계획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투자자산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나원화">'[226]9.22'!$J$22:$J$26</definedName>
    <definedName name="하나원화금리">'[226]9.22'!$K$22:$K$26</definedName>
    <definedName name="환율">[229]JKT경비!#REF!</definedName>
    <definedName name="ㅐㅐ">[107]임차도급!#REF!</definedName>
    <definedName name="ㅐㅐㅐ">[80]기본Data!$G$5</definedName>
    <definedName name="ㅐㅐㅐㅐㅐ">[37]Contract!$D$35</definedName>
    <definedName name="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">{#N/A,#N/A,FALSE,"표 (2)";#N/A,#N/A,FALSE,"목차";#N/A,#N/A,FALSE,"매출계획";#N/A,#N/A,FALSE,"가격현황";#N/A,#N/A,FALSE,"수주계획";#N/A,#N/A,FALSE,"수금계획";#N/A,#N/A,FALSE,"주요업무"}</definedName>
    <definedName name="asscapex_9">#REF!</definedName>
    <definedName name="DATA123">#REF!</definedName>
    <definedName name="tota">#REF!</definedName>
    <definedName name="tonnes">#REF!</definedName>
    <definedName name="OBCOALSUBC">#REF!</definedName>
    <definedName name="D_B_TIMECAT_QWE">#REF!</definedName>
    <definedName name="DT_NIGHT">#REF!</definedName>
    <definedName name="D_B_TIMECAT_EDE">#REF!</definedName>
    <definedName name="I_B_MATMOVED_L_FN">#REF!</definedName>
    <definedName name="dfdf">#REF!</definedName>
    <definedName name="MATERIAL_9">#REF!</definedName>
    <definedName name="_________b2">#REF!</definedName>
    <definedName name="CGDAY">#REF!</definedName>
    <definedName name="_______________________________________wwp1">#REF!</definedName>
    <definedName name="RC_1A">#REF!</definedName>
    <definedName name="I_B_TIMECAT_IQPE_FN">#REF!</definedName>
    <definedName name="Tkpccons">#REF!</definedName>
    <definedName name="D_B_QTYLOADS_RL">#REF!</definedName>
    <definedName name="MOB">#REF!</definedName>
    <definedName name="________LC1000">#REF!</definedName>
    <definedName name="Date_9">#REF!</definedName>
    <definedName name="XRefCopy7">#REF!</definedName>
    <definedName name="Excel_BuiltIn_Print_Area_5_1_8">#REF!</definedName>
    <definedName name="_____________MGM2">#REF!</definedName>
    <definedName name="외화원화3">#REF!</definedName>
    <definedName name="Uraian844">#REF!</definedName>
    <definedName name="D_B_STATUS_QD">#REF!</definedName>
    <definedName name="PA_dt">#REF!</definedName>
    <definedName name="____________FEB99">#REF!</definedName>
    <definedName name="RD_044">#REF!</definedName>
    <definedName name="I_B_TIMECAT_QDHP">#REF!</definedName>
    <definedName name="I_A_QTYLOADS_DQL_FN">#REF!</definedName>
    <definedName name="GRADING">#REF!</definedName>
    <definedName name="______________BS01">#REF!</definedName>
    <definedName name="D_B_MATMOVED_SWL_ALL">#REF!</definedName>
    <definedName name="DATA53">#REF!</definedName>
    <definedName name="UNIT">#REF!</definedName>
    <definedName name="bengaloncv">#REF!</definedName>
    <definedName name="I_A_TIMECAT_DE_FN">#REF!</definedName>
    <definedName name="FORM815">#REF!</definedName>
    <definedName name="Series_Current_Ratio_5">#REF!</definedName>
    <definedName name="dgrg">#REF!</definedName>
    <definedName name="KR1BW">#REF!</definedName>
    <definedName name="_________________________________________________________________________________________________________________________________________________g20616">#REF!</definedName>
    <definedName name="InTopSoilingInpit">#REF!</definedName>
    <definedName name="Actual_cost">#REF!</definedName>
    <definedName name="Forecast45_4">#REF!</definedName>
    <definedName name="_______________________________________MGM2">#REF!</definedName>
    <definedName name="Jan_05">#REF!</definedName>
    <definedName name="PITTOPORT">#REF!</definedName>
    <definedName name="FORM521">#REF!</definedName>
    <definedName name="_818FA">#REF!</definedName>
    <definedName name="D_B_TIMECAT_DEP">#REF!</definedName>
    <definedName name="D_A_QTYLOADS_SQLP">#REF!</definedName>
    <definedName name="_MMM26">#REF!</definedName>
    <definedName name="______________________dep1">#REF!</definedName>
    <definedName name="_e1">#REF!</definedName>
    <definedName name="I_B_TIMECAT_DE">#REF!</definedName>
    <definedName name="fpra">#REF!</definedName>
    <definedName name="_MMM53">#REF!</definedName>
    <definedName name="__________RP1">#REF!</definedName>
    <definedName name="_____________________b1">#REF!</definedName>
    <definedName name="____________________DEP22">#REF!</definedName>
    <definedName name="nmL1s_4">#REF!</definedName>
    <definedName name="Excel_BuiltIn__FilterDatabase_21">#REF!</definedName>
    <definedName name="mgmt_fee">#REF!</definedName>
    <definedName name="_411FA">#REF!</definedName>
    <definedName name="_Ttl785">#REF!</definedName>
    <definedName name="I_B_STATUS_7QER">#REF!</definedName>
    <definedName name="URAIAN66PERMUKAAN">#REF!</definedName>
    <definedName name="djfl">#REF!</definedName>
    <definedName name="PLAN_6">#REF!</definedName>
    <definedName name="DBEqcost">#REF!</definedName>
    <definedName name="FDP_6_1_aDrv">#REF!</definedName>
    <definedName name="_DAT14">#REF!</definedName>
    <definedName name="CAPACITY_INK___PAINT_FRAMES_PER_WEEK">#REF!</definedName>
    <definedName name="____________________________MAY99">#REF!</definedName>
    <definedName name="FORM731">#REF!</definedName>
    <definedName name="InRunRepayLease1">#REF!</definedName>
    <definedName name="CtrlTbxLink2">#REF!</definedName>
    <definedName name="exel_bulitin_print_area_4">#REF!</definedName>
    <definedName name="D_A_QTYLOADS_SWPL_ALL">#REF!</definedName>
    <definedName name="weekly_jan">#REF!</definedName>
    <definedName name="_RUM2">#REF!</definedName>
    <definedName name="ㄴㄹㄶㅁ">#REF!</definedName>
    <definedName name="MP_311a">#REF!</definedName>
    <definedName name="LnMTNF0">#REF!</definedName>
    <definedName name="___________wwp1">#REF!</definedName>
    <definedName name="RC_1">#REF!</definedName>
    <definedName name="D_B_TIMECAT_SQW">#REF!</definedName>
    <definedName name="____BS01">#REF!</definedName>
    <definedName name="subcapex_8">#REF!</definedName>
    <definedName name="_22__123Graph_BCHART_20">#REF!</definedName>
    <definedName name="________dep1">#REF!</definedName>
    <definedName name="DIST_6">#REF!</definedName>
    <definedName name="SN">#REF!</definedName>
    <definedName name="산업예금1">#REF!</definedName>
    <definedName name="EKA">#REF!</definedName>
    <definedName name="JJJJKK">#REF!</definedName>
    <definedName name="DilnCv">#REF!</definedName>
    <definedName name="melawanytdcv">#REF!</definedName>
    <definedName name="DefIM">#REF!</definedName>
    <definedName name="_ME42">#REF!</definedName>
    <definedName name="__________________________________FEB99">#REF!</definedName>
    <definedName name="I_B_TIMECAT_D_FN">#REF!</definedName>
    <definedName name="Year_Days">#REF!</definedName>
    <definedName name="D_B_TIMECAT_Q">#REF!</definedName>
    <definedName name="__________________________wwp2">#REF!</definedName>
    <definedName name="Data_Plan_20">#REF!</definedName>
    <definedName name="I_B_TIMECAT_QIE_FN">#REF!</definedName>
    <definedName name="I_B_QTYLOADS_DRL_FN">#REF!</definedName>
    <definedName name="I_S_MatMoved_FX">#REF!</definedName>
    <definedName name="uiy">#REF!</definedName>
    <definedName name="농협원화4">#REF!</definedName>
    <definedName name="D_E_TRUCKCYCLES_SE">#REF!</definedName>
    <definedName name="FormsChartType_8">#REF!</definedName>
    <definedName name="_____RD1">#REF!</definedName>
    <definedName name="D_B_STATUS_SER_ALL">#REF!</definedName>
    <definedName name="prijun1">#REF!</definedName>
    <definedName name="MP_633">#REF!</definedName>
    <definedName name="_______________________________________________________wwp2">#REF!</definedName>
    <definedName name="___DAT14">#REF!</definedName>
    <definedName name="sfrain">#REF!</definedName>
    <definedName name="______________________DEP22">#REF!</definedName>
    <definedName name="______________________________MAR99">#REF!</definedName>
    <definedName name="___________________JAN99">#REF!</definedName>
    <definedName name="sale_kepco_low">#REF!</definedName>
    <definedName name="RATE2">#REF!</definedName>
    <definedName name="D_B_TIMECAT_IQ">#REF!</definedName>
    <definedName name="______RD2">#REF!</definedName>
    <definedName name="FRRDS">#REF!</definedName>
    <definedName name="_LLL01">#REF!</definedName>
    <definedName name="BUDI36">#REF!</definedName>
    <definedName name="waste_total_contractor">#REF!</definedName>
    <definedName name="FORM426">#REF!</definedName>
    <definedName name="S_SD">#REF!</definedName>
    <definedName name="FORM511">#REF!</definedName>
    <definedName name="DATA89">#REF!</definedName>
    <definedName name="____________________________FEB99">#REF!</definedName>
    <definedName name="I_B_STATUS_SQWR">#REF!</definedName>
    <definedName name="report_range">#REF!</definedName>
    <definedName name="DATA108">#REF!</definedName>
    <definedName name="Last_Row">#REF!</definedName>
    <definedName name="SubAccount">#REF!</definedName>
    <definedName name="PLAN_MONTHLY_1">#REF!</definedName>
    <definedName name="Shifts_8">#REF!</definedName>
    <definedName name="gmm">#REF!</definedName>
    <definedName name="__________LC2000">#REF!</definedName>
    <definedName name="FORM812">#REF!</definedName>
    <definedName name="senin">#REF!</definedName>
    <definedName name="sp">#REF!</definedName>
    <definedName name="stat">#REF!</definedName>
    <definedName name="_____MAY99">#REF!</definedName>
    <definedName name="_EUC01">#REF!</definedName>
    <definedName name="Fempl600">#REF!</definedName>
    <definedName name="Uraian314">#REF!</definedName>
    <definedName name="Kriteria1">#REF!</definedName>
    <definedName name="__________DEP2">#REF!</definedName>
    <definedName name="MP_312b">#REF!</definedName>
    <definedName name="FuelTotalPrice">#REF!</definedName>
    <definedName name="I_B_MATMOVED_DE">#REF!</definedName>
    <definedName name="D_S_TIMECAT_Q_ALL">#REF!</definedName>
    <definedName name="_DAT5">#REF!</definedName>
    <definedName name="Environment">#REF!</definedName>
    <definedName name="UoMList">#REF!</definedName>
    <definedName name="I_B_STATUS_SER_FN">#REF!</definedName>
    <definedName name="__________LC1000">#REF!</definedName>
    <definedName name="Blast_Site">#REF!</definedName>
    <definedName name="PLAN_12">#REF!</definedName>
    <definedName name="I_S_QTYDumpsQ_E">#REF!</definedName>
    <definedName name="Depreciation_Method">#REF!</definedName>
    <definedName name="I_A_SQL2IMPS_">#REF!</definedName>
    <definedName name="Total_Interest">#REF!</definedName>
    <definedName name="aee">#REF!</definedName>
    <definedName name="I_B_QTYLOADS_KPL">#REF!</definedName>
    <definedName name="_751PK">#REF!</definedName>
    <definedName name="E_073">#REF!</definedName>
    <definedName name="___DAT15">#REF!</definedName>
    <definedName name="__________________________________________________________wwp2">#REF!</definedName>
    <definedName name="I_B_TIMECAT_EIWE_FN">#REF!</definedName>
    <definedName name="CARD">#REF!</definedName>
    <definedName name="Data_Plan_1_1">#REF!</definedName>
    <definedName name="___________________________BS01">#REF!</definedName>
    <definedName name="D_D_TRUCKCYCLES_DRT_ALL">#REF!</definedName>
    <definedName name="StandarHours6_9">#REF!</definedName>
    <definedName name="UMAR">#REF!</definedName>
    <definedName name="D_B_STATUS_QIE_ALL">#REF!</definedName>
    <definedName name="_DAT12">#REF!</definedName>
    <definedName name="fafwrw">#REF!</definedName>
    <definedName name="FORM7618">#REF!</definedName>
    <definedName name="namakaryawan">#REF!</definedName>
    <definedName name="Edition">#REF!</definedName>
    <definedName name="I_B_TIMECAT_QIW_FN">#REF!</definedName>
    <definedName name="Problem_pty">#REF!</definedName>
    <definedName name="D_B_TIMECAT_7EE">#REF!</definedName>
    <definedName name="Acc">#REF!</definedName>
    <definedName name="____FRY4">#REF!</definedName>
    <definedName name="pingar">#REF!</definedName>
    <definedName name="wwwqqqq">#REF!</definedName>
    <definedName name="UY">#REF!</definedName>
    <definedName name="STATUS10">#REF!</definedName>
    <definedName name="grw">#REF!</definedName>
    <definedName name="Equipment_22">#REF!</definedName>
    <definedName name="Prodwaste">#REF!</definedName>
    <definedName name="I_B_QTYLOADS_RPL">#REF!</definedName>
    <definedName name="_ME29">#REF!</definedName>
    <definedName name="FORM919">#REF!</definedName>
    <definedName name="absensi">#REF!</definedName>
    <definedName name="fe">#REF!</definedName>
    <definedName name="Drills_9">#REF!</definedName>
    <definedName name="XRefCopy14Row">#REF!</definedName>
    <definedName name="__1_2_MASTER_SUMMARY_YEARLY">#REF!</definedName>
    <definedName name="I_W_SQL2IMPS_">#REF!</definedName>
    <definedName name="_635APK">#REF!</definedName>
    <definedName name="Vehicles_4">#REF!</definedName>
    <definedName name="EPHR_8">#REF!</definedName>
    <definedName name="______________MGM1">#REF!</definedName>
    <definedName name="_______________________________2_MASTER_SUMMARY_YEARLY">#REF!</definedName>
    <definedName name="_______________________2_MASTER_SUMMARY_YEARLY">#REF!</definedName>
    <definedName name="_623PK">#REF!</definedName>
    <definedName name="FS2A">#REF!</definedName>
    <definedName name="_431FA">#REF!</definedName>
    <definedName name="D_D_SQL2MMS__ALL">#REF!</definedName>
    <definedName name="DATA13">#REF!</definedName>
    <definedName name="________________________DEP22">#REF!</definedName>
    <definedName name="MENUD5F">#REF!</definedName>
    <definedName name="prodstart_BR">#REF!</definedName>
    <definedName name="_new2">#REF!</definedName>
    <definedName name="FDP_30_1_aUrv">#REF!</definedName>
    <definedName name="I_B_TIMECAT_DQEE_FN">#REF!</definedName>
    <definedName name="농협원화2">#REF!</definedName>
    <definedName name="______tes3">#REF!</definedName>
    <definedName name="D_B_TRUCKCYCLES_SRCT_ALL">#REF!</definedName>
    <definedName name="price2">#REF!</definedName>
    <definedName name="RD_034">#REF!</definedName>
    <definedName name="신한이자">#REF!</definedName>
    <definedName name="CostList2">#REF!</definedName>
    <definedName name="URAIAN7612c">#REF!</definedName>
    <definedName name="XREF_COLUMN_5">#REF!</definedName>
    <definedName name="base">#REF!</definedName>
    <definedName name="D_A_QTYLOADS_EPL">#REF!</definedName>
    <definedName name="sdas">#REF!</definedName>
    <definedName name="bamar">#REF!</definedName>
    <definedName name="SeriesB_5">#REF!</definedName>
    <definedName name="D_Eqtype_SQL2IMPS_K_ALL">#REF!</definedName>
    <definedName name="YEAR_RANGE">#REF!</definedName>
    <definedName name="g20616_2_8">#REF!</definedName>
    <definedName name="D_B_TRUCKCYCLES_DR">#REF!</definedName>
    <definedName name="___mid03">#REF!</definedName>
    <definedName name="____KPC4">#REF!</definedName>
    <definedName name="ShowProductC">#REF!</definedName>
    <definedName name="__________________________________________wwp2">#REF!</definedName>
    <definedName name="_MMM18">#REF!</definedName>
    <definedName name="I_B_STATUS_DQER_FN">#REF!</definedName>
    <definedName name="_512PK">#REF!</definedName>
    <definedName name="___________________FEB99">#REF!</definedName>
    <definedName name="I_B_STATUS_IQE">#REF!</definedName>
    <definedName name="I_B_STATUS_ED">#REF!</definedName>
    <definedName name="dataasset">#REF!</definedName>
    <definedName name="rahasia">#REF!</definedName>
    <definedName name="_____________________________________wwp2">#REF!</definedName>
    <definedName name="AS_OF_FEBRUARY_28__1997">#REF!</definedName>
    <definedName name="DATEBARGING">#REF!</definedName>
    <definedName name="B_D_S_B">#REF!</definedName>
    <definedName name="_______________________________DEC98">#REF!</definedName>
    <definedName name="_REVOB">#REF!</definedName>
    <definedName name="____________DEP22">#REF!</definedName>
    <definedName name="________________________________________b2">#REF!</definedName>
    <definedName name="asdasdl">#REF!</definedName>
    <definedName name="DBASE">#REF!</definedName>
    <definedName name="Skpccont">#REF!</definedName>
    <definedName name="OKLKKL">#REF!</definedName>
    <definedName name="DATA27">#REF!</definedName>
    <definedName name="t_4">#REF!</definedName>
    <definedName name="NB_PN3">#REF!</definedName>
    <definedName name="JJ">#REF!</definedName>
    <definedName name="MANUFACTURERLIST">#REF!</definedName>
    <definedName name="ALAT">#REF!</definedName>
    <definedName name="Cat980F">#REF!</definedName>
    <definedName name="I_B_TIMECAT_DQ_FN">#REF!</definedName>
    <definedName name="D_B_QTYLOADS_7KL_ALL">#REF!</definedName>
    <definedName name="HSEC3">#REF!</definedName>
    <definedName name="Net_of_tax_rate">#REF!</definedName>
    <definedName name="I_Y1_STATUS__FN">#REF!</definedName>
    <definedName name="I_B_MATMOVED_DEEQL">#REF!</definedName>
    <definedName name="________MAR99">#REF!</definedName>
    <definedName name="SPENING">#REF!</definedName>
    <definedName name="D_A_TIMECAT_DEWPE">#REF!</definedName>
    <definedName name="______________wwp2">#REF!</definedName>
    <definedName name="netrevenue">#REF!</definedName>
    <definedName name="D_B_TIMECAT_EDW_ALL">#REF!</definedName>
    <definedName name="LTD">#REF!</definedName>
    <definedName name="FORM7101">#REF!</definedName>
    <definedName name="Year_Days_9">#REF!</definedName>
    <definedName name="_____________________________________________________________________wwp2">#REF!</definedName>
    <definedName name="pinangytdts">#REF!</definedName>
    <definedName name="DISACTM">#REF!</definedName>
    <definedName name="Series_NOPAT___FP_5">#REF!</definedName>
    <definedName name="____wwp1">#REF!</definedName>
    <definedName name="I_C_SQL2IMPS_">#REF!</definedName>
    <definedName name="I_B_LOADER_QWE">#REF!</definedName>
    <definedName name="I_A_TIMECAT_DQ">#REF!</definedName>
    <definedName name="A._PENGEMBANGAN_KELEMBAGAAN_FORUM_DAS_BRANTAS">#REF!</definedName>
    <definedName name="I_A_TIMECAT_SQE_FN">#REF!</definedName>
    <definedName name="Rwvu.KJP_CC.">#REF!</definedName>
    <definedName name="_tk3">#REF!</definedName>
    <definedName name="FDP_48_1_rUrv">#REF!</definedName>
    <definedName name="D_B_MATMOVED_QL">#REF!</definedName>
    <definedName name="qDC01AreaCon">#REF!</definedName>
    <definedName name="estdozprod">#REF!</definedName>
    <definedName name="________________________________BS01">#REF!</definedName>
    <definedName name="STATUS8">#REF!</definedName>
    <definedName name="D10R">#REF!</definedName>
    <definedName name="kci">#REF!</definedName>
    <definedName name="Prodty_ob">#REF!</definedName>
    <definedName name="Excel_BuiltIn__FilterDatabase_3_1">#REF!</definedName>
    <definedName name="__________________________________________DEP11">#REF!</definedName>
    <definedName name="I_B_STATUS_QIE">#REF!</definedName>
    <definedName name="D_B_STATUS_7Q">#REF!</definedName>
    <definedName name="I_B_TIMECAT_QSWE">#REF!</definedName>
    <definedName name="___________________________g20616">#REF!</definedName>
    <definedName name="DATA41">#REF!</definedName>
    <definedName name="_DWO01">#REF!</definedName>
    <definedName name="___________________________________________________wwp1">#REF!</definedName>
    <definedName name="UPAH12">#REF!</definedName>
    <definedName name="____________________________________MAR99">#REF!</definedName>
    <definedName name="employee_kirean">#REF!</definedName>
    <definedName name="DATA20">#REF!</definedName>
    <definedName name="D_B_QTYLOADS_7RL">#REF!</definedName>
    <definedName name="_______LC500">#REF!</definedName>
    <definedName name="______LC1000">#REF!</definedName>
    <definedName name="_JGN21">#REF!</definedName>
    <definedName name="Uraian331">#REF!</definedName>
    <definedName name="_____________________FEB99">#REF!</definedName>
    <definedName name="D_S_QTYLOADS_EL">#REF!</definedName>
    <definedName name="________________________________________________________________________________________________________________________________g20616">#REF!</definedName>
    <definedName name="_ME25">#REF!</definedName>
    <definedName name="FORM422">#REF!</definedName>
    <definedName name="A1_Z1...A10_Z10">#REF!</definedName>
    <definedName name="REN_LMA">#REF!</definedName>
    <definedName name="SC">#REF!</definedName>
    <definedName name="hjhjhjhj">#REF!</definedName>
    <definedName name="_____________________________________________________wwp1">#REF!</definedName>
    <definedName name="TZA_52">#REF!</definedName>
    <definedName name="I_B_TIMECAT_E7E_FN">#REF!</definedName>
    <definedName name="KPC_Total">#REF!</definedName>
    <definedName name="dCoal_Daily_head">#REF!</definedName>
    <definedName name="__________________DEC98">#REF!</definedName>
    <definedName name="Job_No">#REF!</definedName>
    <definedName name="____dep1">#REF!</definedName>
    <definedName name="________DEC98">#REF!</definedName>
    <definedName name="subcapex">#REF!</definedName>
    <definedName name="Sept">#REF!</definedName>
    <definedName name="I_C_QTYLOADS_SQL">#REF!</definedName>
    <definedName name="I_B_LOADER_SE_FN">#REF!</definedName>
    <definedName name="I_A_TIMECAT_DEWPEE">#REF!</definedName>
    <definedName name="D_B_TRUCKCYCLES_DE">#REF!</definedName>
    <definedName name="DATA_ASAL_4">#REF!</definedName>
    <definedName name="D_S_QTYLOADS_E_ALL">#REF!</definedName>
    <definedName name="D_B_TIMECAT_EIWE_ALL">#REF!</definedName>
    <definedName name="ActCoal">#REF!</definedName>
    <definedName name="Fspex3500">#REF!</definedName>
    <definedName name="D_B_MATMOVED_QSE">#REF!</definedName>
    <definedName name="I_S_QTYLOADS_F">#REF!</definedName>
    <definedName name="I_C_TRUCKCYCLES_DE">#REF!</definedName>
    <definedName name="I_B_TIMECAT_Q7SP_FN">#REF!</definedName>
    <definedName name="I_B_MATMOVED_DQL_FN">#REF!</definedName>
    <definedName name="I_A_TIMECAT_DEWPE_FN">#REF!</definedName>
    <definedName name="I_D_TRUCKCYCLES_SK">#REF!</definedName>
    <definedName name="ACP">#REF!</definedName>
    <definedName name="D_Eqtype_SQL2IMPS_Q_ALL">#REF!</definedName>
    <definedName name="D_B_STATUS_QR">#REF!</definedName>
    <definedName name="I_B_QTYLOADS_DL_FN">#REF!</definedName>
    <definedName name="Expl_Bin7West">#REF!</definedName>
    <definedName name="___________________________________BS01">#REF!</definedName>
    <definedName name="DATA116">#REF!</definedName>
    <definedName name="OP_1">#REF!</definedName>
    <definedName name="_____MGM1">#REF!</definedName>
    <definedName name="YesNo">#REF!</definedName>
    <definedName name="D_B_TIMECAT_QHP">#REF!</definedName>
    <definedName name="D_B_TIMECAT_IQPE">#REF!</definedName>
    <definedName name="test1">#REF!</definedName>
    <definedName name="D_A_QTYLOADS_QSWE_ALL">#REF!</definedName>
    <definedName name="Swvu.Japan_Capers_Ed_Pub.">#REF!</definedName>
    <definedName name="I_B_TIMECAT_QHDP_FN">#REF!</definedName>
    <definedName name="___________________________________b2">#REF!</definedName>
    <definedName name="____b1">#REF!</definedName>
    <definedName name="ADT_06">#REF!</definedName>
    <definedName name="_HOME__END__D__">#REF!</definedName>
    <definedName name="CFG_Date">#REF!</definedName>
    <definedName name="LnCATO0">#REF!</definedName>
    <definedName name="D_B_MATMOVED_E">#REF!</definedName>
    <definedName name="Truck">#REF!</definedName>
    <definedName name="PLAN_8_1">#REF!</definedName>
    <definedName name="data2">#REF!</definedName>
    <definedName name="_83FA">#REF!</definedName>
    <definedName name="bengalonash">#REF!</definedName>
    <definedName name="pinangytdcv">#REF!</definedName>
    <definedName name="dadad">#REF!</definedName>
    <definedName name="Excel_BuiltIn__FilterDatabase_13_1_1">#REF!</definedName>
    <definedName name="_MMM07">#REF!</definedName>
    <definedName name="____________________________________wwp1">#REF!</definedName>
    <definedName name="end">#REF!</definedName>
    <definedName name="MP_734">#REF!</definedName>
    <definedName name="data_dump">#REF!</definedName>
    <definedName name="COSUBOB2">#REF!</definedName>
    <definedName name="StandarHours31">#REF!</definedName>
    <definedName name="Uraian235">#REF!</definedName>
    <definedName name="D_B_TIMECAT_QDEE">#REF!</definedName>
    <definedName name="barl">#REF!</definedName>
    <definedName name="sale_abroad">#REF!</definedName>
    <definedName name="Tempo">#REF!</definedName>
    <definedName name="_SAP10">#REF!</definedName>
    <definedName name="Pay_Date">#REF!</definedName>
    <definedName name="D_B_STATUS_QDE">#REF!</definedName>
    <definedName name="EX_413">#REF!</definedName>
    <definedName name="Frehab">#REF!</definedName>
    <definedName name="DATA16">#REF!</definedName>
    <definedName name="standby">#REF!</definedName>
    <definedName name="StockPile">#REF!</definedName>
    <definedName name="prodstart_PT">#REF!</definedName>
    <definedName name="UnitDate">#REF!</definedName>
    <definedName name="D_B_TIMECAT_QSWPEE_ALL">#REF!</definedName>
    <definedName name="RD_074">#REF!</definedName>
    <definedName name="LnOPRS0">#REF!</definedName>
    <definedName name="O">#REF!</definedName>
    <definedName name="Pkpccons">#REF!</definedName>
    <definedName name="XRefCopy8">#REF!</definedName>
    <definedName name="I_C_PLANS_">#REF!</definedName>
    <definedName name="OBNIGHT">#REF!</definedName>
    <definedName name="I_A_QTYLOADS_DQWPEEL">#REF!</definedName>
    <definedName name="I_A_TIMECAT_Q_FN">#REF!</definedName>
    <definedName name="D_S_QTYDUMPS_X">#REF!</definedName>
    <definedName name="t_2">#REF!</definedName>
    <definedName name="qbydate_Full_with_between">#REF!</definedName>
    <definedName name="tbl_ProdInfo">#REF!</definedName>
    <definedName name="YTD_9">#REF!</definedName>
    <definedName name="_wwp2">#REF!</definedName>
    <definedName name="____DEP22">#REF!</definedName>
    <definedName name="D_YC_LOADER_U">#REF!</definedName>
    <definedName name="___RD1">#REF!</definedName>
    <definedName name="_MDE09">#REF!</definedName>
    <definedName name="_______________________________________FEB99">#REF!</definedName>
    <definedName name="D_B_STATUS_SQWR_ALL">#REF!</definedName>
    <definedName name="________________MAY99">#REF!</definedName>
    <definedName name="I_A_TRUCKCYCLES_SE">#REF!</definedName>
    <definedName name="OPT_GL_8">#REF!</definedName>
    <definedName name="_MMM14">#REF!</definedName>
    <definedName name="MtMorgans_AUS">#REF!</definedName>
    <definedName name="I_A_QTYLOADS_QPL">#REF!</definedName>
    <definedName name="D_A_TIMECAT_SQ">#REF!</definedName>
    <definedName name="_BSG22">#REF!</definedName>
    <definedName name="________________________________________APR99">#REF!</definedName>
    <definedName name="URAIAN243">#REF!</definedName>
    <definedName name="I_B_TIMECAT_QDWE">#REF!</definedName>
    <definedName name="Rutin_1e">#REF!</definedName>
    <definedName name="_HAL7">#REF!</definedName>
    <definedName name="ADT_05">#REF!</definedName>
    <definedName name="hCat777WstTot">#REF!</definedName>
    <definedName name="__w5">#REF!</definedName>
    <definedName name="__________________MGM1">#REF!</definedName>
    <definedName name="saleablecoal">#REF!</definedName>
    <definedName name="SFfuel">#REF!</definedName>
    <definedName name="Series_Current_Ratio">#REF!</definedName>
    <definedName name="D_B_MATMOVED_DL_ALL">#REF!</definedName>
    <definedName name="____________________________________________________________________________________________________________________g20616">#REF!</definedName>
    <definedName name="D_B_MATMOVED_Q">#REF!</definedName>
    <definedName name="Variation_from_year_three">#REF!</definedName>
    <definedName name="_Tap789">#REF!</definedName>
    <definedName name="hhgh">#REF!</definedName>
    <definedName name="__________________________________________b1">#REF!</definedName>
    <definedName name="namafi">#REF!</definedName>
    <definedName name="Balance_5">#REF!</definedName>
    <definedName name="FCode">#REF!</definedName>
    <definedName name="___PLO1">#REF!</definedName>
    <definedName name="Balance06new">#REF!</definedName>
    <definedName name="Vehicles_9">#REF!</definedName>
    <definedName name="_100l_s__90m">#REF!</definedName>
    <definedName name="_____APR99">#REF!</definedName>
    <definedName name="alalaa">#REF!</definedName>
    <definedName name="Train">#REF!</definedName>
    <definedName name="_b2">#REF!</definedName>
    <definedName name="_ME03">#REF!</definedName>
    <definedName name="하나외화">#REF!</definedName>
    <definedName name="FS1D">#REF!</definedName>
    <definedName name="StandarHours14">#REF!</definedName>
    <definedName name="_J">#REF!</definedName>
    <definedName name="Cat966F">#REF!</definedName>
    <definedName name="_72FA">#REF!</definedName>
    <definedName name="No_DD03">#REF!</definedName>
    <definedName name="erryty">#REF!</definedName>
    <definedName name="___MAR99">#REF!</definedName>
    <definedName name="DbVar02">#REF!</definedName>
    <definedName name="D_M_PLANS_">#REF!</definedName>
    <definedName name="nmMean_6">#REF!</definedName>
    <definedName name="I_B_STATUS_Q7E">#REF!</definedName>
    <definedName name="I_X_STATUS__FN">#REF!</definedName>
    <definedName name="_ME01">#REF!</definedName>
    <definedName name="NOM_12">#REF!</definedName>
    <definedName name="CFG_Plan_Abbrev">#REF!</definedName>
    <definedName name="D_B_QTYLOADS_DPTL">#REF!</definedName>
    <definedName name="________LA250">#REF!</definedName>
    <definedName name="________________MAR99">#REF!</definedName>
    <definedName name="I_B_TIMECAT_DEP_FN">#REF!</definedName>
    <definedName name="StandarHours10_8">#REF!</definedName>
    <definedName name="외환원화금리2">#REF!</definedName>
    <definedName name="_____________dep1">#REF!</definedName>
    <definedName name="__________________________FEB99">#REF!</definedName>
    <definedName name="___MAY99">#REF!</definedName>
    <definedName name="__________________________MAR99">#REF!</definedName>
    <definedName name="I_A_STATUS_DR">#REF!</definedName>
    <definedName name="___________________DEP22">#REF!</definedName>
    <definedName name="S_Ref">#REF!</definedName>
    <definedName name="Rutin_1g">#REF!</definedName>
    <definedName name="_tot3">#REF!</definedName>
    <definedName name="___JAN99">#REF!</definedName>
    <definedName name="transfer">#REF!</definedName>
    <definedName name="URAIAN7614e">#REF!</definedName>
    <definedName name="D_S_QTYLOADS_PLQ_ALL">#REF!</definedName>
    <definedName name="_____________________________________dep1">#REF!</definedName>
    <definedName name="D_B_TRUCKCYCLES_SK_ALL">#REF!</definedName>
    <definedName name="FORM918">#REF!</definedName>
    <definedName name="holidays">#REF!</definedName>
    <definedName name="Spf">#REF!</definedName>
    <definedName name="I_A_STATUS_DEPR">#REF!</definedName>
    <definedName name="NS_PN1">#REF!</definedName>
    <definedName name="Skpcob">#REF!</definedName>
    <definedName name="Table_Shipment">#REF!</definedName>
    <definedName name="myChtNumbers">#REF!</definedName>
    <definedName name="Excel_BuiltIn_Print_Area_30">#REF!</definedName>
    <definedName name="KFOB_Price">#REF!</definedName>
    <definedName name="I_S_Timecat_EL">#REF!</definedName>
    <definedName name="EqList">#REF!</definedName>
    <definedName name="bengaug">#REF!</definedName>
    <definedName name="D_B_TIMECAT_ESE_ALL">#REF!</definedName>
    <definedName name="I_B_TIMECAT_QSW">#REF!</definedName>
    <definedName name="_____2_MASTER_SUMMARY_YEARLY">#REF!</definedName>
    <definedName name="I_B_QTYLOADS_DKL_FN">#REF!</definedName>
    <definedName name="UKK">#REF!</definedName>
    <definedName name="MP_845">#REF!</definedName>
    <definedName name="_______APR99">#REF!</definedName>
    <definedName name="data_ob">#REF!</definedName>
    <definedName name="LOC">#REF!</definedName>
    <definedName name="premium">#REF!</definedName>
    <definedName name="LTF">#REF!</definedName>
    <definedName name="_818PK">#REF!</definedName>
    <definedName name="________wwp1">#REF!</definedName>
    <definedName name="Pempl200">#REF!</definedName>
    <definedName name="SeriesA_6">#REF!</definedName>
    <definedName name="D_B_STATUS_SQ_ALL">#REF!</definedName>
    <definedName name="D_YC_LOADER_Q">#REF!</definedName>
    <definedName name="D_Y2_PLANS_7_ALL">#REF!</definedName>
    <definedName name="D_B_TIMECAT_EDWE_ALL">#REF!</definedName>
    <definedName name="wwwwwww">#REF!</definedName>
    <definedName name="제일원화금리1">#REF!</definedName>
    <definedName name="WATERPUMP">#REF!</definedName>
    <definedName name="________________DEP2">#REF!</definedName>
    <definedName name="TABELEXC">#REF!</definedName>
    <definedName name="KPCNETREVOLOOK">#REF!</definedName>
    <definedName name="_________DEP11">#REF!</definedName>
    <definedName name="__________________________wk45">#REF!</definedName>
    <definedName name="WkRevFuelDMP">#REF!</definedName>
    <definedName name="D_Y_TIMECAT_I">#REF!</definedName>
    <definedName name="mon">#REF!</definedName>
    <definedName name="hCat789Tot">#REF!</definedName>
    <definedName name="Data_Plan_6_1">#REF!</definedName>
    <definedName name="D_A_QTYLOADS_LQDP">#REF!</definedName>
    <definedName name="I_B_STATUS_EDE">#REF!</definedName>
    <definedName name="InCoalMining">#REF!</definedName>
    <definedName name="ForecastRowOffset">#REF!</definedName>
    <definedName name="_fILLE">#REF!</definedName>
    <definedName name="QualMel">#REF!</definedName>
    <definedName name="I_Y2_STATUS_">#REF!</definedName>
    <definedName name="Vehicles_5">#REF!</definedName>
    <definedName name="bengsep">#REF!</definedName>
    <definedName name="L_KOMPONEN">#REF!</definedName>
    <definedName name="_______________DEP11">#REF!</definedName>
    <definedName name="Fkpcindemp">#REF!</definedName>
    <definedName name="LnSLSR1">#REF!</definedName>
    <definedName name="_________________wwp1">#REF!</definedName>
    <definedName name="summary_1">#REF!</definedName>
    <definedName name="Rwvu.CapersView.">#REF!</definedName>
    <definedName name="_Sort">#REF!</definedName>
    <definedName name="_MDE14">#REF!</definedName>
    <definedName name="Fhatob">#REF!</definedName>
    <definedName name="hljsuea">#REF!</definedName>
    <definedName name="WORK">#REF!</definedName>
    <definedName name="__DAT10">#REF!</definedName>
    <definedName name="Sempl500">#REF!</definedName>
    <definedName name="______________________wk45">#REF!</definedName>
    <definedName name="XRefPaste5Row">#REF!</definedName>
    <definedName name="______dep1">#REF!</definedName>
    <definedName name="weekly_jun">#REF!</definedName>
    <definedName name="WHEELLOADER">#REF!</definedName>
    <definedName name="D_A_TIMECAT_DP_ALL">#REF!</definedName>
    <definedName name="I_S_QTYDumpsQ_EL_FN">#REF!</definedName>
    <definedName name="Expl_Para">#REF!</definedName>
    <definedName name="Eqp">#REF!</definedName>
    <definedName name="D_A_STATUS_DQR_ALL">#REF!</definedName>
    <definedName name="DbCost">#REF!</definedName>
    <definedName name="_1_2_MASTER_SUMMARY_YEARLY">#REF!</definedName>
    <definedName name="LnADMC1">#REF!</definedName>
    <definedName name="FORM814">#REF!</definedName>
    <definedName name="_IZ60">#REF!</definedName>
    <definedName name="D_N_PLANS_7_ALL">#REF!</definedName>
    <definedName name="fuelstation">#REF!</definedName>
    <definedName name="______________DEP22">#REF!</definedName>
    <definedName name="_MDE38">#REF!</definedName>
    <definedName name="primaytdtm">#REF!</definedName>
    <definedName name="___________________________MGM1">#REF!</definedName>
    <definedName name="qTotalRomCon">#REF!</definedName>
    <definedName name="________________________________________wwp1">#REF!</definedName>
    <definedName name="D_A_QTYLOADS_7EL_ALL">#REF!</definedName>
    <definedName name="nmL1s_8">#REF!</definedName>
    <definedName name="testy">#REF!</definedName>
    <definedName name="_DIV6">#REF!</definedName>
    <definedName name="_MU569947">#REF!</definedName>
    <definedName name="URAIAN96">#REF!</definedName>
    <definedName name="TruckList">#REF!</definedName>
    <definedName name="DATA85">#REF!</definedName>
    <definedName name="nmL1s_6">#REF!</definedName>
    <definedName name="Pportinv">#REF!</definedName>
    <definedName name="HUJAN">#REF!</definedName>
    <definedName name="____________________________________________b2">#REF!</definedName>
    <definedName name="DIST_10">#REF!</definedName>
    <definedName name="I_B_TIMECAT_QHP">#REF!</definedName>
    <definedName name="_MMM411">#REF!</definedName>
    <definedName name="Excel_BuiltIn_Print_Area_18">#REF!</definedName>
    <definedName name="Reduction_in_overheads_year_2">#REF!</definedName>
    <definedName name="I_B_TIMECAT_SQWPE_FN">#REF!</definedName>
    <definedName name="FINCLOSE">#REF!</definedName>
    <definedName name="TRACK_TYPE">#REF!</definedName>
    <definedName name="I_B_QTYLOADS_DRPEL">#REF!</definedName>
    <definedName name="__________________________DEC98">#REF!</definedName>
    <definedName name="_______________JAN99">#REF!</definedName>
    <definedName name="D_B_TIMECAT_Q7E">#REF!</definedName>
    <definedName name="_____________________________DEC98">#REF!</definedName>
    <definedName name="I_S_QTYLOADS_RL">#REF!</definedName>
    <definedName name="FORM7614d">#REF!</definedName>
    <definedName name="GainLossFiscal">#REF!</definedName>
    <definedName name="_521FA">#REF!</definedName>
    <definedName name="I_S_QTYLOADS_M_FN">#REF!</definedName>
    <definedName name="____________b1">#REF!</definedName>
    <definedName name="D_A_QTYLOADS_IQL">#REF!</definedName>
    <definedName name="chtYmajor">#REF!</definedName>
    <definedName name="JNL_PLTUSE">#REF!</definedName>
    <definedName name="STB">#REF!</definedName>
    <definedName name="D_Y1_STATUS__ALL">#REF!</definedName>
    <definedName name="___________________dep1">#REF!</definedName>
    <definedName name="Sequence">#REF!</definedName>
    <definedName name="URAIAN910">#REF!</definedName>
    <definedName name="I_A_QTYLOADS__FN">#REF!</definedName>
    <definedName name="D_B_TIMECAT_DQE_ALL">#REF!</definedName>
    <definedName name="list05">#REF!</definedName>
    <definedName name="D_B_QTYLOADS_DRPTL">#REF!</definedName>
    <definedName name="source2">#REF!</definedName>
    <definedName name="D_S_SHIFT_S">#REF!</definedName>
    <definedName name="OPT_GL_6">#REF!</definedName>
    <definedName name="BUDI17">#REF!</definedName>
    <definedName name="hCat785WstTot">#REF!</definedName>
    <definedName name="Compactors_8">#REF!</definedName>
    <definedName name="CtrlToolboxLink">#REF!</definedName>
    <definedName name="___DAT11">#REF!</definedName>
    <definedName name="Series_Sales_Growth_4">#REF!</definedName>
    <definedName name="FORM716">#REF!</definedName>
    <definedName name="source2_8">#REF!</definedName>
    <definedName name="D_B_LOADER_DQ_ALL">#REF!</definedName>
    <definedName name="DATA44">#REF!</definedName>
    <definedName name="Summary_opt1">#REF!</definedName>
    <definedName name="wer">#REF!</definedName>
    <definedName name="Spitinv">#REF!</definedName>
    <definedName name="ITList1">#REF!</definedName>
    <definedName name="_ME15">#REF!</definedName>
    <definedName name="nHD830e">#REF!</definedName>
    <definedName name="sse">#REF!</definedName>
    <definedName name="__mid03">#REF!</definedName>
    <definedName name="FormsToolbarLink">#REF!</definedName>
    <definedName name="________b2">#REF!</definedName>
    <definedName name="FORM22E">#REF!</definedName>
    <definedName name="database1">#REF!</definedName>
    <definedName name="BALANCE02">#REF!</definedName>
    <definedName name="StandarHours13_8">#REF!</definedName>
    <definedName name="FORM642">#REF!</definedName>
    <definedName name="D_B_TIMECAT_QD_ALL">#REF!</definedName>
    <definedName name="D_Y_TIMECAT_QI">#REF!</definedName>
    <definedName name="capLandBld">#REF!</definedName>
    <definedName name="___________________________2_MASTER_SUMMARY_YEARLY">#REF!</definedName>
    <definedName name="I_D_QTYLOADS_SQL">#REF!</definedName>
    <definedName name="Phone">#REF!</definedName>
    <definedName name="_______LA500">#REF!</definedName>
    <definedName name="Seam_C4">#REF!</definedName>
    <definedName name="ADB">#REF!</definedName>
    <definedName name="OprNonOpr">#REF!</definedName>
    <definedName name="Telephone">#REF!</definedName>
    <definedName name="MENUBOQ">#REF!</definedName>
    <definedName name="lpra">#REF!</definedName>
    <definedName name="_______________________________________b2">#REF!</definedName>
    <definedName name="StandarHours29_9">#REF!</definedName>
    <definedName name="DZ_036">#REF!</definedName>
    <definedName name="____________________________________________DEP11">#REF!</definedName>
    <definedName name="chtYmax_9">#REF!</definedName>
    <definedName name="Frominv">#REF!</definedName>
    <definedName name="DATAF1ABARU">#REF!</definedName>
    <definedName name="CCR">#REF!</definedName>
    <definedName name="IM">#REF!</definedName>
    <definedName name="___________________________DEP22">#REF!</definedName>
    <definedName name="OPT_GL_1_1">#REF!</definedName>
    <definedName name="I_R_QTYLOADS_SQL_FN">#REF!</definedName>
    <definedName name="_SAP06">#REF!</definedName>
    <definedName name="rom">#REF!</definedName>
    <definedName name="D_S_TIMECAT_E_ALL">#REF!</definedName>
    <definedName name="_____SL4">#REF!</definedName>
    <definedName name="D_A_QTYLOADS_QDE">#REF!</definedName>
    <definedName name="I_B_TIMECAT_QSP">#REF!</definedName>
    <definedName name="_a_8">#REF!</definedName>
    <definedName name="D_B_TIMECAT_QI">#REF!</definedName>
    <definedName name="_____DEC98">#REF!</definedName>
    <definedName name="ProdForm">#REF!</definedName>
    <definedName name="I_M_STATUS_YT">#REF!</definedName>
    <definedName name="data_step">#REF!</definedName>
    <definedName name="DbVar04">#REF!</definedName>
    <definedName name="FORM734">#REF!</definedName>
    <definedName name="FORM769">#REF!</definedName>
    <definedName name="I_B_QTYLOADS_DT_FN">#REF!</definedName>
    <definedName name="___________________________________________________________________________________________________________________________________________________g20616">#REF!</definedName>
    <definedName name="Series_COPAT___FP_6">#REF!</definedName>
    <definedName name="FORM641L">#REF!</definedName>
    <definedName name="____key2">#REF!</definedName>
    <definedName name="D_B_TIMECAT_QSWPEE">#REF!</definedName>
    <definedName name="SeriesB_6">#REF!</definedName>
    <definedName name="s">#REF!</definedName>
    <definedName name="Dewo">#REF!</definedName>
    <definedName name="_________2_MASTER_SUMMARY_YEARLY">#REF!</definedName>
    <definedName name="___________________________FEB99">#REF!</definedName>
    <definedName name="__________________________________MAY99">#REF!</definedName>
    <definedName name="nmL2s_6">#REF!</definedName>
    <definedName name="___Cat375">#REF!</definedName>
    <definedName name="______DEP11">#REF!</definedName>
    <definedName name="Skpcindemp">#REF!</definedName>
    <definedName name="______JAN99">#REF!</definedName>
    <definedName name="PASIRURUG">#REF!</definedName>
    <definedName name="asa">#REF!</definedName>
    <definedName name="DATA55">#REF!</definedName>
    <definedName name="Road_Maintenance">#REF!</definedName>
    <definedName name="bengalonytdcv">#REF!</definedName>
    <definedName name="D_B_TIMECAT_QDPEE">#REF!</definedName>
    <definedName name="I_B_TIMECAT_Q7WE">#REF!</definedName>
    <definedName name="MP_7123">#REF!</definedName>
    <definedName name="_20000lt_WT">#REF!</definedName>
    <definedName name="_ME09">#REF!</definedName>
    <definedName name="D_B_STATUS_EIE">#REF!</definedName>
    <definedName name="MP_311">#REF!</definedName>
    <definedName name="I_S_QTYLOADS_FG_FN">#REF!</definedName>
    <definedName name="__________________________________________________wwp2">#REF!</definedName>
    <definedName name="D_S_QTYLOADS_FX_ALL">#REF!</definedName>
    <definedName name="D_B_TIMECAT_Q_ALL">#REF!</definedName>
    <definedName name="D_Equipt_SQL2IMPS__ALL">#REF!</definedName>
    <definedName name="CFG_Engine_Result">#REF!</definedName>
    <definedName name="Month_Price">#REF!</definedName>
    <definedName name="OB_8">#REF!</definedName>
    <definedName name="cv">#REF!</definedName>
    <definedName name="I_X_STATUS_">#REF!</definedName>
    <definedName name="_____________________________________wwp1">#REF!</definedName>
    <definedName name="ads">#REF!</definedName>
    <definedName name="_ME31">#REF!</definedName>
    <definedName name="FORM714">#REF!</definedName>
    <definedName name="_______DEP11">#REF!</definedName>
    <definedName name="___________________________________________wwp2">#REF!</definedName>
    <definedName name="ㅇㄷ">#REF!</definedName>
    <definedName name="외화금액2">#REF!</definedName>
    <definedName name="vol_spt_slt">#REF!</definedName>
    <definedName name="우리기간">#REF!</definedName>
    <definedName name="KR2FW">#REF!</definedName>
    <definedName name="Depreciation_Method_9">#REF!</definedName>
    <definedName name="______________________________________________________________________________________________________________________________________________________g20616">#REF!</definedName>
    <definedName name="QualPinang">#REF!</definedName>
    <definedName name="______________________FEB99">#REF!</definedName>
    <definedName name="STD_var_pct">#REF!</definedName>
    <definedName name="November">#REF!</definedName>
    <definedName name="DATA112">#REF!</definedName>
    <definedName name="Categories">#REF!</definedName>
    <definedName name="D_B_TIMECAT_7QPE">#REF!</definedName>
    <definedName name="dfd">#REF!</definedName>
    <definedName name="___wk45">#REF!</definedName>
    <definedName name="________key2">#REF!</definedName>
    <definedName name="________________________________________________wwp1">#REF!</definedName>
    <definedName name="roto_north_thiess">#REF!</definedName>
    <definedName name="gm">#REF!</definedName>
    <definedName name="_ME28">#REF!</definedName>
    <definedName name="Scheduled_Monthly_Payment">#REF!</definedName>
    <definedName name="_MDE59">#REF!</definedName>
    <definedName name="I_B_TIMECAT_SE_FN">#REF!</definedName>
    <definedName name="InCoalHauling">#REF!</definedName>
    <definedName name="I_A_QTYLOADS_LSE_FN">#REF!</definedName>
    <definedName name="_MDE48">#REF!</definedName>
    <definedName name="I_S_QTYLOADS_QLP_FN">#REF!</definedName>
    <definedName name="I_A_TIMECAT_DEE_FN">#REF!</definedName>
    <definedName name="_DAT2">#REF!</definedName>
    <definedName name="_____________________BS01">#REF!</definedName>
    <definedName name="___________________________________________wwp1">#REF!</definedName>
    <definedName name="_541PK">#REF!</definedName>
    <definedName name="I_B_TIMECAT_ESWP_FN">#REF!</definedName>
    <definedName name="_421FA">#REF!</definedName>
    <definedName name="____________________________________b2">#REF!</definedName>
    <definedName name="Darlot_AUS">#REF!</definedName>
    <definedName name="D_Y_STATUS_QTR_ALL">#REF!</definedName>
    <definedName name="D_B_TRUCKCYCLES_DQ_ALL">#REF!</definedName>
    <definedName name="D_B_TIMECAT_QIW">#REF!</definedName>
    <definedName name="ACTIVITYCOAL">#REF!</definedName>
    <definedName name="_ME27">#REF!</definedName>
    <definedName name="_422PK">#REF!</definedName>
    <definedName name="I_B_STATUS_IQER_FN">#REF!</definedName>
    <definedName name="D_P_SQL2IMPS_">#REF!</definedName>
    <definedName name="_67">#REF!</definedName>
    <definedName name="_________________________DEP2">#REF!</definedName>
    <definedName name="latihan1">#REF!</definedName>
    <definedName name="전체예금액">#REF!</definedName>
    <definedName name="EX_414">#REF!</definedName>
    <definedName name="qTotWasteCon">#REF!</definedName>
    <definedName name="DATA_ASAL_6_1">#REF!</definedName>
    <definedName name="costing">#REF!</definedName>
    <definedName name="DbVar05">#REF!</definedName>
    <definedName name="I_D_TRUCKCYCLES_DRT">#REF!</definedName>
    <definedName name="BudgetRowOffset">#REF!</definedName>
    <definedName name="FORM771b">#REF!</definedName>
    <definedName name="data_rom">#REF!</definedName>
    <definedName name="PMS3FW">#REF!</definedName>
    <definedName name="PetrolPrice">#REF!</definedName>
    <definedName name="I_D_PLANS__FN">#REF!</definedName>
    <definedName name="Fportinv">#REF!</definedName>
    <definedName name="D_A_QTYLOADS_L">#REF!</definedName>
    <definedName name="payment_due">#REF!</definedName>
    <definedName name="I_B_TIMECAT_7QPE">#REF!</definedName>
    <definedName name="COSUBCO3">#REF!</definedName>
    <definedName name="pinnar">#REF!</definedName>
    <definedName name="Fsurob">#REF!</definedName>
    <definedName name="_12">#REF!</definedName>
    <definedName name="_844FA">#REF!</definedName>
    <definedName name="EqpList">#REF!</definedName>
    <definedName name="Series_COPAT___FP_4">#REF!</definedName>
    <definedName name="PLAN_8">#REF!</definedName>
    <definedName name="______key2">#REF!</definedName>
    <definedName name="Pdty_Loader">#REF!</definedName>
    <definedName name="_2A1_Z1...A10_Z10">#REF!</definedName>
    <definedName name="FS2D">#REF!</definedName>
    <definedName name="data1_5">#REF!</definedName>
    <definedName name="good">#REF!</definedName>
    <definedName name="pip">#REF!</definedName>
    <definedName name="_EEE04">#REF!</definedName>
    <definedName name="Leasing_from_PAMA">#REF!</definedName>
    <definedName name="___DAT8">#REF!</definedName>
    <definedName name="_REVCG">#REF!</definedName>
    <definedName name="StandarHours3_8">#REF!</definedName>
    <definedName name="ENAM">#REF!</definedName>
    <definedName name="D_B_STATUS_QHPE">#REF!</definedName>
    <definedName name="chtYmin_8">#REF!</definedName>
    <definedName name="D_A_QTYLOADS_DEEQL_ALL">#REF!</definedName>
    <definedName name="_______________________________________________________________________________________________________________________________g20616">#REF!</definedName>
    <definedName name="Cat14H">#REF!</definedName>
    <definedName name="I_B_STATUS_EIE_FN">#REF!</definedName>
    <definedName name="PLAN_MONTHLY_3">#REF!</definedName>
    <definedName name="_______________________________________________________________________________________________________________g20616">#REF!</definedName>
    <definedName name="kkkk">#REF!</definedName>
    <definedName name="Leasing_from_PAMA_8">#REF!</definedName>
    <definedName name="InConstructionWorks">#REF!</definedName>
    <definedName name="DELAY">#REF!</definedName>
    <definedName name="_ME37">#REF!</definedName>
    <definedName name="iiiRT">#REF!</definedName>
    <definedName name="Fempl910">#REF!</definedName>
    <definedName name="D_B_MATMOVED_DQEEL_ALL">#REF!</definedName>
    <definedName name="myChartType_9">#REF!</definedName>
    <definedName name="I_B_TIMECAT_QDPE">#REF!</definedName>
    <definedName name="ActualHaulC3">#REF!</definedName>
    <definedName name="FORM744">#REF!</definedName>
    <definedName name="tabel_travel_cpp">#REF!</definedName>
    <definedName name="SectionHead">#REF!</definedName>
    <definedName name="D_B_QTYLOADS_7KL">#REF!</definedName>
    <definedName name="ktm">#REF!</definedName>
    <definedName name="D_B_TIMECAT_EIWE">#REF!</definedName>
    <definedName name="___________________________________wwp2">#REF!</definedName>
    <definedName name="_________MGM2">#REF!</definedName>
    <definedName name="nmUCL_9">#REF!</definedName>
    <definedName name="________________________________________________wwp2">#REF!</definedName>
    <definedName name="test_4">#REF!</definedName>
    <definedName name="Savgprice">#REF!</definedName>
    <definedName name="I_B_TIMECAT_D">#REF!</definedName>
    <definedName name="FORM423">#REF!</definedName>
    <definedName name="DIST_6_1">#REF!</definedName>
    <definedName name="동양원화3">#REF!</definedName>
    <definedName name="_MDE04">#REF!</definedName>
    <definedName name="____________________________________APR99">#REF!</definedName>
    <definedName name="Series_Leverage_6">#REF!</definedName>
    <definedName name="HO">#REF!</definedName>
    <definedName name="THREEWHEELROLLER">#REF!</definedName>
    <definedName name="adsfs">#REF!</definedName>
    <definedName name="I_S_QTYLOADS_S_FN">#REF!</definedName>
    <definedName name="D_A_TIMECAT_DEE">#REF!</definedName>
    <definedName name="PROFIT___LOSS_SUMMARY">#REF!</definedName>
    <definedName name="_ME12">#REF!</definedName>
    <definedName name="LOAD_COAL">#REF!</definedName>
    <definedName name="I_B_QTYLOADS_DPTL_FN">#REF!</definedName>
    <definedName name="Rutin_1a">#REF!</definedName>
    <definedName name="_MDE58">#REF!</definedName>
    <definedName name="I_B_TIMECAT_Q7WP">#REF!</definedName>
    <definedName name="I_B_QTYLOADS_DTL">#REF!</definedName>
    <definedName name="_MMM28">#REF!</definedName>
    <definedName name="StandarHours29">#REF!</definedName>
    <definedName name="qPinangConv">#REF!</definedName>
    <definedName name="D_B_QTYLOADS_IRPL">#REF!</definedName>
    <definedName name="_DIV8">#REF!</definedName>
    <definedName name="D_P_SQL2IMPS__ALL">#REF!</definedName>
    <definedName name="ge">#REF!</definedName>
    <definedName name="dd03_tab">#REF!</definedName>
    <definedName name="URAIAN66PERATA">#REF!</definedName>
    <definedName name="BULAN">#REF!</definedName>
    <definedName name="new_rates">#REF!</definedName>
    <definedName name="D_B_TIMECAT_QHDP_ALL">#REF!</definedName>
    <definedName name="______________________________________________wwp2">#REF!</definedName>
    <definedName name="제일원화금리2">#REF!</definedName>
    <definedName name="prior_yr">#REF!</definedName>
    <definedName name="D_B_QTYLOADS_DKL_ALL">#REF!</definedName>
    <definedName name="FS1C">#REF!</definedName>
    <definedName name="I_B_STATUS_SQ">#REF!</definedName>
    <definedName name="_MDE64">#REF!</definedName>
    <definedName name="StandarHours_9">#REF!</definedName>
    <definedName name="T_Ref">#REF!</definedName>
    <definedName name="LnOPRF0">#REF!</definedName>
    <definedName name="Sensitivity_Coal_Haulage_9">#REF!</definedName>
    <definedName name="_______________________________DEP22">#REF!</definedName>
    <definedName name="D_B_STATUS_SER">#REF!</definedName>
    <definedName name="D_B_QTYLOADS_IKPL">#REF!</definedName>
    <definedName name="___CHA1100">#REF!</definedName>
    <definedName name="S_PN3">#REF!</definedName>
    <definedName name="_______________APR99">#REF!</definedName>
    <definedName name="hggfg">#REF!</definedName>
    <definedName name="OP_2">#REF!</definedName>
    <definedName name="FDP_46_1_aUrv">#REF!</definedName>
    <definedName name="D_B_TIMECAT_ESEQMT_DEPT">#REF!</definedName>
    <definedName name="BaseList">#REF!</definedName>
    <definedName name="_MDE45">#REF!</definedName>
    <definedName name="D_S_QTYLOADS__ALL">#REF!</definedName>
    <definedName name="BUDI32">#REF!</definedName>
    <definedName name="I_B_STATUS_EDPEE">#REF!</definedName>
    <definedName name="MP_635">#REF!</definedName>
    <definedName name="경남원화금리1">#REF!</definedName>
    <definedName name="_MU540476">#REF!</definedName>
    <definedName name="StandarHours10_9">#REF!</definedName>
    <definedName name="gf">#REF!</definedName>
    <definedName name="Fabcm">#REF!</definedName>
    <definedName name="FDP_125_1_aUrv">#REF!</definedName>
    <definedName name="D_Owner_SQL2IMPS_">#REF!</definedName>
    <definedName name="D_B_STATUS_7QER">#REF!</definedName>
    <definedName name="BAL_8">#REF!</definedName>
    <definedName name="금">#REF!</definedName>
    <definedName name="Tcf">#REF!</definedName>
    <definedName name="stlprim">#REF!</definedName>
    <definedName name="Print_Area_MI_8">#REF!</definedName>
    <definedName name="DATA122">#REF!</definedName>
    <definedName name="_tot1">#REF!</definedName>
    <definedName name="D_B_MATMOVED_DEQL">#REF!</definedName>
    <definedName name="D_B_STATUS_QDPE_ALL">#REF!</definedName>
    <definedName name="I_B_TIMECAT_QHP_FN">#REF!</definedName>
    <definedName name="AreKaltim">#REF!</definedName>
    <definedName name="EX_411">#REF!</definedName>
    <definedName name="ACwvu.KJP_CC.">#REF!</definedName>
    <definedName name="_10BS01_">#REF!</definedName>
    <definedName name="I_B_LOADER_Q">#REF!</definedName>
    <definedName name="__4Excel_BuiltIn_Print_Titles_1">#REF!</definedName>
    <definedName name="forecast_9">#REF!</definedName>
    <definedName name="우리원화금리4">#REF!</definedName>
    <definedName name="D_S_IQTYLOADS_E">#REF!</definedName>
    <definedName name="_MDE63">#REF!</definedName>
    <definedName name="I_M_QTYLOADS_DRWPEEL_FN">#REF!</definedName>
    <definedName name="nugeraha">#REF!</definedName>
    <definedName name="TIGA">#REF!</definedName>
    <definedName name="I_B_TIMECAT_QWPE_FN">#REF!</definedName>
    <definedName name="ExchRate">#REF!</definedName>
    <definedName name="BALANCE06">#REF!</definedName>
    <definedName name="Objective">#REF!</definedName>
    <definedName name="coal_adj">#REF!</definedName>
    <definedName name="Favgprice">#REF!</definedName>
    <definedName name="ID_2023">#REF!</definedName>
    <definedName name="______________________________________________g20616">#REF!</definedName>
    <definedName name="____g20616">#REF!</definedName>
    <definedName name="hCat785Tot">#REF!</definedName>
    <definedName name="Promotion">#REF!</definedName>
    <definedName name="I_B_STATUS_E7">#REF!</definedName>
    <definedName name="Excel_BuiltIn__FilterDatabase_2">#REF!</definedName>
    <definedName name="DATA37">#REF!</definedName>
    <definedName name="PORTTIA">#REF!</definedName>
    <definedName name="D_C_SQL2MMS__ALL">#REF!</definedName>
    <definedName name="____wwp2">#REF!</definedName>
    <definedName name="Apr_98">#REF!</definedName>
    <definedName name="_DEC98">#REF!</definedName>
    <definedName name="pinangytdtm">#REF!</definedName>
    <definedName name="kjg">#REF!</definedName>
    <definedName name="JUN">#REF!</definedName>
    <definedName name="WEEKLY4">#REF!</definedName>
    <definedName name="_">#REF!</definedName>
    <definedName name="I_Y2_PLANS_7_FN">#REF!</definedName>
    <definedName name="FDP_23_1_aUrv">#REF!</definedName>
    <definedName name="Pempl100">#REF!</definedName>
    <definedName name="I_B_STATUS_DQ">#REF!</definedName>
    <definedName name="MENUD3F">#REF!</definedName>
    <definedName name="JNL_OREMVT">#REF!</definedName>
    <definedName name="ghfgdfg">#REF!</definedName>
    <definedName name="_______________DEP2">#REF!</definedName>
    <definedName name="D_A_QTYLOADS_DQPEEL">#REF!</definedName>
    <definedName name="_____________g20616">#REF!</definedName>
    <definedName name="______________________________________________________________g20616">#REF!</definedName>
    <definedName name="I_M_TIMECAT__FN">#REF!</definedName>
    <definedName name="PLAN_MONTHLY_20">#REF!</definedName>
    <definedName name="DATA71">#REF!</definedName>
    <definedName name="TIREROLLER">#REF!</definedName>
    <definedName name="_LLL10">#REF!</definedName>
    <definedName name="QTY_PRO">#REF!</definedName>
    <definedName name="D_B_TIMECAT_EDE_ALL">#REF!</definedName>
    <definedName name="D_B_QTYLOADS_DPTTL">#REF!</definedName>
    <definedName name="Hourly">#REF!</definedName>
    <definedName name="PLAN_MONTHLY_16">#REF!</definedName>
    <definedName name="I_B_TRUCKCYCLES_E_FN">#REF!</definedName>
    <definedName name="___________wk45">#REF!</definedName>
    <definedName name="Series_Leverage">#REF!</definedName>
    <definedName name="I_C_SQL2MMS_">#REF!</definedName>
    <definedName name="Series_Current_Ratio_6">#REF!</definedName>
    <definedName name="uio">#REF!</definedName>
    <definedName name="DESEMBER">#REF!</definedName>
    <definedName name="_________________dep1">#REF!</definedName>
    <definedName name="LIST_9">#REF!</definedName>
    <definedName name="grandpinton">#REF!</definedName>
    <definedName name="I_A_TIMECAT_DEP_FN">#REF!</definedName>
    <definedName name="ShiftID">#REF!</definedName>
    <definedName name="I_B_QTYLOADS_IRL">#REF!</definedName>
    <definedName name="FDP_36_1_aUrv">#REF!</definedName>
    <definedName name="DIST">#REF!</definedName>
    <definedName name="______________DEP11">#REF!</definedName>
    <definedName name="SHETTTTTTT">#REF!</definedName>
    <definedName name="INCOME04">#REF!</definedName>
    <definedName name="I_A_TIMECAT_IQ_FN">#REF!</definedName>
    <definedName name="ket_8">#REF!</definedName>
    <definedName name="__________________________________________________________________g20616">#REF!</definedName>
    <definedName name="D_B_TIMECAT_ESE">#REF!</definedName>
    <definedName name="DDSD">#REF!</definedName>
    <definedName name="D_D_QTYLOADS_SQL">#REF!</definedName>
    <definedName name="I_B_TRUCKCYCLES_RWT_FN">#REF!</definedName>
    <definedName name="D_S_TIMECAT_Q">#REF!</definedName>
    <definedName name="I_A_QTYLOADS_IEPL_FN">#REF!</definedName>
    <definedName name="I_B_QTYLOADS_RL">#REF!</definedName>
    <definedName name="Jonggon2">#REF!</definedName>
    <definedName name="nmL2s_5">#REF!</definedName>
    <definedName name="STREET_DATE_RANGE">#REF!</definedName>
    <definedName name="________________________MGM1">#REF!</definedName>
    <definedName name="ORE">#REF!</definedName>
    <definedName name="series_llllll_8">#REF!</definedName>
    <definedName name="ExchageCode">#REF!</definedName>
    <definedName name="FDP_18_1_aUrv">#REF!</definedName>
    <definedName name="우리원화2">#REF!</definedName>
    <definedName name="D_B_TIMECAT_DQEE_ALL">#REF!</definedName>
    <definedName name="SEAM_STA_head">#REF!</definedName>
    <definedName name="D_B_STATUS_IQE_ALL">#REF!</definedName>
    <definedName name="Cur_Mnth_Source">#REF!</definedName>
    <definedName name="SequenceV">#REF!</definedName>
    <definedName name="forecast_5">#REF!</definedName>
    <definedName name="aassa">#REF!</definedName>
    <definedName name="I_B_TIMECAT_EDW_FN">#REF!</definedName>
    <definedName name="I_B_TIMECAT_EDE">#REF!</definedName>
    <definedName name="Excel_BuiltIn__FilterDatabase_11">#REF!</definedName>
    <definedName name="_______________DEC98">#REF!</definedName>
    <definedName name="DiscRateMed">#REF!</definedName>
    <definedName name="___________________________________MAR99">#REF!</definedName>
    <definedName name="Series_WI___Sales_4">#REF!</definedName>
    <definedName name="D_B_LOADER_SE_ALL">#REF!</definedName>
    <definedName name="I_A_STATUS_DWPEER_FN">#REF!</definedName>
    <definedName name="국민원화3">#REF!</definedName>
    <definedName name="EX_410">#REF!</definedName>
    <definedName name="D_B_LOADER_DQR_ALL">#REF!</definedName>
    <definedName name="TITLES_RANGE_INPUT">#REF!</definedName>
    <definedName name="I_B_MATMOVED_DEEQL_FN">#REF!</definedName>
    <definedName name="기업원화1">#REF!</definedName>
    <definedName name="specs">#REF!</definedName>
    <definedName name="___b2">#REF!</definedName>
    <definedName name="SPEMBA">#REF!</definedName>
    <definedName name="______b2">#REF!</definedName>
    <definedName name="I_B_TIMECAT_QPE">#REF!</definedName>
    <definedName name="____________________________dep1">#REF!</definedName>
    <definedName name="_842FA">#REF!</definedName>
    <definedName name="I_B_STATUS_ED_FN">#REF!</definedName>
    <definedName name="WH_MTD">#REF!</definedName>
    <definedName name="MaterialDesc">#REF!</definedName>
    <definedName name="mySource_9">#REF!</definedName>
    <definedName name="ConvertGroup">#REF!</definedName>
    <definedName name="required_3">#REF!</definedName>
    <definedName name="MENUD8U">#REF!</definedName>
    <definedName name="D_B_TIMECAT_QSP_ALL">#REF!</definedName>
    <definedName name="____________________________DEP22">#REF!</definedName>
    <definedName name="Date_4">#REF!</definedName>
    <definedName name="I_B_TIMECAT_QIWE_FN">#REF!</definedName>
    <definedName name="BCP">#REF!</definedName>
    <definedName name="Zero_Accident">#REF!</definedName>
    <definedName name="_______________________BS01">#REF!</definedName>
    <definedName name="DATA127">#REF!</definedName>
    <definedName name="___wwp1">#REF!</definedName>
    <definedName name="__________________________MAY99">#REF!</definedName>
    <definedName name="PA_ADT">#REF!</definedName>
    <definedName name="I_A_STATUS_QR">#REF!</definedName>
    <definedName name="DIST_1_1">#REF!</definedName>
    <definedName name="EEE09REV1">#REF!</definedName>
    <definedName name="weekly_mei">#REF!</definedName>
    <definedName name="daerah_asal">#REF!</definedName>
    <definedName name="D_B_TIMECAT_QPE_ALL">#REF!</definedName>
    <definedName name="akk">#REF!</definedName>
    <definedName name="_____________________________2_MASTER_SUMMARY_YEARLY">#REF!</definedName>
    <definedName name="DATA107">#REF!</definedName>
    <definedName name="FORM623">#REF!</definedName>
    <definedName name="Equipment_Number">#REF!</definedName>
    <definedName name="_ME55">#REF!</definedName>
    <definedName name="D_B_STATUS_Q7E_ALL">#REF!</definedName>
    <definedName name="PLAN_PA_AGUSTUS">#REF!</definedName>
    <definedName name="D_B_STATUS_DQR">#REF!</definedName>
    <definedName name="RPORT">#REF!</definedName>
    <definedName name="MP_819">#REF!</definedName>
    <definedName name="LnSCR0">#REF!</definedName>
    <definedName name="FDP_121_1_aUrv">#REF!</definedName>
    <definedName name="data_coal">#REF!</definedName>
    <definedName name="하나원화금리1">#REF!</definedName>
    <definedName name="hours">#REF!</definedName>
    <definedName name="mar_sales">#REF!</definedName>
    <definedName name="totaladr">#REF!</definedName>
    <definedName name="URAIAN21">#REF!</definedName>
    <definedName name="_1A1_Z1...A10_Z10">#REF!</definedName>
    <definedName name="StandarHours19_8">#REF!</definedName>
    <definedName name="jo_8">#REF!</definedName>
    <definedName name="Sdifr">#REF!</definedName>
    <definedName name="OBWEEKLY">#REF!</definedName>
    <definedName name="Category_9">#REF!</definedName>
    <definedName name="vsvsvs">#REF!</definedName>
    <definedName name="FD">#REF!</definedName>
    <definedName name="BUDI24">#REF!</definedName>
    <definedName name="Series_Sales_Growth_8">#REF!</definedName>
    <definedName name="FORM66PERMUKAAN">#REF!</definedName>
    <definedName name="Rutin_1b">#REF!</definedName>
    <definedName name="Pkpcls">#REF!</definedName>
    <definedName name="INK_PAINT_MUST_START">#REF!</definedName>
    <definedName name="Coal2">#REF!</definedName>
    <definedName name="I_B_QTYLOADS_7RL_FN">#REF!</definedName>
    <definedName name="B703BBC">#REF!</definedName>
    <definedName name="tya">#REF!</definedName>
    <definedName name="chtYmax_5">#REF!</definedName>
    <definedName name="ADK">#REF!</definedName>
    <definedName name="I_B_TIMECAT_DQE_FN">#REF!</definedName>
    <definedName name="I_Y2_PLANS_">#REF!</definedName>
    <definedName name="GeolLoss">#REF!</definedName>
    <definedName name="Data_Plan_11">#REF!</definedName>
    <definedName name="sales1_5">#REF!</definedName>
    <definedName name="FuelTransport">#REF!</definedName>
    <definedName name="D_S_QTYDUMPS_E_ALL">#REF!</definedName>
    <definedName name="_EEE05">#REF!</definedName>
    <definedName name="I_A_QTYLOADS_SWL">#REF!</definedName>
    <definedName name="UPAH6">#REF!</definedName>
    <definedName name="MEROKOK">#REF!</definedName>
    <definedName name="________________________________________________g20616">#REF!</definedName>
    <definedName name="I_A_QTYLOADS_DRL">#REF!</definedName>
    <definedName name="I_B_TIMECAT_SQWE">#REF!</definedName>
    <definedName name="______________________________________________________wwp2">#REF!</definedName>
    <definedName name="DIST_4">#REF!</definedName>
    <definedName name="I_B_TIMECAT_ESEQMT_DEPT">#REF!</definedName>
    <definedName name="URAIAN642">#REF!</definedName>
    <definedName name="Explosive_Usages_8">#REF!</definedName>
    <definedName name="_Fap785">#REF!</definedName>
    <definedName name="D_A_QTYLOADS_SEL">#REF!</definedName>
    <definedName name="NT_BA">#REF!</definedName>
    <definedName name="I_B_TIMECAT_Q7E">#REF!</definedName>
    <definedName name="_____________________________________MAY99">#REF!</definedName>
    <definedName name="___________________________________DEP2">#REF!</definedName>
    <definedName name="DATAKU12">#REF!</definedName>
    <definedName name="COALW">#REF!</definedName>
    <definedName name="I_B_TIMECAT_EDE_FN">#REF!</definedName>
    <definedName name="_ME24">#REF!</definedName>
    <definedName name="D_B_TIMECAT_ED">#REF!</definedName>
    <definedName name="list01">#REF!</definedName>
    <definedName name="chtYmajor_8">#REF!</definedName>
    <definedName name="D_1">#REF!</definedName>
    <definedName name="_21__123Graph_BCHART_2">#REF!</definedName>
    <definedName name="RUMUS1">#REF!</definedName>
    <definedName name="datakk1">#REF!</definedName>
    <definedName name="______RD3">#REF!</definedName>
    <definedName name="Month_To_Date_Actual_Ton">#REF!</definedName>
    <definedName name="Seam_H2">#REF!</definedName>
    <definedName name="NA_PERS">#REF!</definedName>
    <definedName name="Tnpat">#REF!</definedName>
    <definedName name="D_B_TIMECAT_QDHP">#REF!</definedName>
    <definedName name="D_M_TIMECAT_Q">#REF!</definedName>
    <definedName name="____________________________b1">#REF!</definedName>
    <definedName name="D_B_STATUS_IQER_ALL">#REF!</definedName>
    <definedName name="_________________________________dep1">#REF!</definedName>
    <definedName name="Bintang">#REF!</definedName>
    <definedName name="_622FA">#REF!</definedName>
    <definedName name="_____FEB99">#REF!</definedName>
    <definedName name="_______________wwp1">#REF!</definedName>
    <definedName name="D_S_MatMoved_FX_ALL">#REF!</definedName>
    <definedName name="_Tax2">#REF!</definedName>
    <definedName name="Pdifr">#REF!</definedName>
    <definedName name="XRefCopy5Row">#REF!</definedName>
    <definedName name="DUA">#REF!</definedName>
    <definedName name="I_B_TIMECAT_QSEE_FN">#REF!</definedName>
    <definedName name="_____DEP11">#REF!</definedName>
    <definedName name="PLAN_MONTHLY_13">#REF!</definedName>
    <definedName name="I_S_QTYLOADS_SL_FN">#REF!</definedName>
    <definedName name="D_B_TIMECAT_E7">#REF!</definedName>
    <definedName name="Graphic">#REF!</definedName>
    <definedName name="Other_P_Area">#REF!</definedName>
    <definedName name="months_yr">#REF!</definedName>
    <definedName name="in">#REF!</definedName>
    <definedName name="DATA_ASAL_20">#REF!</definedName>
    <definedName name="_________________MAR99">#REF!</definedName>
    <definedName name="________________________________JAN99">#REF!</definedName>
    <definedName name="_________________________________MGM1">#REF!</definedName>
    <definedName name="제일원화3">#REF!</definedName>
    <definedName name="VOLV09">#REF!</definedName>
    <definedName name="I_A_QTYLOADS_7L_FN">#REF!</definedName>
    <definedName name="nama41">#REF!</definedName>
    <definedName name="SEGMENTED">#REF!</definedName>
    <definedName name="____________________b2">#REF!</definedName>
    <definedName name="abb_5">#REF!</definedName>
    <definedName name="chtYmax_8">#REF!</definedName>
    <definedName name="D_B_QTYLOADS_KPL">#REF!</definedName>
    <definedName name="brand">#REF!</definedName>
    <definedName name="SAMO">#REF!</definedName>
    <definedName name="DATA82">#REF!</definedName>
    <definedName name="kjsdhsadgw">#REF!</definedName>
    <definedName name="SMU_Loader">#REF!</definedName>
    <definedName name="SeriesA_5">#REF!</definedName>
    <definedName name="Fax">#REF!</definedName>
    <definedName name="STATUS3">#REF!</definedName>
    <definedName name="driver1">#REF!</definedName>
    <definedName name="_____________________________________b2">#REF!</definedName>
    <definedName name="_MMM47">#REF!</definedName>
    <definedName name="I_B_MATMOVED_QSE">#REF!</definedName>
    <definedName name="URAIAN242">#REF!</definedName>
    <definedName name="I_A_TIMECAT_DEP">#REF!</definedName>
    <definedName name="JML_TK2">#REF!</definedName>
    <definedName name="I_B_LOADER_DE_FN">#REF!</definedName>
    <definedName name="TEST2">#REF!</definedName>
    <definedName name="D_D_TRUCKCYCLES_SK">#REF!</definedName>
    <definedName name="_____________________________________________wwp2">#REF!</definedName>
    <definedName name="I_B_MATMOVED_DEPL_FN">#REF!</definedName>
    <definedName name="prodty">#REF!</definedName>
    <definedName name="I_MQ_PLANS__FN">#REF!</definedName>
    <definedName name="Series_Leverage_4">#REF!</definedName>
    <definedName name="I_B_STATUS_QE">#REF!</definedName>
    <definedName name="D_S_TIMECAT_">#REF!</definedName>
    <definedName name="_ME33">#REF!</definedName>
    <definedName name="MP_321">#REF!</definedName>
    <definedName name="_Pap785">#REF!</definedName>
    <definedName name="___________________RP1">#REF!</definedName>
    <definedName name="Rutin_5b">#REF!</definedName>
    <definedName name="I_S_QTYLOADS_">#REF!</definedName>
    <definedName name="K">#REF!</definedName>
    <definedName name="______________________________b1">#REF!</definedName>
    <definedName name="D_R_TRUCKCYCLES_SK">#REF!</definedName>
    <definedName name="asmo8">#REF!</definedName>
    <definedName name="_813PK">#REF!</definedName>
    <definedName name="_MOB1">#REF!</definedName>
    <definedName name="_EEE24">#REF!</definedName>
    <definedName name="_____________________________________________________________________________________________________________g20616">#REF!</definedName>
    <definedName name="_ME39">#REF!</definedName>
    <definedName name="Excel_BuiltIn__FilterDatabase_5_1">#REF!</definedName>
    <definedName name="Day_Hour">#REF!</definedName>
    <definedName name="Product">#REF!</definedName>
    <definedName name="______BS01">#REF!</definedName>
    <definedName name="__________________________b2">#REF!</definedName>
    <definedName name="UnitProd">#REF!</definedName>
    <definedName name="FORM771a">#REF!</definedName>
    <definedName name="_633PK">#REF!</definedName>
    <definedName name="produksi">#REF!</definedName>
    <definedName name="JML_TK5">#REF!</definedName>
    <definedName name="__________________________________MGM2">#REF!</definedName>
    <definedName name="qLowEffortAreaKPC">#REF!</definedName>
    <definedName name="EXCA_COAL">#REF!</definedName>
    <definedName name="___________________________________APR99">#REF!</definedName>
    <definedName name="_MDE08">#REF!</definedName>
    <definedName name="FORM733">#REF!</definedName>
    <definedName name="___DAT3">#REF!</definedName>
    <definedName name="coal_type">#REF!</definedName>
    <definedName name="FORM314">#REF!</definedName>
    <definedName name="PLAN_MTD">#REF!</definedName>
    <definedName name="pinangts">#REF!</definedName>
    <definedName name="AddCategory">#REF!</definedName>
    <definedName name="I_B_TIMECAT_EIW_FN">#REF!</definedName>
    <definedName name="FORM7613b">#REF!</definedName>
    <definedName name="C_5">#REF!</definedName>
    <definedName name="STATUS9">#REF!</definedName>
    <definedName name="Tabel">#REF!</definedName>
    <definedName name="LIST_8">#REF!</definedName>
    <definedName name="bernat">#REF!</definedName>
    <definedName name="__________APR99">#REF!</definedName>
    <definedName name="경남원화금리2">#REF!</definedName>
    <definedName name="PRODTY_COAL">#REF!</definedName>
    <definedName name="sfwefq">#REF!</definedName>
    <definedName name="Tnetback">#REF!</definedName>
    <definedName name="PartName">#REF!</definedName>
    <definedName name="Fnetback">#REF!</definedName>
    <definedName name="D_B_TIMECAT_Q7W_ALL">#REF!</definedName>
    <definedName name="I_S_QTYLOADS_E">#REF!</definedName>
    <definedName name="D_A_QTYLOADS_DPEL_ALL">#REF!</definedName>
    <definedName name="CGMT">#REF!</definedName>
    <definedName name="PTY_EX">#REF!</definedName>
    <definedName name="I_S_QTYLOADS_P">#REF!</definedName>
    <definedName name="KUANTITAS">#REF!</definedName>
    <definedName name="DATA101">#REF!</definedName>
    <definedName name="dpr">#REF!</definedName>
    <definedName name="_____KPC4">#REF!</definedName>
    <definedName name="COAL01">#REF!</definedName>
    <definedName name="E_1">#REF!</definedName>
    <definedName name="Data_Plan_8">#REF!</definedName>
    <definedName name="I_B_QTYLOADS_DKPL">#REF!</definedName>
    <definedName name="I_B_MATMOVED_L">#REF!</definedName>
    <definedName name="_____________________APR99">#REF!</definedName>
    <definedName name="sale_total">#REF!</definedName>
    <definedName name="D_B_TIMECAT_QDSP_ALL">#REF!</definedName>
    <definedName name="I_B_TIMECAT_Q7_FN">#REF!</definedName>
    <definedName name="StandarHours8">#REF!</definedName>
    <definedName name="D_Eqtype_SQL2IMPS__ALL">#REF!</definedName>
    <definedName name="____________________________________MGM2">#REF!</definedName>
    <definedName name="D_A_TIMECAT_DQ_ALL">#REF!</definedName>
    <definedName name="Uraian845">#REF!</definedName>
    <definedName name="I_S_QTYLOADS_RLT_FN">#REF!</definedName>
    <definedName name="_5b1_">#REF!</definedName>
    <definedName name="hEx1800WstTot">#REF!</definedName>
    <definedName name="T">#REF!</definedName>
    <definedName name="기업이자">#REF!</definedName>
    <definedName name="___DAT10">#REF!</definedName>
    <definedName name="D_S_QTYLOADS_FG_ALL">#REF!</definedName>
    <definedName name="_JGN12">#REF!</definedName>
    <definedName name="D_A_TIMECAT_EEQMT_DEPT">#REF!</definedName>
    <definedName name="BUDI23">#REF!</definedName>
    <definedName name="D_B_LOADER_QWE">#REF!</definedName>
    <definedName name="_old">#REF!</definedName>
    <definedName name="________________________________b2">#REF!</definedName>
    <definedName name="D_B_QTYLOADS_DKPL">#REF!</definedName>
    <definedName name="DATA78">#REF!</definedName>
    <definedName name="D_A_QTYLOADS_DQL">#REF!</definedName>
    <definedName name="I_Y_TIMECAT_E">#REF!</definedName>
    <definedName name="_754FA">#REF!</definedName>
    <definedName name="D_B_TIMECAT_ESWP_ALL">#REF!</definedName>
    <definedName name="Excel_BuiltIn__FilterDatabase_11_1_1_1">#REF!</definedName>
    <definedName name="GHE">#REF!</definedName>
    <definedName name="D_B_TIMECAT_QWPE_ALL">#REF!</definedName>
    <definedName name="____LA500">#REF!</definedName>
    <definedName name="_______________________________________________________________wwp2">#REF!</definedName>
    <definedName name="CGNIGHT">#REF!</definedName>
    <definedName name="RATE">#REF!</definedName>
    <definedName name="DIA">#REF!</definedName>
    <definedName name="_dep1">#REF!</definedName>
    <definedName name="DET_PTY_PROB">#REF!</definedName>
    <definedName name="EKA_8">#REF!</definedName>
    <definedName name="ooRM">#REF!</definedName>
    <definedName name="_RUM6">#REF!</definedName>
    <definedName name="_DAT15">#REF!</definedName>
    <definedName name="D_B_QTYLOADS_DL">#REF!</definedName>
    <definedName name="I_B_SQL2IMPS__FN">#REF!</definedName>
    <definedName name="VOLV04">#REF!</definedName>
    <definedName name="우리원화4">#REF!</definedName>
    <definedName name="____________RP1">#REF!</definedName>
    <definedName name="Fuel_Provided">#REF!</definedName>
    <definedName name="Print_1">#REF!</definedName>
    <definedName name="_____________________________MGM1">#REF!</definedName>
    <definedName name="I_B_STATUS_QDE">#REF!</definedName>
    <definedName name="DATA111">#REF!</definedName>
    <definedName name="I_B_SQL2MMS_">#REF!</definedName>
    <definedName name="OTI">#REF!</definedName>
    <definedName name="cancel">#REF!</definedName>
    <definedName name="NS_PN2">#REF!</definedName>
    <definedName name="D_B_TIMECAT_QP">#REF!</definedName>
    <definedName name="COSUBOB4">#REF!</definedName>
    <definedName name="__Tax3">#REF!</definedName>
    <definedName name="WQQWE2">#REF!</definedName>
    <definedName name="C_1">#REF!</definedName>
    <definedName name="I_B_TIMECAT_EDWE">#REF!</definedName>
    <definedName name="I_B_STATUS_DQWR_FN">#REF!</definedName>
    <definedName name="FDP_26_1_aUrv">#REF!</definedName>
    <definedName name="Pkpccont">#REF!</definedName>
    <definedName name="_MU541748">#REF!</definedName>
    <definedName name="Absen">#REF!</definedName>
    <definedName name="FuelPublish">#REF!</definedName>
    <definedName name="ADG">#REF!</definedName>
    <definedName name="D_Eqtype_SQL2MMS__ALL">#REF!</definedName>
    <definedName name="_______LA1000">#REF!</definedName>
    <definedName name="delta">#REF!</definedName>
    <definedName name="repweek">#REF!</definedName>
    <definedName name="Graders">#REF!</definedName>
    <definedName name="_____________________MGM1">#REF!</definedName>
    <definedName name="stunprim">#REF!</definedName>
    <definedName name="Buma_C">#REF!</definedName>
    <definedName name="mySource_8">#REF!</definedName>
    <definedName name="_PC1100">#REF!</definedName>
    <definedName name="INCOME05">#REF!</definedName>
    <definedName name="FDP_31_1_aUrv">#REF!</definedName>
    <definedName name="ACwvu.CapersView.">#REF!</definedName>
    <definedName name="___________________b1">#REF!</definedName>
    <definedName name="MEMEY">#REF!</definedName>
    <definedName name="_EEE17">#REF!</definedName>
    <definedName name="___________________________________________DEP2">#REF!</definedName>
    <definedName name="I_B_TIMECAT_EIWE">#REF!</definedName>
    <definedName name="DATA66">#REF!</definedName>
    <definedName name="Ref_No">#REF!</definedName>
    <definedName name="________________________________________________________________g20616">#REF!</definedName>
    <definedName name="I_D_SQL2MMS_">#REF!</definedName>
    <definedName name="______________________________________MAR99">#REF!</definedName>
    <definedName name="_2b2_">#REF!</definedName>
    <definedName name="____________________________________________________________________________________________________________________________________________g20616">#REF!</definedName>
    <definedName name="D_A_QTYLOADS_EPL_ALL">#REF!</definedName>
    <definedName name="Trehab">#REF!</definedName>
    <definedName name="D_B_TIMECAT_EDW">#REF!</definedName>
    <definedName name="LAINLAIN">#REF!</definedName>
    <definedName name="pingj">#REF!</definedName>
    <definedName name="D_A_TIMECAT_DWPEE">#REF!</definedName>
    <definedName name="GANT_DATE_RANGE">#REF!</definedName>
    <definedName name="MP_812">#REF!</definedName>
    <definedName name="Category_8">#REF!</definedName>
    <definedName name="Coalbrand">#REF!</definedName>
    <definedName name="XREF_COLUMN_7">#REF!</definedName>
    <definedName name="Seam_H1_head">#REF!</definedName>
    <definedName name="Snetback">#REF!</definedName>
    <definedName name="LnADMS0">#REF!</definedName>
    <definedName name="cr_plan_week_44_plan">#REF!</definedName>
    <definedName name="Fcf">#REF!</definedName>
    <definedName name="______DEP22">#REF!</definedName>
    <definedName name="_____________________________________________________________________________________________________________________________________________________g20616">#REF!</definedName>
    <definedName name="___________________________________________________________wwp2">#REF!</definedName>
    <definedName name="Series_NPAUI_Sales">#REF!</definedName>
    <definedName name="D_B_TIMECAT_7Q_ALL">#REF!</definedName>
    <definedName name="__________________________________dep1">#REF!</definedName>
    <definedName name="I_B_TIMECAT_E7W_FN">#REF!</definedName>
    <definedName name="D_B_TIMECAT_QS">#REF!</definedName>
    <definedName name="신한원화금리4">#REF!</definedName>
    <definedName name="Z_9A428CE1_B4D9_11D0_A8AA_0000C071AEE7_.wvu.PrintArea">#REF!</definedName>
    <definedName name="Pempl500">#REF!</definedName>
    <definedName name="D_B_TIMECAT_DQ">#REF!</definedName>
    <definedName name="D_B_STATUS_Q7">#REF!</definedName>
    <definedName name="FULVIMIXER">#REF!</definedName>
    <definedName name="D_B_TIMECAT_QSP">#REF!</definedName>
    <definedName name="S_TYPE">#REF!</definedName>
    <definedName name="_MU541755">#REF!</definedName>
    <definedName name="cdd">#REF!</definedName>
    <definedName name="I_A_QTYLOADS_DPEEL">#REF!</definedName>
    <definedName name="Excel_BuiltIn__FilterDatabase_16">#REF!</definedName>
    <definedName name="ShowProductB">#REF!</definedName>
    <definedName name="employee">#REF!</definedName>
    <definedName name="JNL_GIDJI_ALLOCN">#REF!</definedName>
    <definedName name="__w1">#REF!</definedName>
    <definedName name="SO">#REF!</definedName>
    <definedName name="___________dep1">#REF!</definedName>
    <definedName name="six">#REF!</definedName>
    <definedName name="MP_66">#REF!</definedName>
    <definedName name="KR2BW">#REF!</definedName>
    <definedName name="DAILY_FR">#REF!</definedName>
    <definedName name="I_YC_LOADER_E">#REF!</definedName>
    <definedName name="Cwvu.Japan_Capers_Ed_Pub.">#REF!</definedName>
    <definedName name="_Stl785">#REF!</definedName>
    <definedName name="DbRental">#REF!</definedName>
    <definedName name="I_A_TIMECAT_SQE">#REF!</definedName>
    <definedName name="DP_191017">#REF!</definedName>
    <definedName name="I_C_TRUCKCYCLES_SE_FN">#REF!</definedName>
    <definedName name="capHaulRd">#REF!</definedName>
    <definedName name="reer">#REF!</definedName>
    <definedName name="HTT">#REF!</definedName>
    <definedName name="amount">#REF!</definedName>
    <definedName name="InRunRepayLTD1">#REF!</definedName>
    <definedName name="LTN">#REF!</definedName>
    <definedName name="__________________DEP22">#REF!</definedName>
    <definedName name="Closing_Stock">#REF!</definedName>
    <definedName name="D_B_QTYLOADS_IQPL">#REF!</definedName>
    <definedName name="Book2_1">#REF!</definedName>
    <definedName name="Dump">#REF!</definedName>
    <definedName name="D_Owner_SQL2IMPS__ALL">#REF!</definedName>
    <definedName name="Excel_BuiltIn_Print_Titles">#REF!</definedName>
    <definedName name="jklajdlfnsfow">#REF!</definedName>
    <definedName name="dataku">#REF!</definedName>
    <definedName name="aREA2_9">#REF!</definedName>
    <definedName name="fTopSDirectCon">#REF!</definedName>
    <definedName name="______wwp1">#REF!</definedName>
    <definedName name="_JGN33">#REF!</definedName>
    <definedName name="Hundred">#REF!</definedName>
    <definedName name="_______________________JAN99">#REF!</definedName>
    <definedName name="MCR025C">#REF!</definedName>
    <definedName name="bengoct">#REF!</definedName>
    <definedName name="외환예금">#REF!</definedName>
    <definedName name="I_S_QTYLOADS_E_FN">#REF!</definedName>
    <definedName name="calory_north">#REF!</definedName>
    <definedName name="__LC1000">#REF!</definedName>
    <definedName name="WASTE">#REF!</definedName>
    <definedName name="D_S_QTYDumpsQ_EL">#REF!</definedName>
    <definedName name="DATA100">#REF!</definedName>
    <definedName name="nmLCL">#REF!</definedName>
    <definedName name="D_R_TRUCKCYCLES_DQ">#REF!</definedName>
    <definedName name="source2_9">#REF!</definedName>
    <definedName name="five6">#REF!</definedName>
    <definedName name="FORM735">#REF!</definedName>
    <definedName name="_MDE56">#REF!</definedName>
    <definedName name="D_B_TIMECAT_QSWPE_ALL">#REF!</definedName>
    <definedName name="I_A_QTYLOADS_DQPEEL_FN">#REF!</definedName>
    <definedName name="_______________________________g20616">#REF!</definedName>
    <definedName name="EX_212">#REF!</definedName>
    <definedName name="time_8">#REF!</definedName>
    <definedName name="sfs">#REF!</definedName>
    <definedName name="HLS2BW">#REF!</definedName>
    <definedName name="____LC1000">#REF!</definedName>
    <definedName name="I_B_STATUS_DE_FN">#REF!</definedName>
    <definedName name="I_B_TIMECAT_ES_FN">#REF!</definedName>
    <definedName name="AreaSumatra">#REF!</definedName>
    <definedName name="_422FA">#REF!</definedName>
    <definedName name="D_B_MATMOVED_DEPL">#REF!</definedName>
    <definedName name="__________DEP11">#REF!</definedName>
    <definedName name="D_B_STATUS_SQWER_ALL">#REF!</definedName>
    <definedName name="___Tax2">#REF!</definedName>
    <definedName name="Seam_D4">#REF!</definedName>
    <definedName name="DMCR1">#REF!</definedName>
    <definedName name="oQty">#REF!</definedName>
    <definedName name="____________________RP1">#REF!</definedName>
    <definedName name="___Cat320">#REF!</definedName>
    <definedName name="I_A_QTYLOADS_LQD_FN">#REF!</definedName>
    <definedName name="D_B_QTYLOADS_DRWPEEL_ALL">#REF!</definedName>
    <definedName name="_EEE06">#REF!</definedName>
    <definedName name="afa">#REF!</definedName>
    <definedName name="_811FA">#REF!</definedName>
    <definedName name="D_B_STATUS_7QR">#REF!</definedName>
    <definedName name="__________________DEP11">#REF!</definedName>
    <definedName name="VOLV06">#REF!</definedName>
    <definedName name="bengfeb">#REF!</definedName>
    <definedName name="______DEC98">#REF!</definedName>
    <definedName name="_PRO6">#REF!</definedName>
    <definedName name="_ME59">#REF!</definedName>
    <definedName name="D_B_STATUS_DQR_ALL">#REF!</definedName>
    <definedName name="D_B_TIMECAT_Q7PE">#REF!</definedName>
    <definedName name="______________________________________b2">#REF!</definedName>
    <definedName name="cpbin">#REF!</definedName>
    <definedName name="____DAT15">#REF!</definedName>
    <definedName name="Watercarts_9">#REF!</definedName>
    <definedName name="_MMM05">#REF!</definedName>
    <definedName name="________________________FEB99">#REF!</definedName>
    <definedName name="OrderTable">#REF!</definedName>
    <definedName name="D_A_TIMECAT_DQ">#REF!</definedName>
    <definedName name="______________________________MGM1">#REF!</definedName>
    <definedName name="LnPMgr1">#REF!</definedName>
    <definedName name="OPT_GL_11">#REF!</definedName>
    <definedName name="______________________MAY99">#REF!</definedName>
    <definedName name="JUNI">#REF!</definedName>
    <definedName name="D_Y_STATUS_QI">#REF!</definedName>
    <definedName name="D_B_TIMECAT_SE_ALL">#REF!</definedName>
    <definedName name="DATA47">#REF!</definedName>
    <definedName name="nbp_prima">#REF!</definedName>
    <definedName name="Data_Plan_3">#REF!</definedName>
    <definedName name="________________________________dep1">#REF!</definedName>
    <definedName name="list04">#REF!</definedName>
    <definedName name="DATA106">#REF!</definedName>
    <definedName name="RD_077">#REF!</definedName>
    <definedName name="PLAN_11">#REF!</definedName>
    <definedName name="cplati">#REF!</definedName>
    <definedName name="sasa">#REF!</definedName>
    <definedName name="Pqual">#REF!</definedName>
    <definedName name="Data_Plan_19">#REF!</definedName>
    <definedName name="__tes3">#REF!</definedName>
    <definedName name="_______b1">#REF!</definedName>
    <definedName name="StandarHours31_8">#REF!</definedName>
    <definedName name="_812PK">#REF!</definedName>
    <definedName name="___________________________________________________________________________g20616">#REF!</definedName>
    <definedName name="PLAN_MONTHLY_7">#REF!</definedName>
    <definedName name="Excel_BuiltIn__FilterDatabase_14_1">#REF!</definedName>
    <definedName name="_____________________________________g20616">#REF!</definedName>
    <definedName name="________________________________________________________wwp2">#REF!</definedName>
    <definedName name="D_M_STATUS_YT_ALL">#REF!</definedName>
    <definedName name="D_L_SQL2IMPS__ALL">#REF!</definedName>
    <definedName name="blend">#REF!</definedName>
    <definedName name="Rutin_3c">#REF!</definedName>
    <definedName name="HLS2HW">#REF!</definedName>
    <definedName name="I_B_QTYLOADS_DRWPEEL">#REF!</definedName>
    <definedName name="D_B_TIMECAT_QSWEE">#REF!</definedName>
    <definedName name="I_B_STATUS_QD_FN">#REF!</definedName>
    <definedName name="I_B_TIMECAT_QDWP_FN">#REF!</definedName>
    <definedName name="DayHours">#REF!</definedName>
    <definedName name="ActKTD">#REF!</definedName>
    <definedName name="URAIAN634">#REF!</definedName>
    <definedName name="ivRM">#REF!</definedName>
    <definedName name="triyono_t">#REF!</definedName>
    <definedName name="JML_TK10">#REF!</definedName>
    <definedName name="_EEE28">#REF!</definedName>
    <definedName name="D_B_LOADER_QWE_ALL">#REF!</definedName>
    <definedName name="StandarHours8_9">#REF!</definedName>
    <definedName name="D_S_QTYLOADS_PLQ">#REF!</definedName>
    <definedName name="Supers_9">#REF!</definedName>
    <definedName name="__________b1">#REF!</definedName>
    <definedName name="DbVar06">#REF!</definedName>
    <definedName name="D_D_PLANS__ALL">#REF!</definedName>
    <definedName name="D_B_TIMECAT_QIWE_ALL">#REF!</definedName>
    <definedName name="__________MAY99">#REF!</definedName>
    <definedName name="D_B_TIMECAT_QSWPE">#REF!</definedName>
    <definedName name="URAIAN79mekanis">#REF!</definedName>
    <definedName name="primaytdts">#REF!</definedName>
    <definedName name="_SAP01">#REF!</definedName>
    <definedName name="XRefCopy6Row">#REF!</definedName>
    <definedName name="UPAH1">#REF!</definedName>
    <definedName name="________________________________________dep1">#REF!</definedName>
    <definedName name="hEX3500STot">#REF!</definedName>
    <definedName name="BAL_6">#REF!</definedName>
    <definedName name="DUASATU">#REF!</definedName>
    <definedName name="hantu">#REF!</definedName>
    <definedName name="FORM323">#REF!</definedName>
    <definedName name="D_Dept_SQL2IMPS_">#REF!</definedName>
    <definedName name="D_D_SQL2IMPS__ALL">#REF!</definedName>
    <definedName name="Trucks_9">#REF!</definedName>
    <definedName name="_w4">#REF!</definedName>
    <definedName name="___mid05">#REF!</definedName>
    <definedName name="waste_north">#REF!</definedName>
    <definedName name="URAIAN423">#REF!</definedName>
    <definedName name="___________________________________________b1">#REF!</definedName>
    <definedName name="_MDE57">#REF!</definedName>
    <definedName name="cetak11">#REF!</definedName>
    <definedName name="InMargin">#REF!</definedName>
    <definedName name="Rutin_3e">#REF!</definedName>
    <definedName name="ANSHARI">#REF!</definedName>
    <definedName name="_EEE09">#REF!</definedName>
    <definedName name="I_R_TRUCKCYCLES_DR_FN">#REF!</definedName>
    <definedName name="EFOB_2023">#REF!</definedName>
    <definedName name="_________key2">#REF!</definedName>
    <definedName name="FDP_40_1_aUrv">#REF!</definedName>
    <definedName name="ORE_STOCK_MOVEMENTS">#REF!</definedName>
    <definedName name="DATA61">#REF!</definedName>
    <definedName name="adul">#REF!</definedName>
    <definedName name="D_B_TIMECAT_QSE_ALL">#REF!</definedName>
    <definedName name="Excel_BuiltIn__FilterDatabase_24">#REF!</definedName>
    <definedName name="D_A_QTYLOADS__ALL">#REF!</definedName>
    <definedName name="PLAN_MONTHLY_4">#REF!</definedName>
    <definedName name="__________FEB99">#REF!</definedName>
    <definedName name="D_B_MATMOVED_DQL_ALL">#REF!</definedName>
    <definedName name="I_B_QTYLOADS_7KL">#REF!</definedName>
    <definedName name="_BMA35">#REF!</definedName>
    <definedName name="외화원화금리3">#REF!</definedName>
    <definedName name="I_B_TIMECAT_Q7P_FN">#REF!</definedName>
    <definedName name="I_Y1_STATUS_E_FN">#REF!</definedName>
    <definedName name="BAL_9">#REF!</definedName>
    <definedName name="Excel_BuiltIn_Print_Area_31">#REF!</definedName>
    <definedName name="I_B_TIMECAT_DEP">#REF!</definedName>
    <definedName name="Pajak">#REF!</definedName>
    <definedName name="OTHERD">#REF!</definedName>
    <definedName name="URAIAN768">#REF!</definedName>
    <definedName name="EPHR_9">#REF!</definedName>
    <definedName name="D_B_TIMECAT_E_ALL">#REF!</definedName>
    <definedName name="D_A_QTYLOADS_DPEL">#REF!</definedName>
    <definedName name="Months_8">#REF!</definedName>
    <definedName name="I_A_TIMECAT_DEWPEE_FN">#REF!</definedName>
    <definedName name="______________________________________________________________________________________________g20616">#REF!</definedName>
    <definedName name="Coal_Haulage_9">#REF!</definedName>
    <definedName name="DATA67">#REF!</definedName>
    <definedName name="I_A_QTYLOADS_DE_FN">#REF!</definedName>
    <definedName name="TUPAI">#REF!</definedName>
    <definedName name="DISPLAN">#REF!</definedName>
    <definedName name="_______JAN99">#REF!</definedName>
    <definedName name="nmU1s_4">#REF!</definedName>
    <definedName name="SMU">#REF!</definedName>
    <definedName name="hEx1800Tot">#REF!</definedName>
    <definedName name="MODELSTKSUM">#REF!</definedName>
    <definedName name="____________________FEB99">#REF!</definedName>
    <definedName name="I_A_QTYLOADS_SWPEEL_FN">#REF!</definedName>
    <definedName name="ActualHaul1">#REF!</definedName>
    <definedName name="letter">#REF!</definedName>
    <definedName name="data_SMO">#REF!</definedName>
    <definedName name="SKW_Auswahl">#REF!</definedName>
    <definedName name="CFG_Plan_Version">#REF!</definedName>
    <definedName name="D_B_QTYLOADS_DTL">#REF!</definedName>
    <definedName name="Date_OB">#REF!</definedName>
    <definedName name="asmo1">#REF!</definedName>
    <definedName name="TestReclas">#REF!</definedName>
    <definedName name="inci4">#REF!</definedName>
    <definedName name="DefTM">#REF!</definedName>
    <definedName name="D_S_QTYLOADS_DP_ALL">#REF!</definedName>
    <definedName name="COSUBCO5">#REF!</definedName>
    <definedName name="Prominv">#REF!</definedName>
    <definedName name="Ov">#REF!</definedName>
    <definedName name="I_A_QTYLOADS_QDE_FN">#REF!</definedName>
    <definedName name="BUDI28">#REF!</definedName>
    <definedName name="_pop3">#REF!</definedName>
    <definedName name="I_A_QTYLOADS_LS">#REF!</definedName>
    <definedName name="Qty_SS">#REF!</definedName>
    <definedName name="_______LC2000">#REF!</definedName>
    <definedName name="_______________________________________APR99">#REF!</definedName>
    <definedName name="Macro2">#REF!</definedName>
    <definedName name="StandarHours6">#REF!</definedName>
    <definedName name="I_A_QTYLOADS_DEEQL">#REF!</definedName>
    <definedName name="al">#REF!</definedName>
    <definedName name="D_B_TIMECAT_IQE">#REF!</definedName>
    <definedName name="DT_484">#REF!</definedName>
    <definedName name="BD_COA">#REF!</definedName>
    <definedName name="I_E_TRUCKCYCLES_SE">#REF!</definedName>
    <definedName name="__wk45">#REF!</definedName>
    <definedName name="fred">#REF!</definedName>
    <definedName name="D_B_TIMECAT_Q7_ALL">#REF!</definedName>
    <definedName name="I_F_SQL2IMPS__FN">#REF!</definedName>
    <definedName name="____________________________________2_MASTER_SUMMARY_YEARLY">#REF!</definedName>
    <definedName name="Cost_of_Manufactured__99">#REF!</definedName>
    <definedName name="N">#REF!</definedName>
    <definedName name="_LLL02">#REF!</definedName>
    <definedName name="D_S_MatMoved_FX">#REF!</definedName>
    <definedName name="BIG_DIGGER">#REF!</definedName>
    <definedName name="I_B_TIMECAT_EW_FN">#REF!</definedName>
    <definedName name="D_A_QTYLOADS_7L_ALL">#REF!</definedName>
    <definedName name="I_B_TIMECAT_QDSP">#REF!</definedName>
    <definedName name="_________________________________wwp1">#REF!</definedName>
    <definedName name="_________JAN99">#REF!</definedName>
    <definedName name="___DAT7">#REF!</definedName>
    <definedName name="D_M_STATUS_YT">#REF!</definedName>
    <definedName name="__________JAN99">#REF!</definedName>
    <definedName name="_MDE39">#REF!</definedName>
    <definedName name="Nilai">#REF!</definedName>
    <definedName name="TA">#REF!</definedName>
    <definedName name="Excel_BuiltIn_Print_Area_11_1">#REF!</definedName>
    <definedName name="_ob10">#REF!</definedName>
    <definedName name="TEMP">#REF!</definedName>
    <definedName name="URAIAN97">#REF!</definedName>
    <definedName name="WHDT">#REF!</definedName>
    <definedName name="Frecov">#REF!</definedName>
    <definedName name="LOAD_OB">#REF!</definedName>
    <definedName name="산업예금">#REF!</definedName>
    <definedName name="_________________________________________________wwp1">#REF!</definedName>
    <definedName name="I_B_STATUS_EDPE">#REF!</definedName>
    <definedName name="D_B_TIMECAT_EIW_ALL">#REF!</definedName>
    <definedName name="Rutin_2a">#REF!</definedName>
    <definedName name="_842PK">#REF!</definedName>
    <definedName name="bengjan">#REF!</definedName>
    <definedName name="HS">#REF!</definedName>
    <definedName name="_________MAY99">#REF!</definedName>
    <definedName name="DateRange">#REF!</definedName>
    <definedName name="salah3">#REF!</definedName>
    <definedName name="I_A_QTYLOADS_DRL_FN">#REF!</definedName>
    <definedName name="cetak14">#REF!</definedName>
    <definedName name="B_1">#REF!</definedName>
    <definedName name="_RD3">#REF!</definedName>
    <definedName name="I_MQ_PLANS_">#REF!</definedName>
    <definedName name="_______________wwp2">#REF!</definedName>
    <definedName name="___________________________________________________________________________________________________________________g20616">#REF!</definedName>
    <definedName name="D_S_QTYLOADS_RLP_ALL">#REF!</definedName>
    <definedName name="DATA40">#REF!</definedName>
    <definedName name="asscapex">#REF!</definedName>
    <definedName name="D_S_QTYLOADS_FX">#REF!</definedName>
    <definedName name="DZ">#REF!</definedName>
    <definedName name="twertert">#REF!</definedName>
    <definedName name="D_B_TIMECAT_D_ALL">#REF!</definedName>
    <definedName name="ID_Price">#REF!</definedName>
    <definedName name="_________________RP1">#REF!</definedName>
    <definedName name="D_B_MATMOVED_SQL">#REF!</definedName>
    <definedName name="_____________wwp1">#REF!</definedName>
    <definedName name="____________________________________________g20616">#REF!</definedName>
    <definedName name="quarter">#REF!</definedName>
    <definedName name="capPitDev">#REF!</definedName>
    <definedName name="I_YC_LOADER_U">#REF!</definedName>
    <definedName name="_______________________________MAR99">#REF!</definedName>
    <definedName name="XRefCopy19Row">#REF!</definedName>
    <definedName name="신한원화금리2">#REF!</definedName>
    <definedName name="ada">#REF!</definedName>
    <definedName name="_MDE12">#REF!</definedName>
    <definedName name="Jan_98">#REF!</definedName>
    <definedName name="MP_632">#REF!</definedName>
    <definedName name="D_B_TIMECAT_IQ_ALL">#REF!</definedName>
    <definedName name="pay_peryear">#REF!</definedName>
    <definedName name="URAIAN621">#REF!</definedName>
    <definedName name="D_A_QTYLOADS_LSE_ALL">#REF!</definedName>
    <definedName name="FDP_47_1_aUrv">#REF!</definedName>
    <definedName name="____________________________________________________________________________________g20616">#REF!</definedName>
    <definedName name="_JZ59">#REF!</definedName>
    <definedName name="Pkpcinv">#REF!</definedName>
    <definedName name="_____________________________dep1">#REF!</definedName>
    <definedName name="dProdCoal_head">#REF!</definedName>
    <definedName name="DATA_ASAL_9">#REF!</definedName>
    <definedName name="D_B_TIMECAT_DEE_ALL">#REF!</definedName>
    <definedName name="Pajak1">#REF!</definedName>
    <definedName name="__FEB99">#REF!</definedName>
    <definedName name="하나원화금리0">#REF!</definedName>
    <definedName name="Scapex">#REF!</definedName>
    <definedName name="____FEB99">#REF!</definedName>
    <definedName name="testk_8">#REF!</definedName>
    <definedName name="tktl">#REF!</definedName>
    <definedName name="PLAN_MONTHLY_10">#REF!</definedName>
    <definedName name="_____RP1">#REF!</definedName>
    <definedName name="ROMPORTN">#REF!</definedName>
    <definedName name="mevl">#REF!</definedName>
    <definedName name="_EEE32">#REF!</definedName>
    <definedName name="prodstart_SS">#REF!</definedName>
    <definedName name="_____________________________________JAN99">#REF!</definedName>
    <definedName name="D_B_QTYLOADS_RPL_ALL">#REF!</definedName>
    <definedName name="___________________________MAR99">#REF!</definedName>
    <definedName name="ddfff">#REF!</definedName>
    <definedName name="waste_total_kideco">#REF!</definedName>
    <definedName name="I_B_TRUCKCYCLES_DR_FN">#REF!</definedName>
    <definedName name="D_Y1_STATUS_">#REF!</definedName>
    <definedName name="StandarHours15">#REF!</definedName>
    <definedName name="_iRFFuel">#REF!</definedName>
    <definedName name="ShowProductA">#REF!</definedName>
    <definedName name="SS_Qty">#REF!</definedName>
    <definedName name="TU50___KT_8433_BU">#REF!</definedName>
    <definedName name="_JU6">#REF!</definedName>
    <definedName name="hPC1000Tot">#REF!</definedName>
    <definedName name="Room">#REF!</definedName>
    <definedName name="MMP">#REF!</definedName>
    <definedName name="_EUC04">#REF!</definedName>
    <definedName name="Pkpccm">#REF!</definedName>
    <definedName name="I_C_SQL2IMPS__FN">#REF!</definedName>
    <definedName name="Mar_98">#REF!</definedName>
    <definedName name="Skpccons">#REF!</definedName>
    <definedName name="Excel_BuiltIn__FilterDatabase_1">#REF!</definedName>
    <definedName name="FDP_25_1_aUrv">#REF!</definedName>
    <definedName name="Componet_9">#REF!</definedName>
    <definedName name="_83PK">#REF!</definedName>
    <definedName name="____LA250">#REF!</definedName>
    <definedName name="melgar">#REF!</definedName>
    <definedName name="Print2">#REF!</definedName>
    <definedName name="LastRow">#REF!</definedName>
    <definedName name="I_B_TIMECAT_QHDP">#REF!</definedName>
    <definedName name="URAIAN7612b">#REF!</definedName>
    <definedName name="ts">#REF!</definedName>
    <definedName name="DATA125">#REF!</definedName>
    <definedName name="Distance_15">#REF!</definedName>
    <definedName name="mesin">#REF!</definedName>
    <definedName name="D_A_TIMECAT_IQE">#REF!</definedName>
    <definedName name="FORM512">#REF!</definedName>
    <definedName name="nama">#REF!</definedName>
    <definedName name="XNHCFMDXMF">#REF!</definedName>
    <definedName name="_tea">#REF!</definedName>
    <definedName name="_________________________________DEP22">#REF!</definedName>
    <definedName name="DATA30">#REF!</definedName>
    <definedName name="URAIAN920">#REF!</definedName>
    <definedName name="SKW_Wechselzeit">#REF!</definedName>
    <definedName name="_ME04">#REF!</definedName>
    <definedName name="BUANG">#REF!</definedName>
    <definedName name="___________________________________JAN99">#REF!</definedName>
    <definedName name="Distance_12">#REF!</definedName>
    <definedName name="minfeb">#REF!</definedName>
    <definedName name="E_081">#REF!</definedName>
    <definedName name="D_Y1_STATUS_EYTR_ALL">#REF!</definedName>
    <definedName name="ㄴㄴㄴ">#REF!</definedName>
    <definedName name="Cum_Int">#REF!</definedName>
    <definedName name="_MMM33">#REF!</definedName>
    <definedName name="OBDATA">#REF!</definedName>
    <definedName name="insert_for_govt">#REF!</definedName>
    <definedName name="I_B_STATUS_SQWR_FN">#REF!</definedName>
    <definedName name="Pay_Num">#REF!</definedName>
    <definedName name="원화기간12">#REF!</definedName>
    <definedName name="CP">#REF!</definedName>
    <definedName name="I_B_TRUCKCYCLES_DE">#REF!</definedName>
    <definedName name="I_B_TIMECAT_QW">#REF!</definedName>
    <definedName name="robbi">#REF!</definedName>
    <definedName name="HRLevelP">#REF!</definedName>
    <definedName name="D_B_MATMOVED_DEEQL">#REF!</definedName>
    <definedName name="BALANCE05">#REF!</definedName>
    <definedName name="Vehicles">#REF!</definedName>
    <definedName name="_______FEB99">#REF!</definedName>
    <definedName name="______wwp2">#REF!</definedName>
    <definedName name="efs">#REF!</definedName>
    <definedName name="rate_cpp">#REF!</definedName>
    <definedName name="I_R_TRUCKCYCLES_DQ">#REF!</definedName>
    <definedName name="StandarHours27_8">#REF!</definedName>
    <definedName name="__Acc2">#REF!</definedName>
    <definedName name="condition">#REF!</definedName>
    <definedName name="D_ID_SQL2IMPS_">#REF!</definedName>
    <definedName name="qDomRomP">#REF!</definedName>
    <definedName name="DISREMARK">#REF!</definedName>
    <definedName name="____________________________________FEB99">#REF!</definedName>
    <definedName name="BUS_8">#REF!</definedName>
    <definedName name="I_B_MATMOVED_DQEEL_FN">#REF!</definedName>
    <definedName name="DATA29">#REF!</definedName>
    <definedName name="_____b2">#REF!</definedName>
    <definedName name="__________2_MASTER_SUMMARY_YEARLY">#REF!</definedName>
    <definedName name="DATA11">#REF!</definedName>
    <definedName name="sale_kepco_high">#REF!</definedName>
    <definedName name="MONTH_RANGE">#REF!</definedName>
    <definedName name="Department">#REF!</definedName>
    <definedName name="DATA39">#REF!</definedName>
    <definedName name="_________________b1">#REF!</definedName>
    <definedName name="I_B_TIMECAT_ED">#REF!</definedName>
    <definedName name="_DWO15">#REF!</definedName>
    <definedName name="HRLevel">#REF!</definedName>
    <definedName name="_____________________________________________g20616">#REF!</definedName>
    <definedName name="D_Y2_STATUS_">#REF!</definedName>
    <definedName name="COUNTER4">#REF!</definedName>
    <definedName name="___________________________________________________________________________________________________________________________________________g20616">#REF!</definedName>
    <definedName name="I_B_TIMECAT_EDWE_FN">#REF!</definedName>
    <definedName name="Ausrüstung">#REF!</definedName>
    <definedName name="_ME62">#REF!</definedName>
    <definedName name="_753FA">#REF!</definedName>
    <definedName name="BTS2FW">#REF!</definedName>
    <definedName name="PLAN_2_1">#REF!</definedName>
    <definedName name="October">#REF!</definedName>
    <definedName name="_________________________________MAY99">#REF!</definedName>
    <definedName name="hHD830eWstTot">#REF!</definedName>
    <definedName name="D_B_QTYLOADS_KL">#REF!</definedName>
    <definedName name="I_B_STATUS_QE_FN">#REF!</definedName>
    <definedName name="melbeng">#REF!</definedName>
    <definedName name="Fkpcinv">#REF!</definedName>
    <definedName name="_12I">#REF!</definedName>
    <definedName name="cyytf">#REF!</definedName>
    <definedName name="I_D_PLANS_">#REF!</definedName>
    <definedName name="_w3">#REF!</definedName>
    <definedName name="___________2_MASTER_SUMMARY_YEARLY">#REF!</definedName>
    <definedName name="I_S_TIMECAT_E_FN">#REF!</definedName>
    <definedName name="__DAT11">#REF!</definedName>
    <definedName name="D_B_STATUS_EDPE_ALL">#REF!</definedName>
    <definedName name="D_B_TIMECAT_QIE_ALL">#REF!</definedName>
    <definedName name="_PC02">#REF!</definedName>
    <definedName name="TimeDuration">#REF!</definedName>
    <definedName name="__________________________________BS01">#REF!</definedName>
    <definedName name="_4b1_">#REF!</definedName>
    <definedName name="gili">#REF!</definedName>
    <definedName name="I_B_TIMECAT_QDPE_FN">#REF!</definedName>
    <definedName name="FORM1013">#REF!</definedName>
    <definedName name="Form236">#REF!</definedName>
    <definedName name="___________________________________________________________________________________________________________________________________g20616">#REF!</definedName>
    <definedName name="NOUKK">#REF!</definedName>
    <definedName name="_______________________MGM1">#REF!</definedName>
    <definedName name="EXA">#REF!</definedName>
    <definedName name="________________________DEP11">#REF!</definedName>
    <definedName name="vcf">#REF!</definedName>
    <definedName name="______________________________________JAN99">#REF!</definedName>
    <definedName name="I_B_STATUS_Q7">#REF!</definedName>
    <definedName name="_Sap785">#REF!</definedName>
    <definedName name="Uraian323">#REF!</definedName>
    <definedName name="persen">#REF!</definedName>
    <definedName name="Fkpcft">#REF!</definedName>
    <definedName name="D_M_STATUS_T">#REF!</definedName>
    <definedName name="I_S_QTYDUMPS_E">#REF!</definedName>
    <definedName name="우리금액">#REF!</definedName>
    <definedName name="I_B_TIMECAT_QSWPEE">#REF!</definedName>
    <definedName name="D_A_TRUCKCYCLES_SE_ALL">#REF!</definedName>
    <definedName name="CKP_2">#REF!</definedName>
    <definedName name="KOMHD05">#REF!</definedName>
    <definedName name="total">#REF!</definedName>
    <definedName name="weekly_feb">#REF!</definedName>
    <definedName name="Equipment_26">#REF!</definedName>
    <definedName name="D_S_TIMECAT_E">#REF!</definedName>
    <definedName name="JHSAIU">#REF!</definedName>
    <definedName name="Dist_OB">#REF!</definedName>
    <definedName name="Vehicles_6">#REF!</definedName>
    <definedName name="L">#REF!</definedName>
    <definedName name="Cwvu.CapersView.">#REF!</definedName>
    <definedName name="Compactors_9">#REF!</definedName>
    <definedName name="______________________________wwp1">#REF!</definedName>
    <definedName name="lci">#REF!</definedName>
    <definedName name="_814PK">#REF!</definedName>
    <definedName name="PROM">#REF!</definedName>
    <definedName name="D_B_MATMOVED_DQWPL">#REF!</definedName>
    <definedName name="D_B_STATUS_Q7_ALL">#REF!</definedName>
    <definedName name="_MMM01">#REF!</definedName>
    <definedName name="manning">#REF!</definedName>
    <definedName name="D_MQ_PLANS_">#REF!</definedName>
    <definedName name="downhill">#REF!</definedName>
    <definedName name="I_B_STATUS_DQER">#REF!</definedName>
    <definedName name="COAL_9">#REF!</definedName>
    <definedName name="COSUBOB9">#REF!</definedName>
    <definedName name="FLOW0">#REF!</definedName>
    <definedName name="abb_8">#REF!</definedName>
    <definedName name="URAIAN422">#REF!</definedName>
    <definedName name="MP_811">#REF!</definedName>
    <definedName name="vHeartRate">#REF!</definedName>
    <definedName name="ty">#REF!</definedName>
    <definedName name="lk">#REF!</definedName>
    <definedName name="hPC1000CoTot">#REF!</definedName>
    <definedName name="aaaaaaa">#REF!</definedName>
    <definedName name="I_B_MATMOVED_Q_FN">#REF!</definedName>
    <definedName name="INCOME03">#REF!</definedName>
    <definedName name="inc">#REF!</definedName>
    <definedName name="____________________MGM1">#REF!</definedName>
    <definedName name="_____________________RP1">#REF!</definedName>
    <definedName name="FORM242">#REF!</definedName>
    <definedName name="_HAL8">#REF!</definedName>
    <definedName name="FORM621">#REF!</definedName>
    <definedName name="_SAP03">#REF!</definedName>
    <definedName name="Oct_98">#REF!</definedName>
    <definedName name="I_A_TIMECAT_DQ_FN">#REF!</definedName>
    <definedName name="___________________________________________________________________________________________________________g20616">#REF!</definedName>
    <definedName name="______________________________b2">#REF!</definedName>
    <definedName name="FORM817">#REF!</definedName>
    <definedName name="________________________________g20616">#REF!</definedName>
    <definedName name="sdafs">#REF!</definedName>
    <definedName name="Series_Leverage_5">#REF!</definedName>
    <definedName name="I_D_SQL2MMS__FN">#REF!</definedName>
    <definedName name="PIAWAL">#REF!</definedName>
    <definedName name="D_E_TRUCKCYCLES_SE_ALL">#REF!</definedName>
    <definedName name="OBtruck_opt1">#REF!</definedName>
    <definedName name="D_B_STATUS_IQR">#REF!</definedName>
    <definedName name="iRM">#REF!</definedName>
    <definedName name="Excel_BuiltIn_Print_Titles_1_1">#REF!</definedName>
    <definedName name="I_S_TIMECAT_Q">#REF!</definedName>
    <definedName name="bbbb">#REF!</definedName>
    <definedName name="LV_Rental">#REF!</definedName>
    <definedName name="FORM323L">#REF!</definedName>
    <definedName name="Shift">#REF!</definedName>
    <definedName name="FCST">#REF!</definedName>
    <definedName name="zx">#REF!</definedName>
    <definedName name="__q1">#REF!</definedName>
    <definedName name="D_B_SQL2IMPS_">#REF!</definedName>
    <definedName name="I_N_PLANS_7_FN">#REF!</definedName>
    <definedName name="GainLossComm">#REF!</definedName>
    <definedName name="FDP_24_1_aUrv">#REF!</definedName>
    <definedName name="account111111">#REF!</definedName>
    <definedName name="Sensitivity_Coal_Haulage_8">#REF!</definedName>
    <definedName name="RM">#REF!</definedName>
    <definedName name="StandarHours">#REF!</definedName>
    <definedName name="D_B_MATMOVED_DQWPEEL">#REF!</definedName>
    <definedName name="Data_Plan">#REF!</definedName>
    <definedName name="Depreciation_Method_8">#REF!</definedName>
    <definedName name="UNIT_PRM">#REF!</definedName>
    <definedName name="MP">#REF!</definedName>
    <definedName name="FDP_50_1_aUrv">#REF!</definedName>
    <definedName name="_______LC250">#REF!</definedName>
    <definedName name="Excel_BuiltIn_Print_Area_21">#REF!</definedName>
    <definedName name="________________________________________________________________________________________________________________________g20616">#REF!</definedName>
    <definedName name="exco">#REF!</definedName>
    <definedName name="se">#REF!</definedName>
    <definedName name="_LLL09">#REF!</definedName>
    <definedName name="_______________________________________________________________________________________________________________________________________g20616">#REF!</definedName>
    <definedName name="______________________DEC98">#REF!</definedName>
    <definedName name="StandarHours18_8">#REF!</definedName>
    <definedName name="외환기간12">#REF!</definedName>
    <definedName name="DATA34">#REF!</definedName>
    <definedName name="BUDI31">#REF!</definedName>
    <definedName name="_754PK">#REF!</definedName>
    <definedName name="I_S_QTYLOADS_7">#REF!</definedName>
    <definedName name="series_llllll_4">#REF!</definedName>
    <definedName name="Seam_D2">#REF!</definedName>
    <definedName name="Fkpcsales">#REF!</definedName>
    <definedName name="dfg">#REF!</definedName>
    <definedName name="PITTOROM">#REF!</definedName>
    <definedName name="__________________________________DEC98">#REF!</definedName>
    <definedName name="Coaltruck_opt2">#REF!</definedName>
    <definedName name="____________________________________________________________________________g20616">#REF!</definedName>
    <definedName name="________wk45">#REF!</definedName>
    <definedName name="grandpinprice">#REF!</definedName>
    <definedName name="_634PK">#REF!</definedName>
    <definedName name="five2">#REF!</definedName>
    <definedName name="NS_SD">#REF!</definedName>
    <definedName name="D_B_STATUS_ED_ALL">#REF!</definedName>
    <definedName name="_PRO5">#REF!</definedName>
    <definedName name="Sempl600">#REF!</definedName>
    <definedName name="_________________________________b1">#REF!</definedName>
    <definedName name="Departments">#REF!</definedName>
    <definedName name="_74FA">#REF!</definedName>
    <definedName name="nmU2s_9">#REF!</definedName>
    <definedName name="D_B_TIMECAT_QDW">#REF!</definedName>
    <definedName name="D_B_TIMECAT_ESEQMT_OWNREQMT_DEPT_ALL">#REF!</definedName>
    <definedName name="CA_511_D">#REF!</definedName>
    <definedName name="Scostpertonne">#REF!</definedName>
    <definedName name="기업원화금리4">#REF!</definedName>
    <definedName name="Prod_Haul">#REF!</definedName>
    <definedName name="FormsChartType">#REF!</definedName>
    <definedName name="_____________________________MAR99">#REF!</definedName>
    <definedName name="_DAT11">#REF!</definedName>
    <definedName name="D_A_QTYLOADS_SWL">#REF!</definedName>
    <definedName name="Explosive_Usages_9">#REF!</definedName>
    <definedName name="StandarHours3">#REF!</definedName>
    <definedName name="PAR">#REF!</definedName>
    <definedName name="_map1">#REF!</definedName>
    <definedName name="D_B_QTYLOADS_DQWPEEL_ALL">#REF!</definedName>
    <definedName name="URAIAN771a">#REF!</definedName>
    <definedName name="_7b2_">#REF!</definedName>
    <definedName name="______________________________________________________________________________________________________________________________g20616">#REF!</definedName>
    <definedName name="____________________________________________________________________________________________g20616">#REF!</definedName>
    <definedName name="ProdDate">#REF!</definedName>
    <definedName name="I_B_QTYLOADS_IPL">#REF!</definedName>
    <definedName name="____MGM2">#REF!</definedName>
    <definedName name="I_S_TIMECAT_">#REF!</definedName>
    <definedName name="D_R_TIMECAT_EDE_ALL">#REF!</definedName>
    <definedName name="Tkpccm">#REF!</definedName>
    <definedName name="OB_9">#REF!</definedName>
    <definedName name="primacv">#REF!</definedName>
    <definedName name="_RUM3">#REF!</definedName>
    <definedName name="_714FA">#REF!</definedName>
    <definedName name="Psls">#REF!</definedName>
    <definedName name="rcc">#REF!</definedName>
    <definedName name="iiRT">#REF!</definedName>
    <definedName name="LnADMA0">#REF!</definedName>
    <definedName name="qTotWasteKpc">#REF!</definedName>
    <definedName name="DATA_ASAL_6">#REF!</definedName>
    <definedName name="I_S_MATMOVED_SQL">#REF!</definedName>
    <definedName name="jashhsasvdjy">#REF!</definedName>
    <definedName name="I_A_TIMECAT_DP">#REF!</definedName>
    <definedName name="Pempl300">#REF!</definedName>
    <definedName name="Calendarday">#REF!</definedName>
    <definedName name="MENUD8F4">#REF!</definedName>
    <definedName name="Year_Days_8">#REF!</definedName>
    <definedName name="___w1">#REF!</definedName>
    <definedName name="EL_411">#REF!</definedName>
    <definedName name="__________MAR99">#REF!</definedName>
    <definedName name="_LLL11">#REF!</definedName>
    <definedName name="StandarHours15_9">#REF!</definedName>
    <definedName name="FORM7613a">#REF!</definedName>
    <definedName name="_mid05">#REF!</definedName>
    <definedName name="NOM_8">#REF!</definedName>
    <definedName name="Contact">#REF!</definedName>
    <definedName name="KPC_Coal_Stats">#REF!</definedName>
    <definedName name="BUDI4">#REF!</definedName>
    <definedName name="__________________________wwp1">#REF!</definedName>
    <definedName name="VOLV08">#REF!</definedName>
    <definedName name="Tkpcls">#REF!</definedName>
    <definedName name="DUAPULUH">#REF!</definedName>
    <definedName name="CKP_1">#REF!</definedName>
    <definedName name="트라_유가보상">#REF!</definedName>
    <definedName name="DATA54">#REF!</definedName>
    <definedName name="CK">#REF!</definedName>
    <definedName name="Prodty_coal_utara">#REF!</definedName>
    <definedName name="Trucks">#REF!</definedName>
    <definedName name="exel">#REF!</definedName>
    <definedName name="D_A_TIMECAT_SQE_ALL">#REF!</definedName>
    <definedName name="StandarHours13_9">#REF!</definedName>
    <definedName name="DATA65">#REF!</definedName>
    <definedName name="I_B_TRUCKCYCLES_">#REF!</definedName>
    <definedName name="FORM76X">#REF!</definedName>
    <definedName name="________________________________________________________________________________________________________________________________________________g20616">#REF!</definedName>
    <definedName name="_iRFEx">#REF!</definedName>
    <definedName name="I_B_TIMECAT_EDPE">#REF!</definedName>
    <definedName name="I_B_TIMECAT_QDHP_FN">#REF!</definedName>
    <definedName name="D_B_STATUS_DEE_ALL">#REF!</definedName>
    <definedName name="BudgetYtDRowOffset">#REF!</definedName>
    <definedName name="URAIAN22L">#REF!</definedName>
    <definedName name="D_B_TIMECAT_QWE_ALL">#REF!</definedName>
    <definedName name="aer">#REF!</definedName>
    <definedName name="_512FA">#REF!</definedName>
    <definedName name="iiRM">#REF!</definedName>
    <definedName name="I_A_TIMECAT_EEQMT_DEPT_FN">#REF!</definedName>
    <definedName name="_______DEC98">#REF!</definedName>
    <definedName name="_511PK">#REF!</definedName>
    <definedName name="_MMM25">#REF!</definedName>
    <definedName name="I_A_TIMECAT_IEE_FN">#REF!</definedName>
    <definedName name="anuku">#REF!</definedName>
    <definedName name="Data_Plan_2">#REF!</definedName>
    <definedName name="D_B_TIMECAT_QSWEQMT_DEPTEQMT_OWNR_ALL">#REF!</definedName>
    <definedName name="D_S_Timecat_EL_ALL">#REF!</definedName>
    <definedName name="_________________________________2_MASTER_SUMMARY_YEARLY">#REF!</definedName>
    <definedName name="D_A_QTYLOADS_LS">#REF!</definedName>
    <definedName name="____________________MAY99">#REF!</definedName>
    <definedName name="indo">#REF!</definedName>
    <definedName name="LnOPRC1">#REF!</definedName>
    <definedName name="I_B_TIMECAT_SEWE_FN">#REF!</definedName>
    <definedName name="I_B_TIMECAT_Q7W">#REF!</definedName>
    <definedName name="StatusList">#REF!</definedName>
    <definedName name="URAIAN913">#REF!</definedName>
    <definedName name="MENUD3U">#REF!</definedName>
    <definedName name="BUD">#REF!</definedName>
    <definedName name="I_B_TIMECAT_EE_FN">#REF!</definedName>
    <definedName name="_521PK">#REF!</definedName>
    <definedName name="Sequence3">#REF!</definedName>
    <definedName name="Tot_payment">#REF!</definedName>
    <definedName name="chtYmin_9">#REF!</definedName>
    <definedName name="transport_total">#REF!</definedName>
    <definedName name="StandarHours28">#REF!</definedName>
    <definedName name="D_B_QTYLOADS_RPEL_ALL">#REF!</definedName>
    <definedName name="작업일수비">#REF!</definedName>
    <definedName name="______LA500">#REF!</definedName>
    <definedName name="FORM913">#REF!</definedName>
    <definedName name="five5">#REF!</definedName>
    <definedName name="경남예금">#REF!</definedName>
    <definedName name="COSUBCO6">#REF!</definedName>
    <definedName name="___________________________________________________g20616">#REF!</definedName>
    <definedName name="COSUBOB10">#REF!</definedName>
    <definedName name="iiModel">#REF!</definedName>
    <definedName name="LTB">#REF!</definedName>
    <definedName name="theDate">#REF!</definedName>
    <definedName name="Show_WI___Sales">#REF!</definedName>
    <definedName name="Fuel_Method_8">#REF!</definedName>
    <definedName name="man">#REF!</definedName>
    <definedName name="I_B_MATMOVED_DQPEEL">#REF!</definedName>
    <definedName name="I_A_QTYLOADS_DQPEEL">#REF!</definedName>
    <definedName name="I_A_TRUCKCYCLES_DE_FN">#REF!</definedName>
    <definedName name="I_A_TIMECAT_SEE">#REF!</definedName>
    <definedName name="fasd">#REF!</definedName>
    <definedName name="___________________________________MGM2">#REF!</definedName>
    <definedName name="_ME40">#REF!</definedName>
    <definedName name="sheetNo">#REF!</definedName>
    <definedName name="P_Loss">#REF!</definedName>
    <definedName name="_________LA2000">#REF!</definedName>
    <definedName name="I_B_STATUS_QDP_FN">#REF!</definedName>
    <definedName name="DATA10">#REF!</definedName>
    <definedName name="Auswahl">#REF!</definedName>
    <definedName name="C_2">#REF!</definedName>
    <definedName name="StandarHours26_9">#REF!</definedName>
    <definedName name="_________________________________________________________________wwp2">#REF!</definedName>
    <definedName name="FORM912">#REF!</definedName>
    <definedName name="StandarHours28_8">#REF!</definedName>
    <definedName name="____________________JAN99">#REF!</definedName>
    <definedName name="Due_06">#REF!</definedName>
    <definedName name="URAIAN771c">#REF!</definedName>
    <definedName name="CtrlToolboxLink_8">#REF!</definedName>
    <definedName name="B17ABC">#REF!</definedName>
    <definedName name="I_B_LOADER_SQWE_FN">#REF!</definedName>
    <definedName name="Distance_16">#REF!</definedName>
    <definedName name="LnRDM">#REF!</definedName>
    <definedName name="I_B_TIMECAT_QWPE">#REF!</definedName>
    <definedName name="MP_715">#REF!</definedName>
    <definedName name="D_S_QTYLOADS_EE">#REF!</definedName>
    <definedName name="ygjyg">#REF!</definedName>
    <definedName name="PLAN_MONTHLY_17">#REF!</definedName>
    <definedName name="URAIAN721">#REF!</definedName>
    <definedName name="Q_GEN">#REF!</definedName>
    <definedName name="qAreaDistKPC">#REF!</definedName>
    <definedName name="SeriesC_5">#REF!</definedName>
    <definedName name="D_A_SQL2IMPS__ALL">#REF!</definedName>
    <definedName name="PUSAT">#REF!</definedName>
    <definedName name="SAH">#REF!</definedName>
    <definedName name="_MMM413">#REF!</definedName>
    <definedName name="pit_e">#REF!</definedName>
    <definedName name="URAIAN745">#REF!</definedName>
    <definedName name="chtYmajor_5">#REF!</definedName>
    <definedName name="roto_north_2도급">#REF!</definedName>
    <definedName name="MP_813">#REF!</definedName>
    <definedName name="___b1">#REF!</definedName>
    <definedName name="InRunRepayLTD2">#REF!</definedName>
    <definedName name="D_B_TIMECAT_Q7WP_ALL">#REF!</definedName>
    <definedName name="_MDE16">#REF!</definedName>
    <definedName name="I_M_QTYLOADS_DRWPEEL">#REF!</definedName>
    <definedName name="_632FA">#REF!</definedName>
    <definedName name="Excel_BuiltIn__FilterDatabase_10_1_1">#REF!</definedName>
    <definedName name="srvl">#REF!</definedName>
    <definedName name="_2_d_1">#REF!</definedName>
    <definedName name="Pembongkaran">#REF!</definedName>
    <definedName name="FORM846">#REF!</definedName>
    <definedName name="_MMM48">#REF!</definedName>
    <definedName name="D_B_TIMECAT_IQPE_ALL">#REF!</definedName>
    <definedName name="Gerät">#REF!</definedName>
    <definedName name="DIST_3_1">#REF!</definedName>
    <definedName name="DATA62">#REF!</definedName>
    <definedName name="I_A_TIMECAT_SQ">#REF!</definedName>
    <definedName name="Shiping1">#REF!</definedName>
    <definedName name="URAIAN82">#REF!</definedName>
    <definedName name="I_S_QTYLOADS_P_FN">#REF!</definedName>
    <definedName name="_____________________________________DEP11">#REF!</definedName>
    <definedName name="Fpitinv">#REF!</definedName>
    <definedName name="banov">#REF!</definedName>
    <definedName name="coalshippedplan">#REF!</definedName>
    <definedName name="I_A_QTYLOADS_DQL">#REF!</definedName>
    <definedName name="D_B_TIMECAT_QPE">#REF!</definedName>
    <definedName name="StartRun1">#REF!</definedName>
    <definedName name="employee_korean">#REF!</definedName>
    <definedName name="Q_REMARK">#REF!</definedName>
    <definedName name="Dalmatians_Game">#REF!</definedName>
    <definedName name="Ppitinv">#REF!</definedName>
    <definedName name="D_A_TIMECAT_DQE">#REF!</definedName>
    <definedName name="I_B_TIMECAT_Q7WP_FN">#REF!</definedName>
    <definedName name="농협원화3">#REF!</definedName>
    <definedName name="drde">#REF!</definedName>
    <definedName name="__Cat773">#REF!</definedName>
    <definedName name="I_B_TIMECAT_QSE_FN">#REF!</definedName>
    <definedName name="MENUD7">#REF!</definedName>
    <definedName name="Tpf">#REF!</definedName>
    <definedName name="iModel">#REF!</definedName>
    <definedName name="D_B_TRUCKCYCLES_DQ">#REF!</definedName>
    <definedName name="D_B_TIMECAT_SQ">#REF!</definedName>
    <definedName name="nmU2s_8">#REF!</definedName>
    <definedName name="D_S_MATMOVED_SQL_ALL">#REF!</definedName>
    <definedName name="____________________________________________________________wwp1">#REF!</definedName>
    <definedName name="ok_4">#REF!</definedName>
    <definedName name="__________________________________JAN99">#REF!</definedName>
    <definedName name="MP_55">#REF!</definedName>
    <definedName name="ExternalData4">#REF!</definedName>
    <definedName name="_10">#REF!</definedName>
    <definedName name="TV">#REF!</definedName>
    <definedName name="I_F_SQL2IMPS_">#REF!</definedName>
    <definedName name="I_B_TIMECAT_QSP_FN">#REF!</definedName>
    <definedName name="RD_056">#REF!</definedName>
    <definedName name="OPT_GL_1">#REF!</definedName>
    <definedName name="URAIAN814">#REF!</definedName>
    <definedName name="_tk4">#REF!</definedName>
    <definedName name="I_YC_LOADER_Q_FN">#REF!</definedName>
    <definedName name="I_B_TIMECAT_QIPEE_FN">#REF!</definedName>
    <definedName name="_MU541771">#REF!</definedName>
    <definedName name="DATA51">#REF!</definedName>
    <definedName name="D_B_TRUCKCYCLES_DE_ALL">#REF!</definedName>
    <definedName name="Fkpccons">#REF!</definedName>
    <definedName name="_________________________2_MASTER_SUMMARY_YEARLY">#REF!</definedName>
    <definedName name="D_B_STATUS_E7">#REF!</definedName>
    <definedName name="D_B_STATUS_QE">#REF!</definedName>
    <definedName name="_____________________________________________________wwp2">#REF!</definedName>
    <definedName name="StartDay">#REF!</definedName>
    <definedName name="CARINPP">#REF!</definedName>
    <definedName name="DMCR5">#REF!</definedName>
    <definedName name="Fcostpertonne">#REF!</definedName>
    <definedName name="Distance_11_1">#REF!</definedName>
    <definedName name="___DEP22">#REF!</definedName>
    <definedName name="I_B_STATUS_IQEE">#REF!</definedName>
    <definedName name="D_R_TIMECAT_EDE">#REF!</definedName>
    <definedName name="busng">#REF!</definedName>
    <definedName name="_MMM10">#REF!</definedName>
    <definedName name="_nme2">#REF!</definedName>
    <definedName name="MENUD5F2">#REF!</definedName>
    <definedName name="Tenaga">#REF!</definedName>
    <definedName name="e">#REF!</definedName>
    <definedName name="________________________________MGM2">#REF!</definedName>
    <definedName name="____JAN99">#REF!</definedName>
    <definedName name="FS_2">#REF!</definedName>
    <definedName name="OB_MONTH">#REF!</definedName>
    <definedName name="Email">#REF!</definedName>
    <definedName name="cetak">#REF!</definedName>
    <definedName name="D_B_MATMOVED_">#REF!</definedName>
    <definedName name="class">#REF!</definedName>
    <definedName name="_____________________________________________________________wwp1">#REF!</definedName>
    <definedName name="________g20616">#REF!</definedName>
    <definedName name="Areas_8">#REF!</definedName>
    <definedName name="_________BS01">#REF!</definedName>
    <definedName name="Data_Plan_16">#REF!</definedName>
    <definedName name="PROJECTED_ANIMATION_START">#REF!</definedName>
    <definedName name="asmo5">#REF!</definedName>
    <definedName name="____b2">#REF!</definedName>
    <definedName name="InTopSoilingOutpit">#REF!</definedName>
    <definedName name="Excel_BuiltIn_Print_Area_25">#REF!</definedName>
    <definedName name="jigsaw">#REF!</definedName>
    <definedName name="_BSG13">#REF!</definedName>
    <definedName name="_MDE47">#REF!</definedName>
    <definedName name="D_B_TIMECAT_ESEQMT_DEPT_ALL">#REF!</definedName>
    <definedName name="four">#REF!</definedName>
    <definedName name="__________________MAY99">#REF!</definedName>
    <definedName name="Wind_Dir">#REF!</definedName>
    <definedName name="ui">#REF!</definedName>
    <definedName name="SPK">#REF!</definedName>
    <definedName name="_________________________________________________________________________________________________________________g20616">#REF!</definedName>
    <definedName name="URAIAN7619">#REF!</definedName>
    <definedName name="namaopr">#REF!</definedName>
    <definedName name="FORM732">#REF!</definedName>
    <definedName name="StandarHours20_8">#REF!</definedName>
    <definedName name="___APR99">#REF!</definedName>
    <definedName name="_Tci785">#REF!</definedName>
    <definedName name="_____________________g20616">#REF!</definedName>
    <definedName name="timing_9">#REF!</definedName>
    <definedName name="_____________________wk45">#REF!</definedName>
    <definedName name="capRomEW">#REF!</definedName>
    <definedName name="_JAN99">#REF!</definedName>
    <definedName name="D_B_STATUS_DEP">#REF!</definedName>
    <definedName name="D_B_TIMECAT_DE">#REF!</definedName>
    <definedName name="__LA1000">#REF!</definedName>
    <definedName name="________________________________b1">#REF!</definedName>
    <definedName name="Data_Plan_4">#REF!</definedName>
    <definedName name="D_B_LOADER_Q">#REF!</definedName>
    <definedName name="D_A_TIMECAT_QE">#REF!</definedName>
    <definedName name="KASARHALUS">#REF!</definedName>
    <definedName name="LnPMGR0">#REF!</definedName>
    <definedName name="D_S_MATMOVED_SQL">#REF!</definedName>
    <definedName name="HL3brm">#REF!</definedName>
    <definedName name="_______________________________________DEP11">#REF!</definedName>
    <definedName name="__________________________APR99">#REF!</definedName>
    <definedName name="wsdwq">#REF!</definedName>
    <definedName name="DATAF1A">#REF!</definedName>
    <definedName name="_SAP05">#REF!</definedName>
    <definedName name="_______________________________DEP2">#REF!</definedName>
    <definedName name="two">#REF!</definedName>
    <definedName name="_MDE05">#REF!</definedName>
    <definedName name="D_A_TIMECAT_IQ_ALL">#REF!</definedName>
    <definedName name="Q_DOWN">#REF!</definedName>
    <definedName name="_______________________________________________g20616">#REF!</definedName>
    <definedName name="I_B_TIMECAT_QSWPE">#REF!</definedName>
    <definedName name="nama1">#REF!</definedName>
    <definedName name="___________________DEP11">#REF!</definedName>
    <definedName name="Minimum_net_present_value">#REF!</definedName>
    <definedName name="aREA2">#REF!</definedName>
    <definedName name="______________________RP1">#REF!</definedName>
    <definedName name="I_B_QTYLOADS_SKL_FN">#REF!</definedName>
    <definedName name="_843PK">#REF!</definedName>
    <definedName name="________wwp2">#REF!</definedName>
    <definedName name="_MDE36">#REF!</definedName>
    <definedName name="StandarHours12">#REF!</definedName>
    <definedName name="gfgf">#REF!</definedName>
    <definedName name="SENG">#REF!</definedName>
    <definedName name="FOREMAN">#REF!</definedName>
    <definedName name="UPAH2">#REF!</definedName>
    <definedName name="D_B_STATUS_Q_ALL">#REF!</definedName>
    <definedName name="step">#REF!</definedName>
    <definedName name="I_S_QTYLOADS_RLP">#REF!</definedName>
    <definedName name="Data_Plan_9">#REF!</definedName>
    <definedName name="__________________________________________________________________________________g20616">#REF!</definedName>
    <definedName name="JNL_WASTE">#REF!</definedName>
    <definedName name="I_A_QTYLOADS_SQLP">#REF!</definedName>
    <definedName name="stlpin">#REF!</definedName>
    <definedName name="PA_coal">#REF!</definedName>
    <definedName name="InvLead">#REF!</definedName>
    <definedName name="_______________MGM2">#REF!</definedName>
    <definedName name="D_B_TIMECAT_QSEQMT_OWNREQMT_DEPT_ALL">#REF!</definedName>
    <definedName name="I_B_STATUS_EDE_FN">#REF!</definedName>
    <definedName name="D_A_TIMECAT_SQ_ALL">#REF!</definedName>
    <definedName name="_____________DEP11">#REF!</definedName>
    <definedName name="DATA52">#REF!</definedName>
    <definedName name="Pendidikan">#REF!</definedName>
    <definedName name="D_A_QTYLOADS_LQD_ALL">#REF!</definedName>
    <definedName name="_Parse_Out">#REF!</definedName>
    <definedName name="MP_7122">#REF!</definedName>
    <definedName name="Fempl920">#REF!</definedName>
    <definedName name="StandarHours16_9">#REF!</definedName>
    <definedName name="I_B_TIMECAT_QSEQMT_OWNREQMT_DEPT">#REF!</definedName>
    <definedName name="I_B_QTYLOADS_7L">#REF!</definedName>
    <definedName name="I_B_STATUS_IQ">#REF!</definedName>
    <definedName name="__DAT8">#REF!</definedName>
    <definedName name="D_B_TIMECAT_DQR_ALL">#REF!</definedName>
    <definedName name="exc_coal">#REF!</definedName>
    <definedName name="SDFG">#REF!</definedName>
    <definedName name="DATA56">#REF!</definedName>
    <definedName name="JDE_9">#REF!</definedName>
    <definedName name="PLAN_OB">#REF!</definedName>
    <definedName name="FORM611">#REF!</definedName>
    <definedName name="I_B_TIMECAT_SEWE">#REF!</definedName>
    <definedName name="_8.1__1">#REF!</definedName>
    <definedName name="I_B_TIMECAT_QWE_FN">#REF!</definedName>
    <definedName name="D_A_QTYLOADS_SQLP_ALL">#REF!</definedName>
    <definedName name="SMUdif">#REF!</definedName>
    <definedName name="D_B_STATUS_QDP">#REF!</definedName>
    <definedName name="DMAL">#REF!</definedName>
    <definedName name="기업원화2">#REF!</definedName>
    <definedName name="HLS3FW">#REF!</definedName>
    <definedName name="_____________________________________________________________________________________________________________________________________________________________g20616">#REF!</definedName>
    <definedName name="sumport">#REF!</definedName>
    <definedName name="I_B_STATUS_IEEE_FN">#REF!</definedName>
    <definedName name="__________________g20616">#REF!</definedName>
    <definedName name="_ME30">#REF!</definedName>
    <definedName name="myChtNumbers_9">#REF!</definedName>
    <definedName name="B_PN3">#REF!</definedName>
    <definedName name="_ME61">#REF!</definedName>
    <definedName name="WH_Style_2">#REF!</definedName>
    <definedName name="WEEKLY5">#REF!</definedName>
    <definedName name="D_B_MATMOVED_DEL">#REF!</definedName>
    <definedName name="minesche">#REF!</definedName>
    <definedName name="InRunRepayLease2">#REF!</definedName>
    <definedName name="___________________________________________________________________________________________________________________________g20616">#REF!</definedName>
    <definedName name="Tanggal">#REF!</definedName>
    <definedName name="_MMM41">#REF!</definedName>
    <definedName name="BCP_8">#REF!</definedName>
    <definedName name="Print_area_1">#REF!</definedName>
    <definedName name="D_B_TIMECAT_ES_ALL">#REF!</definedName>
    <definedName name="Excel_BuiltIn_Print_Area_35">#REF!</definedName>
    <definedName name="I_A_STATUS_IQER_FN">#REF!</definedName>
    <definedName name="D_F_TRUCKCYCLES_SK_ALL">#REF!</definedName>
    <definedName name="_______________g20616">#REF!</definedName>
    <definedName name="D_B_QTYLOADS_DRPTL_ALL">#REF!</definedName>
    <definedName name="D_MQ_PLANS__ALL">#REF!</definedName>
    <definedName name="I_B_TRUCKCYCLES_SK_FN">#REF!</definedName>
    <definedName name="duty">#REF!</definedName>
    <definedName name="URAIAN815">#REF!</definedName>
    <definedName name="_______________________DEP2">#REF!</definedName>
    <definedName name="OPT_GL_16">#REF!</definedName>
    <definedName name="_______________________________wwp2">#REF!</definedName>
    <definedName name="D_A_TIMECAT_Q">#REF!</definedName>
    <definedName name="OPT_S1">#REF!</definedName>
    <definedName name="FORM721">#REF!</definedName>
    <definedName name="D_R_TRUCKCYCLES_DR">#REF!</definedName>
    <definedName name="URAIAN">#REF!</definedName>
    <definedName name="I_A_QTYLOADS_DEL_FN">#REF!</definedName>
    <definedName name="fptax">#REF!</definedName>
    <definedName name="PITTOROMN">#REF!</definedName>
    <definedName name="_________________________DEC98">#REF!</definedName>
    <definedName name="_Key2">#REF!</definedName>
    <definedName name="House___Etc">#REF!</definedName>
    <definedName name="I_B_QTYLOADS_IRPL">#REF!</definedName>
    <definedName name="RD_075">#REF!</definedName>
    <definedName name="FORM7613c">#REF!</definedName>
    <definedName name="_____________________________________________________________________________________________________________________g20616">#REF!</definedName>
    <definedName name="I_B_TIMECAT_E7E">#REF!</definedName>
    <definedName name="_________________________________________DEP2">#REF!</definedName>
    <definedName name="Fbincm">#REF!</definedName>
    <definedName name="I_B_QTYLOADS_RPTL_FN">#REF!</definedName>
    <definedName name="_tk10">#REF!</definedName>
    <definedName name="dProdOB_head">#REF!</definedName>
    <definedName name="I_B_TIMECAT_Q7">#REF!</definedName>
    <definedName name="EX_311">#REF!</definedName>
    <definedName name="_iRFOil">#REF!</definedName>
    <definedName name="Series_NOPAT___FP_4">#REF!</definedName>
    <definedName name="______________________________________________________g20616">#REF!</definedName>
    <definedName name="_A80360">#REF!</definedName>
    <definedName name="D_C_SQL2MMS_">#REF!</definedName>
    <definedName name="data_clear">#REF!</definedName>
    <definedName name="URAIAN94">#REF!</definedName>
    <definedName name="ADT_07">#REF!</definedName>
    <definedName name="D_B_QTYLOADS_DPTTL_ALL">#REF!</definedName>
    <definedName name="I_B_TIMECAT_QIWE">#REF!</definedName>
    <definedName name="경남원화1">#REF!</definedName>
    <definedName name="________DEP11">#REF!</definedName>
    <definedName name="D_B_TIMECAT_EE">#REF!</definedName>
    <definedName name="_MMM11">#REF!</definedName>
    <definedName name="___MGM2">#REF!</definedName>
    <definedName name="URAIAN771b">#REF!</definedName>
    <definedName name="D_B_QTYLOADS_DT">#REF!</definedName>
    <definedName name="KR1HW">#REF!</definedName>
    <definedName name="LIST1">#REF!</definedName>
    <definedName name="_MDE23">#REF!</definedName>
    <definedName name="StandarHours23">#REF!</definedName>
    <definedName name="aku">#REF!</definedName>
    <definedName name="___________MAR99">#REF!</definedName>
    <definedName name="mmt">#REF!</definedName>
    <definedName name="Distance_11">#REF!</definedName>
    <definedName name="SEPULUH">#REF!</definedName>
    <definedName name="ptyHD1250">#REF!</definedName>
    <definedName name="WH_Loader">#REF!</definedName>
    <definedName name="_________________________________________________________________________________g20616">#REF!</definedName>
    <definedName name="JNL_MTC">#REF!</definedName>
    <definedName name="Equipment_25">#REF!</definedName>
    <definedName name="____________________DEP11">#REF!</definedName>
    <definedName name="I_B_TIMECAT_QWE">#REF!</definedName>
    <definedName name="Fuel_Provided_9">#REF!</definedName>
    <definedName name="_MDE15">#REF!</definedName>
    <definedName name="Spielzeit">#REF!</definedName>
    <definedName name="____________________________MGM1">#REF!</definedName>
    <definedName name="sat">#REF!</definedName>
    <definedName name="already">#REF!</definedName>
    <definedName name="_______________________________________JAN99">#REF!</definedName>
    <definedName name="I_A_TIMECAT_DEWPE">#REF!</definedName>
    <definedName name="__PLO1">#REF!</definedName>
    <definedName name="D_B_STATUS_SEWER">#REF!</definedName>
    <definedName name="I_B_STATUS_7EER">#REF!</definedName>
    <definedName name="I_B_TIMECAT_SE">#REF!</definedName>
    <definedName name="FORM7619">#REF!</definedName>
    <definedName name="D_M_STATUS_TR_ALL">#REF!</definedName>
    <definedName name="InCoalMiningPrice">#REF!</definedName>
    <definedName name="DATA8">#REF!</definedName>
    <definedName name="weekly_jul">#REF!</definedName>
    <definedName name="D_B_TIMECAT_DQE">#REF!</definedName>
    <definedName name="I_B_TIMECAT_DQR">#REF!</definedName>
    <definedName name="seven">#REF!</definedName>
    <definedName name="sdgvbs">#REF!</definedName>
    <definedName name="I_A_TIMECAT_SQWPEE">#REF!</definedName>
    <definedName name="___Cat773">#REF!</definedName>
    <definedName name="FORM713">#REF!</definedName>
    <definedName name="EKA_9">#REF!</definedName>
    <definedName name="D_B_TIMECAT_IE">#REF!</definedName>
    <definedName name="___________BS01">#REF!</definedName>
    <definedName name="_841PK">#REF!</definedName>
    <definedName name="BUDI14">#REF!</definedName>
    <definedName name="________________JAN99">#REF!</definedName>
    <definedName name="Excel_BuiltIn__FilterDatabase_8">#REF!</definedName>
    <definedName name="Excel_BuiltIn_Print_Area_20">#REF!</definedName>
    <definedName name="D_A_STATUS_QR_ALL">#REF!</definedName>
    <definedName name="FDP_28_1_aUrv">#REF!</definedName>
    <definedName name="FORM98">#REF!</definedName>
    <definedName name="PART_NUMBER">#REF!</definedName>
    <definedName name="_MMM39">#REF!</definedName>
    <definedName name="랴">#REF!</definedName>
    <definedName name="DATA74">#REF!</definedName>
    <definedName name="____________________________________DEC98">#REF!</definedName>
    <definedName name="D9R">#REF!</definedName>
    <definedName name="D_B_QTYLOADS_DPTL_ALL">#REF!</definedName>
    <definedName name="hCat785CoTot">#REF!</definedName>
    <definedName name="_iRFTyre">#REF!</definedName>
    <definedName name="___DAT5">#REF!</definedName>
    <definedName name="_7.1__2">#REF!</definedName>
    <definedName name="VhcTable">#REF!</definedName>
    <definedName name="Plan_Dedicated">#REF!</definedName>
    <definedName name="Fempl200">#REF!</definedName>
    <definedName name="요약1">#REF!</definedName>
    <definedName name="Units">#REF!</definedName>
    <definedName name="geology">#REF!</definedName>
    <definedName name="D_B_TIMECAT_SQW_ALL">#REF!</definedName>
    <definedName name="rentli">#REF!</definedName>
    <definedName name="_____________________________________________________________________________________________g20616">#REF!</definedName>
    <definedName name="weekly_agt">#REF!</definedName>
    <definedName name="D_B_TIMECAT_QDP_ALL">#REF!</definedName>
    <definedName name="_LLL05">#REF!</definedName>
    <definedName name="_812FA">#REF!</definedName>
    <definedName name="URAIAN711">#REF!</definedName>
    <definedName name="NumMonths">#REF!</definedName>
    <definedName name="D_B_TIMECAT_DQWE_ALL">#REF!</definedName>
    <definedName name="NB_SD">#REF!</definedName>
    <definedName name="LCC">#REF!</definedName>
    <definedName name="DATA79">#REF!</definedName>
    <definedName name="sale_kepco_total">#REF!</definedName>
    <definedName name="_EUC02">#REF!</definedName>
    <definedName name="_________________________________________________________________g20616">#REF!</definedName>
    <definedName name="lose">#REF!</definedName>
    <definedName name="_________________________________________________________________________________________________________________________________g20616">#REF!</definedName>
    <definedName name="April">#REF!</definedName>
    <definedName name="______________________________________________________________wwp1">#REF!</definedName>
    <definedName name="spsummary">#REF!</definedName>
    <definedName name="___________DEC98">#REF!</definedName>
    <definedName name="_________________________________________g20616">#REF!</definedName>
    <definedName name="bonus">#REF!</definedName>
    <definedName name="CHE">#REF!</definedName>
    <definedName name="_1_a_1">#REF!</definedName>
    <definedName name="_Sci789">#REF!</definedName>
    <definedName name="UPAH3">#REF!</definedName>
    <definedName name="range">#REF!</definedName>
    <definedName name="XREF_COLUMN_2">#REF!</definedName>
    <definedName name="_MDE55">#REF!</definedName>
    <definedName name="____________________________DEP2">#REF!</definedName>
    <definedName name="Fill">#REF!</definedName>
    <definedName name="_______MGM1">#REF!</definedName>
    <definedName name="D_A_QTYLOADS_DEQL_ALL">#REF!</definedName>
    <definedName name="DIST_2_1">#REF!</definedName>
    <definedName name="MP_817">#REF!</definedName>
    <definedName name="subac">#REF!</definedName>
    <definedName name="spile">#REF!</definedName>
    <definedName name="_________________________dep1">#REF!</definedName>
    <definedName name="_________________wwp2">#REF!</definedName>
    <definedName name="qTotWaste">#REF!</definedName>
    <definedName name="HL">#REF!</definedName>
    <definedName name="Sbinob">#REF!</definedName>
    <definedName name="WkRevFuelKPC">#REF!</definedName>
    <definedName name="D_A_STATUS_DER">#REF!</definedName>
    <definedName name="I_S_TIMECAT_Q_FN">#REF!</definedName>
    <definedName name="I_F_TRUCKCYCLES_SK">#REF!</definedName>
    <definedName name="PLAN_17">#REF!</definedName>
    <definedName name="D_YC_LOADER_E">#REF!</definedName>
    <definedName name="cetak_9">#REF!</definedName>
    <definedName name="_819FA">#REF!</definedName>
    <definedName name="____________2_MASTER_SUMMARY_YEARLY">#REF!</definedName>
    <definedName name="D_B_TIMECAT_QIPEE">#REF!</definedName>
    <definedName name="D_A_QTYLOADS_DL_ALL">#REF!</definedName>
    <definedName name="weekly_des">#REF!</definedName>
    <definedName name="nmU1s_6">#REF!</definedName>
    <definedName name="BUMA_C원탄">#REF!</definedName>
    <definedName name="BTS2BW">#REF!</definedName>
    <definedName name="_tot2">#REF!</definedName>
    <definedName name="하나원화1">#REF!</definedName>
    <definedName name="iQty">#REF!</definedName>
    <definedName name="외환원화4">#REF!</definedName>
    <definedName name="FDP_9_1_aDrv">#REF!</definedName>
    <definedName name="_6BS01_">#REF!</definedName>
    <definedName name="Fuel_Method">#REF!</definedName>
    <definedName name="bengalonts">#REF!</definedName>
    <definedName name="MENUD7U2">#REF!</definedName>
    <definedName name="MP_814">#REF!</definedName>
    <definedName name="FrmTbrLink2">#REF!</definedName>
    <definedName name="APR">#REF!</definedName>
    <definedName name="I_A_QTYLOADS_EPL">#REF!</definedName>
    <definedName name="_411PK">#REF!</definedName>
    <definedName name="SCurveAdd">#REF!</definedName>
    <definedName name="_PJA191">#REF!</definedName>
    <definedName name="I_B_STATUS_SQWER_FN">#REF!</definedName>
    <definedName name="D_B_TIMECAT_Q7W">#REF!</definedName>
    <definedName name="DATATANGGAL">#REF!</definedName>
    <definedName name="___________________________APR99">#REF!</definedName>
    <definedName name="I_A_QTYLOADS_LQSP">#REF!</definedName>
    <definedName name="I_S_QTYLOADS_EE_FN">#REF!</definedName>
    <definedName name="Date_Coal_head">#REF!</definedName>
    <definedName name="BALANCE09">#REF!</definedName>
    <definedName name="dCoal_Daily">#REF!</definedName>
    <definedName name="I_B_TIMECAT_Q7SP">#REF!</definedName>
    <definedName name="Maint">#REF!</definedName>
    <definedName name="MHA_유가보상">#REF!</definedName>
    <definedName name="_______________________MAY99">#REF!</definedName>
    <definedName name="D_B_STATUS_7QER_ALL">#REF!</definedName>
    <definedName name="I_A_QTYLOADS_QL_FN">#REF!</definedName>
    <definedName name="BLOCK">#REF!</definedName>
    <definedName name="_MMM17">#REF!</definedName>
    <definedName name="Dozers_8">#REF!</definedName>
    <definedName name="____________________________________________________________________wwp1">#REF!</definedName>
    <definedName name="EX_415">#REF!</definedName>
    <definedName name="I_A_QTYLOADS_IQPL_FN">#REF!</definedName>
    <definedName name="D_B_TIMECAT_7E_ALL">#REF!</definedName>
    <definedName name="FORM331">#REF!</definedName>
    <definedName name="________b1">#REF!</definedName>
    <definedName name="I_B_MATMOVED_QD_FN">#REF!</definedName>
    <definedName name="제일금액">#REF!</definedName>
    <definedName name="NB_PN1">#REF!</definedName>
    <definedName name="tbin">#REF!</definedName>
    <definedName name="qTotalQuarry">#REF!</definedName>
    <definedName name="SHIFTII">#REF!</definedName>
    <definedName name="Explosive_Usages">#REF!</definedName>
    <definedName name="D_B_TIMECAT_QIE">#REF!</definedName>
    <definedName name="_________________________FEB99">#REF!</definedName>
    <definedName name="StandarHours30">#REF!</definedName>
    <definedName name="nml1sd">#REF!</definedName>
    <definedName name="UPAH7">#REF!</definedName>
    <definedName name="D_A_TRUCKCYCLES_DE">#REF!</definedName>
    <definedName name="FDP_33_1_aUrv">#REF!</definedName>
    <definedName name="I_A_QTYLOADS_QSE_FN">#REF!</definedName>
    <definedName name="URAIAN79manual">#REF!</definedName>
    <definedName name="EqStatus">#REF!</definedName>
    <definedName name="Pcostpertonne">#REF!</definedName>
    <definedName name="_Regression_X">#REF!</definedName>
    <definedName name="PROD_EX_S1">#REF!</definedName>
    <definedName name="D_B_MATMOVED_DE_ALL">#REF!</definedName>
    <definedName name="jir">#REF!</definedName>
    <definedName name="D_B_TIMECAT_QSWE_ALL">#REF!</definedName>
    <definedName name="URAIAN811">#REF!</definedName>
    <definedName name="truck_price">#REF!</definedName>
    <definedName name="Maintenance">#REF!</definedName>
    <definedName name="wol_4">#REF!</definedName>
    <definedName name="D_Y1_STATUS_E_ALL">#REF!</definedName>
    <definedName name="D_B_TIMECAT_QDPE">#REF!</definedName>
    <definedName name="금액1">#REF!</definedName>
    <definedName name="_844PK">#REF!</definedName>
    <definedName name="I_A_QTYLOADS_QPEL_FN">#REF!</definedName>
    <definedName name="_jpk1">#REF!</definedName>
    <definedName name="I_B_TIMECAT_E7">#REF!</definedName>
    <definedName name="Srehab">#REF!</definedName>
    <definedName name="___RD3">#REF!</definedName>
    <definedName name="t_6">#REF!</definedName>
    <definedName name="Pbinob">#REF!</definedName>
    <definedName name="_MDE32">#REF!</definedName>
    <definedName name="keterangan">#REF!</definedName>
    <definedName name="D_A_TIMECAT_DE">#REF!</definedName>
    <definedName name="GFDFG">#REF!</definedName>
    <definedName name="_______wwp2">#REF!</definedName>
    <definedName name="ASSUMP3">#REF!</definedName>
    <definedName name="I_A_QTYLOADS_SWPL">#REF!</definedName>
    <definedName name="D_A_QTYLOADS_LQD">#REF!</definedName>
    <definedName name="January">#REF!</definedName>
    <definedName name="________MGM2">#REF!</definedName>
    <definedName name="Correctionlist">#REF!</definedName>
    <definedName name="I_Y_TIMECAT_Q">#REF!</definedName>
    <definedName name="_PRO4">#REF!</definedName>
    <definedName name="I_B_TIMECAT_QSWE_FN">#REF!</definedName>
    <definedName name="D_B_QTYLOADS_7RL_ALL">#REF!</definedName>
    <definedName name="_______________________________________________________wwp1">#REF!</definedName>
    <definedName name="Rutin_2b">#REF!</definedName>
    <definedName name="NS_PN3">#REF!</definedName>
    <definedName name="D_B_TIMECAT_SQE">#REF!</definedName>
    <definedName name="________DEP2">#REF!</definedName>
    <definedName name="_______DEP22">#REF!</definedName>
    <definedName name="StandarHours27">#REF!</definedName>
    <definedName name="MtnHrsPctg">#REF!</definedName>
    <definedName name="_SAP11">#REF!</definedName>
    <definedName name="_DAT6">#REF!</definedName>
    <definedName name="nmMean_8">#REF!</definedName>
    <definedName name="dd">#REF!</definedName>
    <definedName name="I_B_QTYLOADS_DRPEEL_FN">#REF!</definedName>
    <definedName name="________________________________________b1">#REF!</definedName>
    <definedName name="D_A_QTYLOADS_LQSP_ALL">#REF!</definedName>
    <definedName name="StandarHours1_8">#REF!</definedName>
    <definedName name="Qtr_result">#REF!</definedName>
    <definedName name="Show_NOPAT___FP">#REF!</definedName>
    <definedName name="coal_south">#REF!</definedName>
    <definedName name="URAIAN911">#REF!</definedName>
    <definedName name="sales1_4">#REF!</definedName>
    <definedName name="qqqqqqqqqqqq">#REF!</definedName>
    <definedName name="_82FA">#REF!</definedName>
    <definedName name="melawanytdash">#REF!</definedName>
    <definedName name="I_B_TIMECAT_ESW">#REF!</definedName>
    <definedName name="CUMBARGINGTRADING">#REF!</definedName>
    <definedName name="melawants">#REF!</definedName>
    <definedName name="I_A_QTYLOADS_SEL">#REF!</definedName>
    <definedName name="_EEE14">#REF!</definedName>
    <definedName name="Rutin_5c">#REF!</definedName>
    <definedName name="mONTHLY_SUMMARY_BY_AREA">#REF!</definedName>
    <definedName name="DIST_11">#REF!</definedName>
    <definedName name="______________________________________MAY99">#REF!</definedName>
    <definedName name="I_B_TIMECAT_QI_FN">#REF!</definedName>
    <definedName name="I_S_QTYLOADS_SL">#REF!</definedName>
    <definedName name="_______________________________________________________________________________________g20616">#REF!</definedName>
    <definedName name="I_B_STATUS_DQR">#REF!</definedName>
    <definedName name="산업원화4">#REF!</definedName>
    <definedName name="AUD">#REF!</definedName>
    <definedName name="OPT_GL_20">#REF!</definedName>
    <definedName name="FORM916">#REF!</definedName>
    <definedName name="I_S_MATMOVED_E_FN">#REF!</definedName>
    <definedName name="fgdgdggh">#REF!</definedName>
    <definedName name="I_S_QTYDUMPS_X">#REF!</definedName>
    <definedName name="Ikhwan">#REF!</definedName>
    <definedName name="D_B_TIMECAT_QDHP_ALL">#REF!</definedName>
    <definedName name="I_B_SQL2MMS__FN">#REF!</definedName>
    <definedName name="____________JAN99">#REF!</definedName>
    <definedName name="I_B_QTYLOADS_KL_FN">#REF!</definedName>
    <definedName name="RD_036">#REF!</definedName>
    <definedName name="___________________________________________________________________________________________________g20616">#REF!</definedName>
    <definedName name="Trecov">#REF!</definedName>
    <definedName name="_EEE29">#REF!</definedName>
    <definedName name="I_A_TIMECAT_IEE">#REF!</definedName>
    <definedName name="InCoalHaulagePrice">#REF!</definedName>
    <definedName name="FORM917">#REF!</definedName>
    <definedName name="_________________________DEP22">#REF!</definedName>
    <definedName name="OPT_GL_9_1">#REF!</definedName>
    <definedName name="URAIAN772d">#REF!</definedName>
    <definedName name="nmLCL_6">#REF!</definedName>
    <definedName name="GRAVEL">#REF!</definedName>
    <definedName name="____________________________________DEP2">#REF!</definedName>
    <definedName name="JPEMBA">#REF!</definedName>
    <definedName name="_________________________________________BS01">#REF!</definedName>
    <definedName name="TANAH">#REF!</definedName>
    <definedName name="ADL">#REF!</definedName>
    <definedName name="D_B_STATUS_DEP_ALL">#REF!</definedName>
    <definedName name="OPT_GL_19">#REF!</definedName>
    <definedName name="Sam_Depreciation">#REF!</definedName>
    <definedName name="국민원화4">#REF!</definedName>
    <definedName name="FORM79mekanis">#REF!</definedName>
    <definedName name="_ME64">#REF!</definedName>
    <definedName name="MENUD8F3">#REF!</definedName>
    <definedName name="_______MAR99">#REF!</definedName>
    <definedName name="_d_1">#REF!</definedName>
    <definedName name="_________________________________wwp2">#REF!</definedName>
    <definedName name="asadada">#REF!</definedName>
    <definedName name="D_B_MATMOVED_SWL">#REF!</definedName>
    <definedName name="iRT">#REF!</definedName>
    <definedName name="I_B_MATMOVED_E_FN">#REF!</definedName>
    <definedName name="BUDI39">#REF!</definedName>
    <definedName name="hi">#REF!</definedName>
    <definedName name="I_R_SQL2IMPS_">#REF!</definedName>
    <definedName name="D_Y_TIMECAT_Q_ALL">#REF!</definedName>
    <definedName name="condition_3">#REF!</definedName>
    <definedName name="I_B_STATUS_QWER_FN">#REF!</definedName>
    <definedName name="TESTHKEY">#REF!</definedName>
    <definedName name="______________2_MASTER_SUMMARY_YEARLY">#REF!</definedName>
    <definedName name="D_Y_STATUS_QTR">#REF!</definedName>
    <definedName name="Contents">#REF!</definedName>
    <definedName name="CFG_Load_Group">#REF!</definedName>
    <definedName name="_612PK">#REF!</definedName>
    <definedName name="D_B_TIMECAT_QIW_ALL">#REF!</definedName>
    <definedName name="wh_style_5">#REF!</definedName>
    <definedName name="MP_322">#REF!</definedName>
    <definedName name="Qry_ForExcell_8">#REF!</definedName>
    <definedName name="______________________________________MGM2">#REF!</definedName>
    <definedName name="Rutin_3a">#REF!</definedName>
    <definedName name="I_B_MATMOVED_LQD_FN">#REF!</definedName>
    <definedName name="HHH">#REF!</definedName>
    <definedName name="rata2">#REF!</definedName>
    <definedName name="FDP_124_1_aUrv">#REF!</definedName>
    <definedName name="SEMBILAN">#REF!</definedName>
    <definedName name="D_B_QTYLOADS_IL">#REF!</definedName>
    <definedName name="___________________________________________g20616">#REF!</definedName>
    <definedName name="D_B_MATMOVED_DQWPL_ALL">#REF!</definedName>
    <definedName name="I_Y2_PLANS_7">#REF!</definedName>
    <definedName name="D_S_QTYLOADS_F">#REF!</definedName>
    <definedName name="I_B_LOADER_">#REF!</definedName>
    <definedName name="JDE_8">#REF!</definedName>
    <definedName name="D_B_STATUS_SEWER_ALL">#REF!</definedName>
    <definedName name="YTD_Days_9">#REF!</definedName>
    <definedName name="ADT_04">#REF!</definedName>
    <definedName name="_____________________MAR99">#REF!</definedName>
    <definedName name="________________MGM2">#REF!</definedName>
    <definedName name="qTotWasteDoz">#REF!</definedName>
    <definedName name="_MGM1">#REF!</definedName>
    <definedName name="Distance_9">#REF!</definedName>
    <definedName name="_Eb">#REF!</definedName>
    <definedName name="Sep_98">#REF!</definedName>
    <definedName name="URAIAN744">#REF!</definedName>
    <definedName name="capOvlConvNew">#REF!</definedName>
    <definedName name="D_B_MATMOVED_QDE">#REF!</definedName>
    <definedName name="I_A_STATUS_DER">#REF!</definedName>
    <definedName name="Tavgprice">#REF!</definedName>
    <definedName name="gh">#REF!</definedName>
    <definedName name="I_M_STATUS_TR">#REF!</definedName>
    <definedName name="StandarHours4">#REF!</definedName>
    <definedName name="Plutonic_AUS">#REF!</definedName>
    <definedName name="_MMM37">#REF!</definedName>
    <definedName name="_MU541763">#REF!</definedName>
    <definedName name="KPCNETREVYTD">#REF!</definedName>
    <definedName name="Eqpt">#REF!</definedName>
    <definedName name="WkRevTopSoil">#REF!</definedName>
    <definedName name="FORM233">#REF!</definedName>
    <definedName name="InSoilStrippingPrice">#REF!</definedName>
    <definedName name="Ssurob">#REF!</definedName>
    <definedName name="D_S_QTYLOADS_RLP">#REF!</definedName>
    <definedName name="I_B_MATMOVED_SQL_FN">#REF!</definedName>
    <definedName name="_Cat773">#REF!</definedName>
    <definedName name="MP_221">#REF!</definedName>
    <definedName name="HADUA">#REF!</definedName>
    <definedName name="D_B_TIMECAT_SEQMT_OWNREQMT_DEPT_ALL">#REF!</definedName>
    <definedName name="SIMS_유가보상">#REF!</definedName>
    <definedName name="testk_9">#REF!</definedName>
    <definedName name="FDP_12_1_aDrv">#REF!</definedName>
    <definedName name="BD_Time">#REF!</definedName>
    <definedName name="FinMthNo">#REF!</definedName>
    <definedName name="Road3">#REF!</definedName>
    <definedName name="D_A_QTYLOADS_SWPL">#REF!</definedName>
    <definedName name="C_Equip">#REF!</definedName>
    <definedName name="I_A_STATUS_DWPEER">#REF!</definedName>
    <definedName name="노무">#REF!</definedName>
    <definedName name="Area">#REF!</definedName>
    <definedName name="TRAILLER">#REF!</definedName>
    <definedName name="Stotalinv">#REF!</definedName>
    <definedName name="gnhb">#REF!</definedName>
    <definedName name="________LC2000">#REF!</definedName>
    <definedName name="__________dep1">#REF!</definedName>
    <definedName name="__DEP2">#REF!</definedName>
    <definedName name="TONNAGE">#REF!</definedName>
    <definedName name="gendhut">#REF!</definedName>
    <definedName name="________________________________________g20616">#REF!</definedName>
    <definedName name="LnMgr0">#REF!</definedName>
    <definedName name="B_2">#REF!</definedName>
    <definedName name="______________________________________________wwp1">#REF!</definedName>
    <definedName name="dpl">#REF!</definedName>
    <definedName name="xxxx">#REF!</definedName>
    <definedName name="I_A_TIMECAT_QWPEE">#REF!</definedName>
    <definedName name="Faabcm">#REF!</definedName>
    <definedName name="DATA42">#REF!</definedName>
    <definedName name="MENUB">#REF!</definedName>
    <definedName name="oRM">#REF!</definedName>
    <definedName name="DATA68">#REF!</definedName>
    <definedName name="_______________________________________g20616">#REF!</definedName>
    <definedName name="__RP1">#REF!</definedName>
    <definedName name="신한이자1">#REF!</definedName>
    <definedName name="JML_TK7">#REF!</definedName>
    <definedName name="_633FA">#REF!</definedName>
    <definedName name="FORM845">#REF!</definedName>
    <definedName name="_33FA">#REF!</definedName>
    <definedName name="ddddd">#REF!</definedName>
    <definedName name="EPHR_4">#REF!</definedName>
    <definedName name="_______________________________________________________________________________________________________________________g20616">#REF!</definedName>
    <definedName name="InFuelUsageCoalHaulage">#REF!</definedName>
    <definedName name="melnar">#REF!</definedName>
    <definedName name="data1_9">#REF!</definedName>
    <definedName name="I_S_IQTYLOADS_E">#REF!</definedName>
    <definedName name="DATA33">#REF!</definedName>
    <definedName name="I_A_TIMECAT_Q">#REF!</definedName>
    <definedName name="_MDE19">#REF!</definedName>
    <definedName name="DATA1">#REF!</definedName>
    <definedName name="_____________________________APR99">#REF!</definedName>
    <definedName name="DATA110">#REF!</definedName>
    <definedName name="Scheduled_Interest_Rate">#REF!</definedName>
    <definedName name="I_B_TIMECAT_Q7WE_FN">#REF!</definedName>
    <definedName name="DS">#REF!</definedName>
    <definedName name="__________________________________________MGM2">#REF!</definedName>
    <definedName name="Fsurcm">#REF!</definedName>
    <definedName name="FS_1">#REF!</definedName>
    <definedName name="__________________MGM2">#REF!</definedName>
    <definedName name="test10">#REF!</definedName>
    <definedName name="FORM813">#REF!</definedName>
    <definedName name="D_B_STATUS_IQER">#REF!</definedName>
    <definedName name="JML_TK3">#REF!</definedName>
    <definedName name="_______________________________________________________________________________g20616">#REF!</definedName>
    <definedName name="FORM79manual">#REF!</definedName>
    <definedName name="__LA2000">#REF!</definedName>
    <definedName name="DF">#REF!</definedName>
    <definedName name="StandarHours27_9">#REF!</definedName>
    <definedName name="_____________________________BS01">#REF!</definedName>
    <definedName name="LnLDRV0">#REF!</definedName>
    <definedName name="DIST_7">#REF!</definedName>
    <definedName name="No_DD02">#REF!</definedName>
    <definedName name="Excel_BuiltIn__FilterDatabase_21_1_1">#REF!</definedName>
    <definedName name="Tbinob">#REF!</definedName>
    <definedName name="Series_Current_Ratio_4">#REF!</definedName>
    <definedName name="I_YC_LOADER_Q">#REF!</definedName>
    <definedName name="B_SD">#REF!</definedName>
    <definedName name="I_S_QTYLOADS_EL">#REF!</definedName>
    <definedName name="ivRT">#REF!</definedName>
    <definedName name="FDP_21_1_aUrv">#REF!</definedName>
    <definedName name="D_B_TIMECAT_EW_ALL">#REF!</definedName>
    <definedName name="FORM915">#REF!</definedName>
    <definedName name="Series_NOPAT___FP_9">#REF!</definedName>
    <definedName name="DATA121">#REF!</definedName>
    <definedName name="RawData">#REF!</definedName>
    <definedName name="_Ftl789">#REF!</definedName>
    <definedName name="D_A_STATUS_DWPEER">#REF!</definedName>
    <definedName name="D_A_STATUS_IQER">#REF!</definedName>
    <definedName name="I_B_QTYLOADS_DRL">#REF!</definedName>
    <definedName name="DafAkun">#REF!</definedName>
    <definedName name="EEE17REV">#REF!</definedName>
    <definedName name="경남원화2">#REF!</definedName>
    <definedName name="PIT_DET_H1">#REF!</definedName>
    <definedName name="D_B_MATMOVED_QSE_ALL">#REF!</definedName>
    <definedName name="RCSATUA">#REF!</definedName>
    <definedName name="URAIAN733">#REF!</definedName>
    <definedName name="ok_5">#REF!</definedName>
    <definedName name="No_DD06">#REF!</definedName>
    <definedName name="Pkpcexpemp">#REF!</definedName>
    <definedName name="D_B_LOADER_SQWE">#REF!</definedName>
    <definedName name="___Tax3">#REF!</definedName>
    <definedName name="PLB">#REF!</definedName>
    <definedName name="marka">#REF!</definedName>
    <definedName name="AA">#REF!</definedName>
    <definedName name="D_S_STATUS_YTR_ALL">#REF!</definedName>
    <definedName name="D_B_MATMOVED_QDE_ALL">#REF!</definedName>
    <definedName name="D_B_TIMECAT_QSW">#REF!</definedName>
    <definedName name="Tax_Rate">#REF!</definedName>
    <definedName name="qTotWasteTS">#REF!</definedName>
    <definedName name="Sum_2023">#REF!</definedName>
    <definedName name="Jonggon3">#REF!</definedName>
    <definedName name="CFG_Fleet">#REF!</definedName>
    <definedName name="_MMM12">#REF!</definedName>
    <definedName name="Pcapex">#REF!</definedName>
    <definedName name="I_B_MATMOVED_Q">#REF!</definedName>
    <definedName name="Discount_rate_before_tax">#REF!</definedName>
    <definedName name="Tkpcob">#REF!</definedName>
    <definedName name="D_C_SQL2IMPS__ALL">#REF!</definedName>
    <definedName name="_____MAR99">#REF!</definedName>
    <definedName name="melawancv">#REF!</definedName>
    <definedName name="faf">#REF!</definedName>
    <definedName name="nmMean">#REF!</definedName>
    <definedName name="URAIAN631">#REF!</definedName>
    <definedName name="sw">#REF!</definedName>
    <definedName name="___3">#REF!</definedName>
    <definedName name="I_B_STATUS_E7_FN">#REF!</definedName>
    <definedName name="D_B_MATMOVED_SQL_ALL">#REF!</definedName>
    <definedName name="____________________wk45">#REF!</definedName>
    <definedName name="QualPCI">#REF!</definedName>
    <definedName name="Day">#REF!</definedName>
    <definedName name="PLAN_MONTHLY_2">#REF!</definedName>
    <definedName name="primaytdcv">#REF!</definedName>
    <definedName name="QualLowPinang">#REF!</definedName>
    <definedName name="NOMO">#REF!</definedName>
    <definedName name="nmU1s_9">#REF!</definedName>
    <definedName name="DAILY_FUEL">#REF!</definedName>
    <definedName name="primaytdash">#REF!</definedName>
    <definedName name="I_Y_TIMECAT_E_FN">#REF!</definedName>
    <definedName name="I_B_TIMECAT_SQ_FN">#REF!</definedName>
    <definedName name="_817PK">#REF!</definedName>
    <definedName name="______LC500">#REF!</definedName>
    <definedName name="Swvu.CapersView.">#REF!</definedName>
    <definedName name="TPDAY">#REF!</definedName>
    <definedName name="_ME20">#REF!</definedName>
    <definedName name="________FEB99">#REF!</definedName>
    <definedName name="Due_05">#REF!</definedName>
    <definedName name="INCOME02">#REF!</definedName>
    <definedName name="hWA800Tot">#REF!</definedName>
    <definedName name="_EEE08">#REF!</definedName>
    <definedName name="I_B_TIMECAT_DQPE">#REF!</definedName>
    <definedName name="______________________DEP11">#REF!</definedName>
    <definedName name="FORM65">#REF!</definedName>
    <definedName name="I_B_TIMECAT_IQ">#REF!</definedName>
    <definedName name="_2__123Graph_ACHART_13">#REF!</definedName>
    <definedName name="XRefCopy13Row">#REF!</definedName>
    <definedName name="__________________________________MAR99">#REF!</definedName>
    <definedName name="crit">#REF!</definedName>
    <definedName name="D_A_QTYLOADS_EL_ALL">#REF!</definedName>
    <definedName name="Fhatcm">#REF!</definedName>
    <definedName name="I_B_QTYLOADS_IPL_FN">#REF!</definedName>
    <definedName name="b">#REF!</definedName>
    <definedName name="____________________MAR99">#REF!</definedName>
    <definedName name="D_A_STATUS_IQR">#REF!</definedName>
    <definedName name="CUB42T">#REF!</definedName>
    <definedName name="D_B_MATMOVED_QD">#REF!</definedName>
    <definedName name="DATA86">#REF!</definedName>
    <definedName name="_____________________DEP22">#REF!</definedName>
    <definedName name="_ME18">#REF!</definedName>
    <definedName name="I_R_QTYLOADS_SQL">#REF!</definedName>
    <definedName name="___________________MAR99">#REF!</definedName>
    <definedName name="_____________wwp2">#REF!</definedName>
    <definedName name="_819PK">#REF!</definedName>
    <definedName name="D_B_STATUS_EER_ALL">#REF!</definedName>
    <definedName name="MENUD6F">#REF!</definedName>
    <definedName name="D_D_TRUCKCYCLES_SK_ALL">#REF!</definedName>
    <definedName name="driver3">#REF!</definedName>
    <definedName name="RateEqp">#REF!</definedName>
    <definedName name="___________________________JAN99">#REF!</definedName>
    <definedName name="NOM_20">#REF!</definedName>
    <definedName name="DATA115">#REF!</definedName>
    <definedName name="_______________________wwp2">#REF!</definedName>
    <definedName name="I_M_STATUS_QTR">#REF!</definedName>
    <definedName name="Equipment_27">#REF!</definedName>
    <definedName name="IJ">#REF!</definedName>
    <definedName name="Seam_C1">#REF!</definedName>
    <definedName name="BUDI20">#REF!</definedName>
    <definedName name="Pit_Date">#REF!</definedName>
    <definedName name="D_A_TIMECAT_DQP_ALL">#REF!</definedName>
    <definedName name="t_5">#REF!</definedName>
    <definedName name="________________b2">#REF!</definedName>
    <definedName name="Balance_6">#REF!</definedName>
    <definedName name="___________FEB99">#REF!</definedName>
    <definedName name="Months_9">#REF!</definedName>
    <definedName name="IntroPrintArea">#REF!</definedName>
    <definedName name="BALANCE01">#REF!</definedName>
    <definedName name="PROBLEM_PROD">#REF!</definedName>
    <definedName name="D_A_TIMECAT_IQ">#REF!</definedName>
    <definedName name="HSEE">#REF!</definedName>
    <definedName name="Coal_Int_Rev">#REF!</definedName>
    <definedName name="Interest">#REF!</definedName>
    <definedName name="_MU372037">#REF!</definedName>
    <definedName name="I_A_QTYLOADS_DQQQQL_FN">#REF!</definedName>
    <definedName name="D_M_STATUS_T_ALL">#REF!</definedName>
    <definedName name="Due_04">#REF!</definedName>
    <definedName name="B_PN1">#REF!</definedName>
    <definedName name="Series_NOPAT___FP_8">#REF!</definedName>
    <definedName name="I_A_QTYLOADS_LQSP_FN">#REF!</definedName>
    <definedName name="UPAH4">#REF!</definedName>
    <definedName name="I_B_TIMECAT_QDP">#REF!</definedName>
    <definedName name="FORM811">#REF!</definedName>
    <definedName name="uyu">#REF!</definedName>
    <definedName name="MENUD4U">#REF!</definedName>
    <definedName name="_SAP08">#REF!</definedName>
    <definedName name="I_B_TIMECAT_QP_FN">#REF!</definedName>
    <definedName name="hy">#REF!</definedName>
    <definedName name="hHD785Tot">#REF!</definedName>
    <definedName name="COSUBOB1">#REF!</definedName>
    <definedName name="Coal_Haulage">#REF!</definedName>
    <definedName name="D_A_QTYLOADS_IQPL_ALL">#REF!</definedName>
    <definedName name="DOWN">#REF!</definedName>
    <definedName name="D_R_QTYLOADS_SQL">#REF!</definedName>
    <definedName name="Quantities">#REF!</definedName>
    <definedName name="_______RP1">#REF!</definedName>
    <definedName name="OPT_GL_9">#REF!</definedName>
    <definedName name="defe">#REF!</definedName>
    <definedName name="PIT_DET_H2">#REF!</definedName>
    <definedName name="_______________________________________________________________________________________________________________________________________________g20616">#REF!</definedName>
    <definedName name="Pty_factor">#REF!</definedName>
    <definedName name="____________________________________________________________________g20616">#REF!</definedName>
    <definedName name="_TAB1">#REF!</definedName>
    <definedName name="___w3">#REF!</definedName>
    <definedName name="URAIAN632">#REF!</definedName>
    <definedName name="_3_2_MASTER_SUMMARY_YEARLY">#REF!</definedName>
    <definedName name="COAL02">#REF!</definedName>
    <definedName name="PDL">#REF!</definedName>
    <definedName name="EXCA_OB">#REF!</definedName>
    <definedName name="dProdCoal">#REF!</definedName>
    <definedName name="_____________________________________2_MASTER_SUMMARY_YEARLY">#REF!</definedName>
    <definedName name="Compile">#REF!</definedName>
    <definedName name="_ME52">#REF!</definedName>
    <definedName name="FuelBPPKB">#REF!</definedName>
    <definedName name="__________________________________________________________________________________________________________________________________________g20616">#REF!</definedName>
    <definedName name="D_B_TIMECAT_QSWEQMT_DEPT">#REF!</definedName>
    <definedName name="Scf">#REF!</definedName>
    <definedName name="Excel_BuiltIn_Print_Area_32">#REF!</definedName>
    <definedName name="HAUL_OB">#REF!</definedName>
    <definedName name="신한원화금리3">#REF!</definedName>
    <definedName name="driver2">#REF!</definedName>
    <definedName name="D_A_QTYLOADS_IPL">#REF!</definedName>
    <definedName name="_EUC03">#REF!</definedName>
    <definedName name="URAIAN76x">#REF!</definedName>
    <definedName name="____RD2">#REF!</definedName>
    <definedName name="____________MAR99">#REF!</definedName>
    <definedName name="__RD2">#REF!</definedName>
    <definedName name="timing_8">#REF!</definedName>
    <definedName name="hari">#REF!</definedName>
    <definedName name="____LA1000">#REF!</definedName>
    <definedName name="D_S_QTYLOADS_EO">#REF!</definedName>
    <definedName name="StandarHours14_8">#REF!</definedName>
    <definedName name="URAIAN7613b">#REF!</definedName>
    <definedName name="Rutin_4b">#REF!</definedName>
    <definedName name="hHD830eCoTot">#REF!</definedName>
    <definedName name="_621FA">#REF!</definedName>
    <definedName name="ㅇㅇ">#REF!</definedName>
    <definedName name="_Area">#REF!</definedName>
    <definedName name="COUNTER6">#REF!</definedName>
    <definedName name="Company">#REF!</definedName>
    <definedName name="Tcostpertonne">#REF!</definedName>
    <definedName name="_____BS01">#REF!</definedName>
    <definedName name="우리원화금리1">#REF!</definedName>
    <definedName name="_______________________________________MAY99">#REF!</definedName>
    <definedName name="I_S_QTYLOADS_PLQ_FN">#REF!</definedName>
    <definedName name="D_B_TRUCKCYCLES_RWT_ALL">#REF!</definedName>
    <definedName name="D_US_TIMECAT_7Q">#REF!</definedName>
    <definedName name="D_B_TRUCKCYCLES_E">#REF!</definedName>
    <definedName name="OB_Rem">#REF!</definedName>
    <definedName name="Q_WH">#REF!</definedName>
    <definedName name="I_B_TIMECAT_QIPEE">#REF!</definedName>
    <definedName name="D_A_TIMECAT_IEPEE">#REF!</definedName>
    <definedName name="Pspex3500">#REF!</definedName>
    <definedName name="BL_05">#REF!</definedName>
    <definedName name="_Ptl785">#REF!</definedName>
    <definedName name="잉2">#REF!</definedName>
    <definedName name="_a_9">#REF!</definedName>
    <definedName name="Namelist">#REF!</definedName>
    <definedName name="FDP_8_1_aDrv">#REF!</definedName>
    <definedName name="_DIV1">#REF!</definedName>
    <definedName name="PTJW">#REF!</definedName>
    <definedName name="D_A_QTYLOADS_PL_ALL">#REF!</definedName>
    <definedName name="RD_038">#REF!</definedName>
    <definedName name="melawanash">#REF!</definedName>
    <definedName name="weekly_nop">#REF!</definedName>
    <definedName name="I_R_SQL2IMPS__FN">#REF!</definedName>
    <definedName name="PLAN_19">#REF!</definedName>
    <definedName name="I_A_QTYLOADS_IL_FN">#REF!</definedName>
    <definedName name="coal_adj_selatan">#REF!</definedName>
    <definedName name="StandarHours28_9">#REF!</definedName>
    <definedName name="_MDE02">#REF!</definedName>
    <definedName name="Rutin_1c">#REF!</definedName>
    <definedName name="CFG_Fleet_Type">#REF!</definedName>
    <definedName name="LTOB">#REF!</definedName>
    <definedName name="I_A_QTYLOADS_LQD">#REF!</definedName>
    <definedName name="____________________________________dep1">#REF!</definedName>
    <definedName name="D11R">#REF!</definedName>
    <definedName name="D_C_PLANS__ALL">#REF!</definedName>
    <definedName name="I_B_TIMECAT_Q">#REF!</definedName>
    <definedName name="StandarHours20_9">#REF!</definedName>
    <definedName name="InEscalation">#REF!</definedName>
    <definedName name="portcoalstocks">#REF!</definedName>
    <definedName name="____________________________2_MASTER_SUMMARY_YEARLY">#REF!</definedName>
    <definedName name="MOHH">#REF!</definedName>
    <definedName name="_______MGM2">#REF!</definedName>
    <definedName name="FORM7614a">#REF!</definedName>
    <definedName name="I_S_QTYLOADS_EE">#REF!</definedName>
    <definedName name="Distance_13_1">#REF!</definedName>
    <definedName name="I_A_QTYLOADS_DPL_FN">#REF!</definedName>
    <definedName name="________________________________________MGM1">#REF!</definedName>
    <definedName name="D_B_QTYLOADS_IKPL_ALL">#REF!</definedName>
    <definedName name="URAIAN914">#REF!</definedName>
    <definedName name="asmo7">#REF!</definedName>
    <definedName name="cetak3">#REF!</definedName>
    <definedName name="Tqual">#REF!</definedName>
    <definedName name="I_Y2_STATUS__FN">#REF!</definedName>
    <definedName name="AP_2">#REF!</definedName>
    <definedName name="hCat789WstTot">#REF!</definedName>
    <definedName name="URAIAN241">#REF!</definedName>
    <definedName name="_____tes3">#REF!</definedName>
    <definedName name="abb_4">#REF!</definedName>
    <definedName name="WkRevOverhead">#REF!</definedName>
    <definedName name="OB">#REF!</definedName>
    <definedName name="URAIAN718">#REF!</definedName>
    <definedName name="Excel_BuiltIn__FilterDatabase_16_1_1">#REF!</definedName>
    <definedName name="nmL2s_8">#REF!</definedName>
    <definedName name="calory_south">#REF!</definedName>
    <definedName name="oRT">#REF!</definedName>
    <definedName name="Compactors">#REF!</definedName>
    <definedName name="ProjPrd">#REF!</definedName>
    <definedName name="primats">#REF!</definedName>
    <definedName name="FORM844">#REF!</definedName>
    <definedName name="_min04">#REF!</definedName>
    <definedName name="kjl">#REF!</definedName>
    <definedName name="URAIAN98">#REF!</definedName>
    <definedName name="D_B_TIMECAT_E7_ALL">#REF!</definedName>
    <definedName name="JACKHAMMER">#REF!</definedName>
    <definedName name="I_B_QTYLOADS_IKPL">#REF!</definedName>
    <definedName name="ISH">#REF!</definedName>
    <definedName name="Loaders_8">#REF!</definedName>
    <definedName name="Bust">#REF!</definedName>
    <definedName name="D_S_QTYLOADS_EL_ALL">#REF!</definedName>
    <definedName name="___1_2_MASTER_SUMMARY_YEARLY">#REF!</definedName>
    <definedName name="_________________b2">#REF!</definedName>
    <definedName name="D_Y_STATUS_T_ALL">#REF!</definedName>
    <definedName name="g20616_2_9">#REF!</definedName>
    <definedName name="ASATU">#REF!</definedName>
    <definedName name="_ME60">#REF!</definedName>
    <definedName name="Data_8">#REF!</definedName>
    <definedName name="hCat789CoTot">#REF!</definedName>
    <definedName name="wq">#REF!</definedName>
    <definedName name="D_S_TIMECAT__ALL">#REF!</definedName>
    <definedName name="_a_1">#REF!</definedName>
    <definedName name="I_B_MATMOVED_DL">#REF!</definedName>
    <definedName name="_______________________________FEB99">#REF!</definedName>
    <definedName name="DATA97">#REF!</definedName>
    <definedName name="Total_Pay">#REF!</definedName>
    <definedName name="___key2">#REF!</definedName>
    <definedName name="XRefCopy6">#REF!</definedName>
    <definedName name="buyer1">#REF!</definedName>
    <definedName name="__________g20616">#REF!</definedName>
    <definedName name="I_W_SQL2IMPS__FN">#REF!</definedName>
    <definedName name="XREF_COLUMN_1">#REF!</definedName>
    <definedName name="D_B_STATUS_SQ">#REF!</definedName>
    <definedName name="__________MGM1">#REF!</definedName>
    <definedName name="j">#REF!</definedName>
    <definedName name="D_B_TIMECAT_EIE_ALL">#REF!</definedName>
    <definedName name="_d_8">#REF!</definedName>
    <definedName name="cc">#REF!</definedName>
    <definedName name="Tkpcexpemp">#REF!</definedName>
    <definedName name="ooooRT">#REF!</definedName>
    <definedName name="I_Eqtype_SQL2IMPS_K">#REF!</definedName>
    <definedName name="wwp">#REF!</definedName>
    <definedName name="I_B_STATUS_DEP">#REF!</definedName>
    <definedName name="I_B_TIMECAT_DQR_FN">#REF!</definedName>
    <definedName name="__MGM2">#REF!</definedName>
    <definedName name="I_A_QTYLOADS_IEPL">#REF!</definedName>
    <definedName name="LnADMA1">#REF!</definedName>
    <definedName name="CGGC">#REF!</definedName>
    <definedName name="testk">#REF!</definedName>
    <definedName name="PPT">#REF!</definedName>
    <definedName name="XRefPaste10Row">#REF!</definedName>
    <definedName name="I_B_STATUS_QI_FN">#REF!</definedName>
    <definedName name="_kkkkk">#REF!</definedName>
    <definedName name="URAIANGEOTEKSTIL">#REF!</definedName>
    <definedName name="______________dep1">#REF!</definedName>
    <definedName name="_PRO3">#REF!</definedName>
    <definedName name="Series_COPAT___FP_8">#REF!</definedName>
    <definedName name="qwer">#REF!</definedName>
    <definedName name="___________DEP22">#REF!</definedName>
    <definedName name="_______key2">#REF!</definedName>
    <definedName name="___________________________________________________________________wwp1">#REF!</definedName>
    <definedName name="I_A_TIMECAT_DWPEE_FN">#REF!</definedName>
    <definedName name="DATA99">#REF!</definedName>
    <definedName name="농협원화금리2">#REF!</definedName>
    <definedName name="LnMTNC0">#REF!</definedName>
    <definedName name="ITEM_CATEGORY">#REF!</definedName>
    <definedName name="basic">#REF!</definedName>
    <definedName name="FDP_17_1_aUrv">#REF!</definedName>
    <definedName name="Installation">#REF!</definedName>
    <definedName name="D_B_QTYLOADS_PL">#REF!</definedName>
    <definedName name="DP_160825">#REF!</definedName>
    <definedName name="I_B_TIMECAT_7EE">#REF!</definedName>
    <definedName name="HOUSE_CAPACITY">#REF!</definedName>
    <definedName name="D_A_TIMECAT_IQE_ALL">#REF!</definedName>
    <definedName name="__________________________b1">#REF!</definedName>
    <definedName name="cetak1">#REF!</definedName>
    <definedName name="bsrv">#REF!</definedName>
    <definedName name="FORM315">#REF!</definedName>
    <definedName name="D_B_TIMECAT_QHDP">#REF!</definedName>
    <definedName name="D_B_TIMECAT_QIWE">#REF!</definedName>
    <definedName name="_____dep1">#REF!</definedName>
    <definedName name="Data_Plan_3_1">#REF!</definedName>
    <definedName name="_312PK">#REF!</definedName>
    <definedName name="eight">#REF!</definedName>
    <definedName name="I_B_TIMECAT_IQE">#REF!</definedName>
    <definedName name="dp">#REF!</definedName>
    <definedName name="Seam_U1">#REF!</definedName>
    <definedName name="start">#REF!</definedName>
    <definedName name="PICA_3">#REF!</definedName>
    <definedName name="DefRd">#REF!</definedName>
    <definedName name="LnADMS1">#REF!</definedName>
    <definedName name="_______________________________________________________________________________________________________________________________________________________g20616">#REF!</definedName>
    <definedName name="cetak10">#REF!</definedName>
    <definedName name="Kriteria2">#REF!</definedName>
    <definedName name="I_B_MATMOVED_QSWE">#REF!</definedName>
    <definedName name="________________________________DEP2">#REF!</definedName>
    <definedName name="I_B_TIMECAT_SQE">#REF!</definedName>
    <definedName name="Pagestart">#REF!</definedName>
    <definedName name="D_C_QTYLOADS_SQL_ALL">#REF!</definedName>
    <definedName name="Hystorical">#REF!</definedName>
    <definedName name="ca">#REF!</definedName>
    <definedName name="_8_0_0_F">#REF!</definedName>
    <definedName name="BUDI30">#REF!</definedName>
    <definedName name="_DAT9">#REF!</definedName>
    <definedName name="_ME49">#REF!</definedName>
    <definedName name="DATA38">#REF!</definedName>
    <definedName name="Pdty_daily">#REF!</definedName>
    <definedName name="_______LA2000">#REF!</definedName>
    <definedName name="PA">#REF!</definedName>
    <definedName name="_DEP11">#REF!</definedName>
    <definedName name="___________________________________________________________________________________________________________________________________________________________g20616">#REF!</definedName>
    <definedName name="D_A_TIMECAT_IEE_ALL">#REF!</definedName>
    <definedName name="capConHaul">#REF!</definedName>
    <definedName name="LnMTNS0">#REF!</definedName>
    <definedName name="libor">#REF!</definedName>
    <definedName name="City">#REF!</definedName>
    <definedName name="I_A_QTYLOADS_DPEEL_FN">#REF!</definedName>
    <definedName name="Tkpcft">#REF!</definedName>
    <definedName name="RMH">#REF!</definedName>
    <definedName name="coal10">#REF!</definedName>
    <definedName name="FDP_10_1_aDrv">#REF!</definedName>
    <definedName name="waste_north_contractor">#REF!</definedName>
    <definedName name="_LLL08">#REF!</definedName>
    <definedName name="I_B_QTYLOADS_KPL_FN">#REF!</definedName>
    <definedName name="akhir">#REF!</definedName>
    <definedName name="D_A_QTYLOADS_LSE">#REF!</definedName>
    <definedName name="B703ABC">#REF!</definedName>
    <definedName name="By_Area">#REF!</definedName>
    <definedName name="__________LC500">#REF!</definedName>
    <definedName name="_________wwp1">#REF!</definedName>
    <definedName name="Category_6">#REF!</definedName>
    <definedName name="D_B_TRUCKCYCLES_SK">#REF!</definedName>
    <definedName name="I_Y1_STATUS_EYTR_FN">#REF!</definedName>
    <definedName name="StandarHours11_9">#REF!</definedName>
    <definedName name="I_C_PLANS__FN">#REF!</definedName>
    <definedName name="cetak12">#REF!</definedName>
    <definedName name="D_B_TIMECAT_QDWP_ALL">#REF!</definedName>
    <definedName name="FDP_11_1_aDrv">#REF!</definedName>
    <definedName name="DT_SIANG">#REF!</definedName>
    <definedName name="I_B_QTYLOADS_RPEL">#REF!</definedName>
    <definedName name="_Stl789">#REF!</definedName>
    <definedName name="Thatob">#REF!</definedName>
    <definedName name="D_S_QTYLOADS_1_ALL">#REF!</definedName>
    <definedName name="BUDI5">#REF!</definedName>
    <definedName name="D_B_MATMOVED_DQEEL">#REF!</definedName>
    <definedName name="HLS2FW">#REF!</definedName>
    <definedName name="I_B_TIMECAT_E_FN">#REF!</definedName>
    <definedName name="xcd">#REF!</definedName>
    <definedName name="원화금리12">#REF!</definedName>
    <definedName name="filled_3">#REF!</definedName>
    <definedName name="__________________dep1">#REF!</definedName>
    <definedName name="_______________________________b2">#REF!</definedName>
    <definedName name="NP">#REF!</definedName>
    <definedName name="inci3">#REF!</definedName>
    <definedName name="I_B_MATMOVED_QSWE_FN">#REF!</definedName>
    <definedName name="Rutin_4c">#REF!</definedName>
    <definedName name="InForex_8">#REF!</definedName>
    <definedName name="testk_4">#REF!</definedName>
    <definedName name="_EEE16">#REF!</definedName>
    <definedName name="I_S_QTYLOADS_D">#REF!</definedName>
    <definedName name="________________________________wwp1">#REF!</definedName>
    <definedName name="STATUS6">#REF!</definedName>
    <definedName name="I_A_QTYLOADS_SWL_FN">#REF!</definedName>
    <definedName name="____________________dep1">#REF!</definedName>
    <definedName name="GANT_TOTALS_RANGE">#REF!</definedName>
    <definedName name="LTH">#REF!</definedName>
    <definedName name="D_B_QTYLOADS_IKL_ALL">#REF!</definedName>
    <definedName name="_____________________dep1">#REF!</definedName>
    <definedName name="________________________________________________________________________g20616">#REF!</definedName>
    <definedName name="Group">#REF!</definedName>
    <definedName name="______________________________________wwp1">#REF!</definedName>
    <definedName name="FDP_42_1_aUrv">#REF!</definedName>
    <definedName name="D_A_QTYLOADS_PL">#REF!</definedName>
    <definedName name="asmo2">#REF!</definedName>
    <definedName name="_MDE31">#REF!</definedName>
    <definedName name="D_A_QTYLOADS_SEL_ALL">#REF!</definedName>
    <definedName name="_EEE15">#REF!</definedName>
    <definedName name="pinangytdash">#REF!</definedName>
    <definedName name="_________________________________b2">#REF!</definedName>
    <definedName name="____________dep1">#REF!</definedName>
    <definedName name="__________LA500">#REF!</definedName>
    <definedName name="UoA">#REF!</definedName>
    <definedName name="FORM7614b">#REF!</definedName>
    <definedName name="I_B_QTYLOADS_7RL">#REF!</definedName>
    <definedName name="Depreciation_waste">#REF!</definedName>
    <definedName name="_Pap789">#REF!</definedName>
    <definedName name="_MDE35">#REF!</definedName>
    <definedName name="________________________________________________________________wwp2">#REF!</definedName>
    <definedName name="___________________________________DEP22">#REF!</definedName>
    <definedName name="OPT_GL_2_1">#REF!</definedName>
    <definedName name="D_S_QTYLOADS_DP">#REF!</definedName>
    <definedName name="__________________________2_MASTER_SUMMARY_YEARLY">#REF!</definedName>
    <definedName name="FORM633">#REF!</definedName>
    <definedName name="__________________________________2_MASTER_SUMMARY_YEARLY">#REF!</definedName>
    <definedName name="C_">#REF!</definedName>
    <definedName name="IUO">#REF!</definedName>
    <definedName name="D_B_TIMECAT_EDPE">#REF!</definedName>
    <definedName name="DOZER_9">#REF!</definedName>
    <definedName name="TAMPER">#REF!</definedName>
    <definedName name="ADSRE">#REF!</definedName>
    <definedName name="_ME43">#REF!</definedName>
    <definedName name="Produk">#REF!</definedName>
    <definedName name="Number_of_Payments">#REF!</definedName>
    <definedName name="hR996Tot">#REF!</definedName>
    <definedName name="D_B_QTYLOADS_SWPTTL">#REF!</definedName>
    <definedName name="LIMA">#REF!</definedName>
    <definedName name="D_B_STATUS_DER_ALL">#REF!</definedName>
    <definedName name="_________________JAN99">#REF!</definedName>
    <definedName name="URAIAN635">#REF!</definedName>
    <definedName name="pit_C2">#REF!</definedName>
    <definedName name="______________wk45">#REF!</definedName>
    <definedName name="RANGE_2_OR3D_INPUT">#REF!</definedName>
    <definedName name="I_B_STATUS_QR">#REF!</definedName>
    <definedName name="I_B_TIMECAT_QDSP_FN">#REF!</definedName>
    <definedName name="EKA_4">#REF!</definedName>
    <definedName name="Distance_10">#REF!</definedName>
    <definedName name="I_A_QTYLOADS_LQDP">#REF!</definedName>
    <definedName name="harian">#REF!</definedName>
    <definedName name="JML_TK4">#REF!</definedName>
    <definedName name="___________________________________________BS01">#REF!</definedName>
    <definedName name="ADUA">#REF!</definedName>
    <definedName name="SEAM_STA">#REF!</definedName>
    <definedName name="Data_Plan_1">#REF!</definedName>
    <definedName name="flowmeter">#REF!</definedName>
    <definedName name="Busang2">#REF!</definedName>
    <definedName name="외환금액">#REF!</definedName>
    <definedName name="________________________dep1">#REF!</definedName>
    <definedName name="___DEP2">#REF!</definedName>
    <definedName name="I_S_QTYLOADS_D_FN">#REF!</definedName>
    <definedName name="I_A_QTYLOADS_DEPL">#REF!</definedName>
    <definedName name="cetak9">#REF!</definedName>
    <definedName name="output_8">#REF!</definedName>
    <definedName name="________DEP22">#REF!</definedName>
    <definedName name="URAIAN734">#REF!</definedName>
    <definedName name="PurchDate">#REF!</definedName>
    <definedName name="_ME32">#REF!</definedName>
    <definedName name="GFGDF">#REF!</definedName>
    <definedName name="_______________________DEP22">#REF!</definedName>
    <definedName name="FORM1015">#REF!</definedName>
    <definedName name="I_A_TIMECAT_DEE">#REF!</definedName>
    <definedName name="Prehab">#REF!</definedName>
    <definedName name="BaloonText">#REF!</definedName>
    <definedName name="_MDE46">#REF!</definedName>
    <definedName name="Safety">#REF!</definedName>
    <definedName name="__________________________________________dep1">#REF!</definedName>
    <definedName name="URAIAN521">#REF!</definedName>
    <definedName name="XRefCopy8Row">#REF!</definedName>
    <definedName name="D_B_QTYLOADS_SKL">#REF!</definedName>
    <definedName name="______________APR99">#REF!</definedName>
    <definedName name="SSSSSSSSSSS">#REF!</definedName>
    <definedName name="D_D_SQL2IMPS_">#REF!</definedName>
    <definedName name="I_B_TRUCKCYCLES_SRCT">#REF!</definedName>
    <definedName name="Watercarts_8">#REF!</definedName>
    <definedName name="일반경비계">#REF!</definedName>
    <definedName name="FDP_115_1_aDrv">#REF!</definedName>
    <definedName name="D_B_MATMOVED_QSWE_ALL">#REF!</definedName>
    <definedName name="Drill_No">#REF!</definedName>
    <definedName name="Pbincm">#REF!</definedName>
    <definedName name="I_D_TRUCKCYCLES_DRT_FN">#REF!</definedName>
    <definedName name="BUS">#REF!</definedName>
    <definedName name="series_5">#REF!</definedName>
    <definedName name="__________________________________________DEP22">#REF!</definedName>
    <definedName name="StandarHours20">#REF!</definedName>
    <definedName name="_DAT3">#REF!</definedName>
    <definedName name="D_A_QTYLOADS_DQPEEL_ALL">#REF!</definedName>
    <definedName name="Darlot_US">#REF!</definedName>
    <definedName name="KEPALA">#REF!</definedName>
    <definedName name="RME">#REF!</definedName>
    <definedName name="_REVCT">#REF!</definedName>
    <definedName name="_JGN13">#REF!</definedName>
    <definedName name="D_S_QTYLOADS_QLP">#REF!</definedName>
    <definedName name="oct">#REF!</definedName>
    <definedName name="_20__123Graph_BCHART_19">#REF!</definedName>
    <definedName name="I_B_TIMECAT_ESEQMT_DEPT_FN">#REF!</definedName>
    <definedName name="CostCenter">#REF!</definedName>
    <definedName name="MOBILISASI">#REF!</definedName>
    <definedName name="Cur_Month_Source">#REF!</definedName>
    <definedName name="FORM313">#REF!</definedName>
    <definedName name="fend">#REF!</definedName>
    <definedName name="dProdOB">#REF!</definedName>
    <definedName name="Response_8">#REF!</definedName>
    <definedName name="VendorList">#REF!</definedName>
    <definedName name="ModelRate">#REF!</definedName>
    <definedName name="D_B_STATUS_QWER_ALL">#REF!</definedName>
    <definedName name="Data_Plan_10">#REF!</definedName>
    <definedName name="_ME23">#REF!</definedName>
    <definedName name="Counter">#REF!</definedName>
    <definedName name="D_M_STATUS_QTR_ALL">#REF!</definedName>
    <definedName name="_8">#REF!</definedName>
    <definedName name="HRPosList">#REF!</definedName>
    <definedName name="TU">#REF!</definedName>
    <definedName name="PLAN_2">#REF!</definedName>
    <definedName name="D_A_QTYLOADS_QPL">#REF!</definedName>
    <definedName name="baapr">#REF!</definedName>
    <definedName name="md">#REF!</definedName>
    <definedName name="Series_NPAUI___Sales_9">#REF!</definedName>
    <definedName name="____________________________g20616">#REF!</definedName>
    <definedName name="_433PK">#REF!</definedName>
    <definedName name="D_B_MATMOVED_E_ALL">#REF!</definedName>
    <definedName name="__________________________________________wwp1">#REF!</definedName>
    <definedName name="__________________________________________________g20616">#REF!</definedName>
    <definedName name="capExplos">#REF!</definedName>
    <definedName name="I_Y_STATUS_T">#REF!</definedName>
    <definedName name="I_B_QTYLOADS_DRPTL">#REF!</definedName>
    <definedName name="______LA250">#REF!</definedName>
    <definedName name="RC_2">#REF!</definedName>
    <definedName name="Arj_Block">#REF!</definedName>
    <definedName name="_JGN31">#REF!</definedName>
    <definedName name="I_A_QTYLOADS_LSE">#REF!</definedName>
    <definedName name="URAIAN769">#REF!</definedName>
    <definedName name="_______b2">#REF!</definedName>
    <definedName name="농협원화44">#REF!</definedName>
    <definedName name="DIST_3">#REF!</definedName>
    <definedName name="D_A_QTYLOADS_DQL_ALL">#REF!</definedName>
    <definedName name="_nPC1000">#REF!</definedName>
    <definedName name="BUS_9">#REF!</definedName>
    <definedName name="DATA24">#REF!</definedName>
    <definedName name="ForecastYtDRowOffset">#REF!</definedName>
    <definedName name="Pit8AN2015_2">#REF!</definedName>
    <definedName name="D_W_SQL2IMPS__ALL">#REF!</definedName>
    <definedName name="publish">#REF!</definedName>
    <definedName name="FDP_29_1_aUrv">#REF!</definedName>
    <definedName name="_EEE31">#REF!</definedName>
    <definedName name="_tk5">#REF!</definedName>
    <definedName name="Excel_BuiltIn_Print_Area_19">#REF!</definedName>
    <definedName name="HRTTTT">#REF!</definedName>
    <definedName name="D_B_QTYLOADS_RPEL">#REF!</definedName>
    <definedName name="I_B_TIMECAT_QI">#REF!</definedName>
    <definedName name="prigad">#REF!</definedName>
    <definedName name="___________MGM2">#REF!</definedName>
    <definedName name="D_R_TIMECAT_DE_ALL">#REF!</definedName>
    <definedName name="_____________________________________MAR99">#REF!</definedName>
    <definedName name="D_B_TIMECAT_ESEQMT_OWNREQMT_DEPT">#REF!</definedName>
    <definedName name="__________LC250">#REF!</definedName>
    <definedName name="I_B_QTYLOADS_DRPEEL">#REF!</definedName>
    <definedName name="maulana">#REF!</definedName>
    <definedName name="I_B_MATMOVED_DQL">#REF!</definedName>
    <definedName name="FORM522">#REF!</definedName>
    <definedName name="D_M_QTYLOADS_DRWPEEL">#REF!</definedName>
    <definedName name="FORM712">#REF!</definedName>
    <definedName name="rev">#REF!</definedName>
    <definedName name="I_B_MATMOVED_DE_FN">#REF!</definedName>
    <definedName name="MENUD7F2">#REF!</definedName>
    <definedName name="CFG_Engine_Selection">#REF!</definedName>
    <definedName name="___________________________________MGM1">#REF!</definedName>
    <definedName name="BY_EXA">#REF!</definedName>
    <definedName name="D_A_QTYLOADS_DEPL_ALL">#REF!</definedName>
    <definedName name="I_B_TRUCKCYCLES_DK_FN">#REF!</definedName>
    <definedName name="D_B_QTYLOADS_DPL">#REF!</definedName>
    <definedName name="EPHR">#REF!</definedName>
    <definedName name="_Acc2">#REF!</definedName>
    <definedName name="sm">#REF!</definedName>
    <definedName name="letter2">#REF!</definedName>
    <definedName name="I_B_QTYLOADS_IL_FN">#REF!</definedName>
    <definedName name="_22_Jan_14">#REF!</definedName>
    <definedName name="D_A_QTYLOADS_SQL_ALL">#REF!</definedName>
    <definedName name="XRefPaste8Row">#REF!</definedName>
    <definedName name="______________________BS01">#REF!</definedName>
    <definedName name="MtnUmPctg">#REF!</definedName>
    <definedName name="transport_samindo">#REF!</definedName>
    <definedName name="StandarHours13">#REF!</definedName>
    <definedName name="I_B_STATUS_QDP">#REF!</definedName>
    <definedName name="JKT_SM">#REF!</definedName>
    <definedName name="LnOTH1">#REF!</definedName>
    <definedName name="InAgreedSR">#REF!</definedName>
    <definedName name="Forecast45_6">#REF!</definedName>
    <definedName name="I_A_QTYLOADS_EPL_FN">#REF!</definedName>
    <definedName name="Uraian841">#REF!</definedName>
    <definedName name="_ME16">#REF!</definedName>
    <definedName name="I_B_TIMECAT_EDPE_FN">#REF!</definedName>
    <definedName name="mining_Test">#REF!</definedName>
    <definedName name="I_B_STATUS_EIE">#REF!</definedName>
    <definedName name="I_A_QTYLOADS_7EL_FN">#REF!</definedName>
    <definedName name="__________b2">#REF!</definedName>
    <definedName name="asadad">#REF!</definedName>
    <definedName name="Seam_H3">#REF!</definedName>
    <definedName name="Series_Sales_Growth_6">#REF!</definedName>
    <definedName name="_______LA250">#REF!</definedName>
    <definedName name="NonMovingEquipt_List">#REF!</definedName>
    <definedName name="Volume">#REF!</definedName>
    <definedName name="_____________________________DEP2">#REF!</definedName>
    <definedName name="bbn">#REF!</definedName>
    <definedName name="Rutin_2d">#REF!</definedName>
    <definedName name="RUTIN">#REF!</definedName>
    <definedName name="Conquarters">#REF!</definedName>
    <definedName name="LT_ket">#REF!</definedName>
    <definedName name="I_B_QTYLOADS_DKL">#REF!</definedName>
    <definedName name="_________________________________________DEP22">#REF!</definedName>
    <definedName name="D_B_TIMECAT_QDP">#REF!</definedName>
    <definedName name="______LA1000">#REF!</definedName>
    <definedName name="_ME68">#REF!</definedName>
    <definedName name="_Ptl789">#REF!</definedName>
    <definedName name="Loader_Id">#REF!</definedName>
    <definedName name="InLTD1">#REF!</definedName>
    <definedName name="TRUCK_18T">#REF!</definedName>
    <definedName name="D_B_TIMECAT_SEWE">#REF!</definedName>
    <definedName name="산업원화금리4">#REF!</definedName>
    <definedName name="pingad">#REF!</definedName>
    <definedName name="D_A_TIMECAT_DEE_ALL">#REF!</definedName>
    <definedName name="_Parse_In">#REF!</definedName>
    <definedName name="____________________________________________________________________________________________________________________________________g20616">#REF!</definedName>
    <definedName name="D_B_TIMECAT_SQE_ALL">#REF!</definedName>
    <definedName name="DATA25">#REF!</definedName>
    <definedName name="_DAT1">#REF!</definedName>
    <definedName name="qMelConv">#REF!</definedName>
    <definedName name="D_B_TIMECAT_QE">#REF!</definedName>
    <definedName name="netbackprice">#REF!</definedName>
    <definedName name="adsada">#REF!</definedName>
    <definedName name="ActivityList">#REF!</definedName>
    <definedName name="_814FA">#REF!</definedName>
    <definedName name="D_B_TIMECAT_Q7WE_ALL">#REF!</definedName>
    <definedName name="D_B_STATUS_IQ">#REF!</definedName>
    <definedName name="Hundred_8">#REF!</definedName>
    <definedName name="Balance_8">#REF!</definedName>
    <definedName name="capPowGen">#REF!</definedName>
    <definedName name="PTY_PROBLEM">#REF!</definedName>
    <definedName name="BL_03">#REF!</definedName>
    <definedName name="tyre">#REF!</definedName>
    <definedName name="I_A_QTYLOADS_DQEXCAV_EQMT_REF01L_FN">#REF!</definedName>
    <definedName name="qqqqqqqqqqqqq">#REF!</definedName>
    <definedName name="Heru">#REF!</definedName>
    <definedName name="MP_622">#REF!</definedName>
    <definedName name="nmValue_6">#REF!</definedName>
    <definedName name="YTD_Days">#REF!</definedName>
    <definedName name="TABLE_2">#REF!</definedName>
    <definedName name="DATA14">#REF!</definedName>
    <definedName name="__DEP11">#REF!</definedName>
    <definedName name="coal_north">#REF!</definedName>
    <definedName name="Pempl400">#REF!</definedName>
    <definedName name="StandarHours31_9">#REF!</definedName>
    <definedName name="_____________________________________MGM2">#REF!</definedName>
    <definedName name="FDP_13_1_aDrv">#REF!</definedName>
    <definedName name="산업원화금리1">#REF!</definedName>
    <definedName name="Forecast45">#REF!</definedName>
    <definedName name="_4b2_">#REF!</definedName>
    <definedName name="D_C_TRUCKCYCLES_SE_ALL">#REF!</definedName>
    <definedName name="BUMA_M원탄">#REF!</definedName>
    <definedName name="bulanan">#REF!</definedName>
    <definedName name="URAIAN731">#REF!</definedName>
    <definedName name="D_S_QTYLOADS_SL_ALL">#REF!</definedName>
    <definedName name="________________________DEP2">#REF!</definedName>
    <definedName name="______LC2000">#REF!</definedName>
    <definedName name="ProductA">#REF!</definedName>
    <definedName name="I_B_STATUS_EDPEE_FN">#REF!</definedName>
    <definedName name="C_4">#REF!</definedName>
    <definedName name="Weather">#REF!</definedName>
    <definedName name="qryAllOutstandingInvoices">#REF!</definedName>
    <definedName name="__LA250">#REF!</definedName>
    <definedName name="___Tax1">#REF!</definedName>
    <definedName name="I_S_IQTYLOADS_E_FN">#REF!</definedName>
    <definedName name="ProjectName">#REF!</definedName>
    <definedName name="I_B_QTYLOADS_DRPTL_FN">#REF!</definedName>
    <definedName name="jumat">#REF!</definedName>
    <definedName name="ss">#REF!</definedName>
    <definedName name="Jul">#REF!</definedName>
    <definedName name="_MDE34">#REF!</definedName>
    <definedName name="I_S_QTYDumpsQ_E_FN">#REF!</definedName>
    <definedName name="Fuel_Method_9">#REF!</definedName>
    <definedName name="ssss">#REF!</definedName>
    <definedName name="I_S_TIMECAT__FN">#REF!</definedName>
    <definedName name="TIA">#REF!</definedName>
    <definedName name="LnCHL">#REF!</definedName>
    <definedName name="No_DD04">#REF!</definedName>
    <definedName name="sdfvg">#REF!</definedName>
    <definedName name="RoofLoss">#REF!</definedName>
    <definedName name="Excel_BuiltIn__FilterDatabase_13_1">#REF!</definedName>
    <definedName name="D_A_TIMECAT_EEQMT_DEPT_ALL">#REF!</definedName>
    <definedName name="D_A_STATUS_DEPR_ALL">#REF!</definedName>
    <definedName name="D_B_TIMECAT_ESWE">#REF!</definedName>
    <definedName name="__DAT1">#REF!</definedName>
    <definedName name="RCDUAA">#REF!</definedName>
    <definedName name="우리원화금리3">#REF!</definedName>
    <definedName name="StandarHours1">#REF!</definedName>
    <definedName name="B16BC">#REF!</definedName>
    <definedName name="MP_21">#REF!</definedName>
    <definedName name="______________________________________________________________________wwp2">#REF!</definedName>
    <definedName name="ewr">#REF!</definedName>
    <definedName name="Density_AN_col">#REF!</definedName>
    <definedName name="Supers_8">#REF!</definedName>
    <definedName name="D_S_QTYDumps_EO_ALL">#REF!</definedName>
    <definedName name="I_Equipt_SQL2IMPS__FN">#REF!</definedName>
    <definedName name="minmar">#REF!</definedName>
    <definedName name="_Pn">#REF!</definedName>
    <definedName name="DATE">#REF!</definedName>
    <definedName name="I_B_QTYLOADS_IL">#REF!</definedName>
    <definedName name="I_B_TIMECAT_ESEQMT_OWNREQMT_DEPT_FN">#REF!</definedName>
    <definedName name="D_B_MATMOVED__ALL">#REF!</definedName>
    <definedName name="_______________________MAR99">#REF!</definedName>
    <definedName name="D_B_TRUCKCYCLES__ALL">#REF!</definedName>
    <definedName name="Uraian324">#REF!</definedName>
    <definedName name="I_A_QTYLOADS_7QL">#REF!</definedName>
    <definedName name="Psurob">#REF!</definedName>
    <definedName name="________________________JAN99">#REF!</definedName>
    <definedName name="I_B_STATUS_IE_FN">#REF!</definedName>
    <definedName name="sssssss">#REF!</definedName>
    <definedName name="_MDE40">#REF!</definedName>
    <definedName name="QualDom">#REF!</definedName>
    <definedName name="inputbln">#REF!</definedName>
    <definedName name="________________FEB99">#REF!</definedName>
    <definedName name="actual">#REF!</definedName>
    <definedName name="D_L_TIMECAT_QDPE_ALL">#REF!</definedName>
    <definedName name="_______g20616">#REF!</definedName>
    <definedName name="DATA119">#REF!</definedName>
    <definedName name="URAIAN712">#REF!</definedName>
    <definedName name="I_B_TIMECAT_DQWE">#REF!</definedName>
    <definedName name="MENUD4">#REF!</definedName>
    <definedName name="I_B_TIMECAT_DEE_FN">#REF!</definedName>
    <definedName name="NB_PN2">#REF!</definedName>
    <definedName name="I_B_TIMECAT_ESWE_FN">#REF!</definedName>
    <definedName name="__mid04">#REF!</definedName>
    <definedName name="BUDG">#REF!</definedName>
    <definedName name="Oil_P.">#REF!</definedName>
    <definedName name="D_Eqtype_SQL2MMS_">#REF!</definedName>
    <definedName name="D_B_TIMECAT_ES">#REF!</definedName>
    <definedName name="I_B_TIMECAT_Q_FN">#REF!</definedName>
    <definedName name="______________MAY99">#REF!</definedName>
    <definedName name="MENUD5">#REF!</definedName>
    <definedName name="____________________________________MGM1">#REF!</definedName>
    <definedName name="신한원화금리1">#REF!</definedName>
    <definedName name="Month_Days_9">#REF!</definedName>
    <definedName name="_________________FEB99">#REF!</definedName>
    <definedName name="STATUS12">#REF!</definedName>
    <definedName name="rekap_hadir">#REF!</definedName>
    <definedName name="D_B_QTYLOADS_DRPEEL">#REF!</definedName>
    <definedName name="I_Y_TIMECAT_I">#REF!</definedName>
    <definedName name="WEEKLY1">#REF!</definedName>
    <definedName name="DT_DAY">#REF!</definedName>
    <definedName name="OB_TRUCKS">#REF!</definedName>
    <definedName name="D_B_LOADER_DE">#REF!</definedName>
    <definedName name="I_B_TIMECAT_DQE">#REF!</definedName>
    <definedName name="I_S_QTYLOADS_7_FN">#REF!</definedName>
    <definedName name="FORM622">#REF!</definedName>
    <definedName name="_ME21">#REF!</definedName>
    <definedName name="D_B_TIMECAT_EW">#REF!</definedName>
    <definedName name="activity">#REF!</definedName>
    <definedName name="MP_843">#REF!</definedName>
    <definedName name="I_B_MATMOVED_DQQQQL_FN">#REF!</definedName>
    <definedName name="Blank_Range">#REF!</definedName>
    <definedName name="Date_8">#REF!</definedName>
    <definedName name="E_071">#REF!</definedName>
    <definedName name="_________________DEP2">#REF!</definedName>
    <definedName name="DATA_ASAL_3_1">#REF!</definedName>
    <definedName name="STD_var_amt">#REF!</definedName>
    <definedName name="Jun_98">#REF!</definedName>
    <definedName name="I_B_TIMECAT_QDW">#REF!</definedName>
    <definedName name="____APR99">#REF!</definedName>
    <definedName name="I_B_MATMOVED_QL_FN">#REF!</definedName>
    <definedName name="Op_Rep_Mnth">#REF!</definedName>
    <definedName name="_A150360">#REF!</definedName>
    <definedName name="_key">#REF!</definedName>
    <definedName name="I_B_TIMECAT_SQW">#REF!</definedName>
    <definedName name="HistBS">#REF!</definedName>
    <definedName name="외환원화2">#REF!</definedName>
    <definedName name="DOZER">#REF!</definedName>
    <definedName name="KOLOM">#REF!</definedName>
    <definedName name="D_B_TIMECAT_ED_ALL">#REF!</definedName>
    <definedName name="D_Y_TIMECAT_E_ALL">#REF!</definedName>
    <definedName name="D_A_QTYLOADS_DQQQQL_ALL">#REF!</definedName>
    <definedName name="__________________APR99">#REF!</definedName>
    <definedName name="Phatob">#REF!</definedName>
    <definedName name="LnPPS">#REF!</definedName>
    <definedName name="Hari1">#REF!</definedName>
    <definedName name="I_B_TRUCKCYCLES__FN">#REF!</definedName>
    <definedName name="RMC">#REF!</definedName>
    <definedName name="___________________g20616">#REF!</definedName>
    <definedName name="D_B_QTYLOADS_IQPL_ALL">#REF!</definedName>
    <definedName name="I_B_STATUS_DQWR">#REF!</definedName>
    <definedName name="Chart_Number">#REF!</definedName>
    <definedName name="test_5">#REF!</definedName>
    <definedName name="_ME48">#REF!</definedName>
    <definedName name="D_B_LOADER_DE_ALL">#REF!</definedName>
    <definedName name="I_S_QTYLOADS_PLE">#REF!</definedName>
    <definedName name="I_B_QTYLOADS_7KL_FN">#REF!</definedName>
    <definedName name="KOMHD03">#REF!</definedName>
    <definedName name="sep">#REF!</definedName>
    <definedName name="D_A_QTYLOADS_DEPL">#REF!</definedName>
    <definedName name="D_S_QTYDumps_EO">#REF!</definedName>
    <definedName name="I_B_MATMOVED_DQWPL">#REF!</definedName>
    <definedName name="capROMRec">#REF!</definedName>
    <definedName name="_______________________________________DEP2">#REF!</definedName>
    <definedName name="_345">#REF!</definedName>
    <definedName name="nbp_pinang">#REF!</definedName>
    <definedName name="JOE">#REF!</definedName>
    <definedName name="XRefPaste7Row">#REF!</definedName>
    <definedName name="D_2">#REF!</definedName>
    <definedName name="URAIAN735">#REF!</definedName>
    <definedName name="Shatcm">#REF!</definedName>
    <definedName name="_MDE24">#REF!</definedName>
    <definedName name="nmL1s">#REF!</definedName>
    <definedName name="_DEP22">#REF!</definedName>
    <definedName name="D_B_STATUS_7QR_ALL">#REF!</definedName>
    <definedName name="tr">#REF!</definedName>
    <definedName name="Excel_BuiltIn_Print_Area_17">#REF!</definedName>
    <definedName name="Form234">#REF!</definedName>
    <definedName name="NetTaxRate">#REF!</definedName>
    <definedName name="g20616_2">#REF!</definedName>
    <definedName name="________________DEP11">#REF!</definedName>
    <definedName name="Category_5">#REF!</definedName>
    <definedName name="D_B_STATUS_DQWR">#REF!</definedName>
    <definedName name="FormsToolbarLink_8">#REF!</definedName>
    <definedName name="bengalonytdash">#REF!</definedName>
    <definedName name="I_B_TIMECAT_QSWEE_FN">#REF!</definedName>
    <definedName name="ActOB">#REF!</definedName>
    <definedName name="I_R_TRUCKCYCLES_SK_FN">#REF!</definedName>
    <definedName name="OB_CAP2">#REF!</definedName>
    <definedName name="_________________________________________________________wwp2">#REF!</definedName>
    <definedName name="Rent1">#REF!</definedName>
    <definedName name="timing">#REF!</definedName>
    <definedName name="sales1_6">#REF!</definedName>
    <definedName name="D_M_TIMECAT__ALL">#REF!</definedName>
    <definedName name="_BSG23">#REF!</definedName>
    <definedName name="D_A_QTYLOADS_7EL">#REF!</definedName>
    <definedName name="I_B_QTYLOADS_KL">#REF!</definedName>
    <definedName name="series_6">#REF!</definedName>
    <definedName name="____________________________MAR99">#REF!</definedName>
    <definedName name="____________________________MGM2">#REF!</definedName>
    <definedName name="신한원화4">#REF!</definedName>
    <definedName name="I_A_QTYLOADS_SQLP_FN">#REF!</definedName>
    <definedName name="FDP_48_1_aUrv">#REF!</definedName>
    <definedName name="______________________________MGM2">#REF!</definedName>
    <definedName name="head">#REF!</definedName>
    <definedName name="MP_718">#REF!</definedName>
    <definedName name="SUM_G52_G83">#REF!</definedName>
    <definedName name="D_B_MATMOVED_DQQQQL_ALL">#REF!</definedName>
    <definedName name="____________________________DEC98">#REF!</definedName>
    <definedName name="CFG_Save_Directory">#REF!</definedName>
    <definedName name="D_B_QTYLOADS_DTL_ALL">#REF!</definedName>
    <definedName name="YP">#REF!</definedName>
    <definedName name="D_B_TIMECAT_QS_ALL">#REF!</definedName>
    <definedName name="StandarHours9_9">#REF!</definedName>
    <definedName name="MGG">#REF!</definedName>
    <definedName name="________________________________________________________g20616">#REF!</definedName>
    <definedName name="ProductC">#REF!</definedName>
    <definedName name="chtYmin_6">#REF!</definedName>
    <definedName name="__________LA2000">#REF!</definedName>
    <definedName name="StandarHours17_8">#REF!</definedName>
    <definedName name="Excel_BuiltIn_Print_Titles_1_9">#REF!</definedName>
    <definedName name="NOM_9">#REF!</definedName>
    <definedName name="PRINT_AREA_MI1">#REF!</definedName>
    <definedName name="____LC500">#REF!</definedName>
    <definedName name="_________________________________FEB99">#REF!</definedName>
    <definedName name="D_X_STATUS__ALL">#REF!</definedName>
    <definedName name="Hari2">#REF!</definedName>
    <definedName name="Availability">#REF!</definedName>
    <definedName name="Graders_8">#REF!</definedName>
    <definedName name="____________________MGM2">#REF!</definedName>
    <definedName name="_RUM5">#REF!</definedName>
    <definedName name="FORM99">#REF!</definedName>
    <definedName name="KJ">#REF!</definedName>
    <definedName name="XRefCopy7Row">#REF!</definedName>
    <definedName name="Fempl500">#REF!</definedName>
    <definedName name="___________________b2">#REF!</definedName>
    <definedName name="I_B_QTYLOADS_DPTTL_FN">#REF!</definedName>
    <definedName name="DATA60">#REF!</definedName>
    <definedName name="HSEA">#REF!</definedName>
    <definedName name="I_B_TIMECAT_QIE">#REF!</definedName>
    <definedName name="nmLCL_5">#REF!</definedName>
    <definedName name="I_S_QTYDUMPS_E_FN">#REF!</definedName>
    <definedName name="VOLV10">#REF!</definedName>
    <definedName name="_DIV10">#REF!</definedName>
    <definedName name="CA_251_D">#REF!</definedName>
    <definedName name="Months_4">#REF!</definedName>
    <definedName name="_____________________MAY99">#REF!</definedName>
    <definedName name="Data_Plan_17">#REF!</definedName>
    <definedName name="dd02_tab">#REF!</definedName>
    <definedName name="D_S_QTYDumpsQ_E_ALL">#REF!</definedName>
    <definedName name="I_B_QTYLOADS_DRWPEEL_FN">#REF!</definedName>
    <definedName name="STONECRUSHER">#REF!</definedName>
    <definedName name="PLAN_MONTHLY">#REF!</definedName>
    <definedName name="I_B_TIMECAT_QSWEE">#REF!</definedName>
    <definedName name="Pnpat">#REF!</definedName>
    <definedName name="MP_421">#REF!</definedName>
    <definedName name="D_B_TIMECAT_QWPE">#REF!</definedName>
    <definedName name="I_A_TIMECAT_EEQMT_DEPT">#REF!</definedName>
    <definedName name="DISPLANM">#REF!</definedName>
    <definedName name="I_B_MATMOVED_SWL">#REF!</definedName>
    <definedName name="생관">#REF!</definedName>
    <definedName name="hHD785WstTot">#REF!</definedName>
    <definedName name="_____________________________________________________________g20616">#REF!</definedName>
    <definedName name="URAIAN541">#REF!</definedName>
    <definedName name="_7777">#REF!</definedName>
    <definedName name="LOADING">#REF!</definedName>
    <definedName name="iou">#REF!</definedName>
    <definedName name="pinangcv">#REF!</definedName>
    <definedName name="COUNTER5">#REF!</definedName>
    <definedName name="D_A_STATUS_DQR">#REF!</definedName>
    <definedName name="USDRATE">#REF!</definedName>
    <definedName name="MENUD4F">#REF!</definedName>
    <definedName name="qqqqqqqqq">#REF!</definedName>
    <definedName name="qTotConv">#REF!</definedName>
    <definedName name="URAIAN231">#REF!</definedName>
    <definedName name="___SL4">#REF!</definedName>
    <definedName name="I_B_TRUCKCYCLES_RWT">#REF!</definedName>
    <definedName name="___Cat777">#REF!</definedName>
    <definedName name="rrrtttt">#REF!</definedName>
    <definedName name="UPAH11">#REF!</definedName>
    <definedName name="___________________________________________________________wwp1">#REF!</definedName>
    <definedName name="ADR">#REF!</definedName>
    <definedName name="DATA104">#REF!</definedName>
    <definedName name="CAPACITY_ANIMATION_FRAMES_PER_WEEK">#REF!</definedName>
    <definedName name="_______________________________________________________________________________________________________g20616">#REF!</definedName>
    <definedName name="year">#REF!</definedName>
    <definedName name="engineering">#REF!</definedName>
    <definedName name="EXCAVATOR">#REF!</definedName>
    <definedName name="FDP_38_1_aUrv">#REF!</definedName>
    <definedName name="_________________________RP1">#REF!</definedName>
    <definedName name="I_B_QTYLOADS_DPL">#REF!</definedName>
    <definedName name="EX1100_3">#REF!</definedName>
    <definedName name="FORM841">#REF!</definedName>
    <definedName name="D_B_TIMECAT_EDPE_ALL">#REF!</definedName>
    <definedName name="Coaltruck_opt1">#REF!</definedName>
    <definedName name="LTI">#REF!</definedName>
    <definedName name="DilnAsh">#REF!</definedName>
    <definedName name="기업금액">#REF!</definedName>
    <definedName name="Uraian847">#REF!</definedName>
    <definedName name="cvgar">#REF!</definedName>
    <definedName name="oooRM">#REF!</definedName>
    <definedName name="Discount">#REF!</definedName>
    <definedName name="_________wk45">#REF!</definedName>
    <definedName name="EX_213">#REF!</definedName>
    <definedName name="CHMT">#REF!</definedName>
    <definedName name="jjj">#REF!</definedName>
    <definedName name="SCHEDULE">#REF!</definedName>
    <definedName name="_Key1">#REF!</definedName>
    <definedName name="_CAT06">#REF!</definedName>
    <definedName name="Kerja">#REF!</definedName>
    <definedName name="InDistance">#REF!</definedName>
    <definedName name="D_B_TIMECAT_QSEQMT_OWNREQMT_DEPT">#REF!</definedName>
    <definedName name="_412FA">#REF!</definedName>
    <definedName name="____________________________________wwp2">#REF!</definedName>
    <definedName name="하나원화3">#REF!</definedName>
    <definedName name="lkj">#REF!</definedName>
    <definedName name="_RUM4">#REF!</definedName>
    <definedName name="PLAN_MONTHLY_11">#REF!</definedName>
    <definedName name="________________________________________MAY99">#REF!</definedName>
    <definedName name="XRefCopy2">#REF!</definedName>
    <definedName name="EqTable">#REF!</definedName>
    <definedName name="WH_UNIT">#REF!</definedName>
    <definedName name="koi">#REF!</definedName>
    <definedName name="_________________________________________________________wwp1">#REF!</definedName>
    <definedName name="_MMM416">#REF!</definedName>
    <definedName name="________________________________________wwp2">#REF!</definedName>
    <definedName name="kl">#REF!</definedName>
    <definedName name="__________________________________________________wwp1">#REF!</definedName>
    <definedName name="AS2TickmarkLS">#REF!</definedName>
    <definedName name="D_R_TRUCKCYCLES_SK_ALL">#REF!</definedName>
    <definedName name="I_Y_STATUS_I_FN">#REF!</definedName>
    <definedName name="HSEC">#REF!</definedName>
    <definedName name="OBDAY">#REF!</definedName>
    <definedName name="D_B_TIMECAT_QSEQMT_DEPT">#REF!</definedName>
    <definedName name="DATA120">#REF!</definedName>
    <definedName name="A_2">#REF!</definedName>
    <definedName name="___________________________________________b2">#REF!</definedName>
    <definedName name="______APR99">#REF!</definedName>
    <definedName name="URAIAN7101">#REF!</definedName>
    <definedName name="bengapr">#REF!</definedName>
    <definedName name="TPFOR">#REF!</definedName>
    <definedName name="FORM920">#REF!</definedName>
    <definedName name="letter3">#REF!</definedName>
    <definedName name="Tonnes_lbs">#REF!</definedName>
    <definedName name="___KPC4">#REF!</definedName>
    <definedName name="I_B_TRUCKCYCLES_SK">#REF!</definedName>
    <definedName name="Data_sample">#REF!</definedName>
    <definedName name="I_B_LOADER_QWE_FN">#REF!</definedName>
    <definedName name="CN">#REF!</definedName>
    <definedName name="GOLD_IN_CIRCUIT_MOVEMENTS">#REF!</definedName>
    <definedName name="Increm">#REF!</definedName>
    <definedName name="I_S_MATMOVED_E">#REF!</definedName>
    <definedName name="D_Y1_STATUS_E">#REF!</definedName>
    <definedName name="Cat16H">#REF!</definedName>
    <definedName name="MENUD4F2">#REF!</definedName>
    <definedName name="D_Y_STATUS_QI_ALL">#REF!</definedName>
    <definedName name="______________________DEP2">#REF!</definedName>
    <definedName name="PitTbl">#REF!</definedName>
    <definedName name="_BSG32">#REF!</definedName>
    <definedName name="JML_TK9">#REF!</definedName>
    <definedName name="Inventory_TMCT">#REF!</definedName>
    <definedName name="D_Eqtype_SQL2IMPS_U">#REF!</definedName>
    <definedName name="___DAT13">#REF!</definedName>
    <definedName name="KOMHD01">#REF!</definedName>
    <definedName name="HRLevelH">#REF!</definedName>
    <definedName name="I_B_TIMECAT_QP">#REF!</definedName>
    <definedName name="nmU1s">#REF!</definedName>
    <definedName name="I_R_TRUCKCYCLES_SK">#REF!</definedName>
    <definedName name="VIBROROLLER">#REF!</definedName>
    <definedName name="______________________________________________________wwp1">#REF!</definedName>
    <definedName name="PC">#REF!</definedName>
    <definedName name="I_A_STATUS_DQR_FN">#REF!</definedName>
    <definedName name="_____________________________________________________________________g20616">#REF!</definedName>
    <definedName name="D_A_TIMECAT_SQE">#REF!</definedName>
    <definedName name="ssssss">#REF!</definedName>
    <definedName name="I_B_TIMECAT_QSWPEE_FN">#REF!</definedName>
    <definedName name="D_S_QTYLOADS_D_ALL">#REF!</definedName>
    <definedName name="Epai">#REF!</definedName>
    <definedName name="___________________________MAY99">#REF!</definedName>
    <definedName name="D_B_TIMECAT_QSEQMT_DEPT_ALL">#REF!</definedName>
    <definedName name="D_Y2_PLANS__ALL">#REF!</definedName>
    <definedName name="I_B_TRUCKCYCLES_E">#REF!</definedName>
    <definedName name="_321FA">#REF!</definedName>
    <definedName name="supplier">#REF!</definedName>
    <definedName name="I_M_STATUS_TR_FN">#REF!</definedName>
    <definedName name="DbVar03">#REF!</definedName>
    <definedName name="Kode">#REF!</definedName>
    <definedName name="kamu">#REF!</definedName>
    <definedName name="PRINT_TITLES_MI_2">#REF!</definedName>
    <definedName name="I_B_TIMECAT_IQEE_FN">#REF!</definedName>
    <definedName name="_SAP04">#REF!</definedName>
    <definedName name="DUALIMA">#REF!</definedName>
    <definedName name="URAIAN813">#REF!</definedName>
    <definedName name="DATA88">#REF!</definedName>
    <definedName name="_MAR99">#REF!</definedName>
    <definedName name="_EXC04">#REF!</definedName>
    <definedName name="pinangash">#REF!</definedName>
    <definedName name="_____RD2">#REF!</definedName>
    <definedName name="Series_Sales_Growth">#REF!</definedName>
    <definedName name="SEDANA_GOLF___COUNTRY_CLUB">#REF!</definedName>
    <definedName name="FleetType">#REF!</definedName>
    <definedName name="D_Eqtype_SQL2IMPS_">#REF!</definedName>
    <definedName name="___e1">#REF!</definedName>
    <definedName name="____________________________b2">#REF!</definedName>
    <definedName name="Status_BD">#REF!</definedName>
    <definedName name="________________________MAR99">#REF!</definedName>
    <definedName name="_________________________wwp1">#REF!</definedName>
    <definedName name="MIP">#REF!</definedName>
    <definedName name="Report_Date">#REF!</definedName>
    <definedName name="Max_date_Mon">#REF!</definedName>
    <definedName name="PLAN_COAL">#REF!</definedName>
    <definedName name="FU">#REF!</definedName>
    <definedName name="_ME47">#REF!</definedName>
    <definedName name="JML_TK12">#REF!</definedName>
    <definedName name="I_M2_STATUS_">#REF!</definedName>
    <definedName name="mama">#REF!</definedName>
    <definedName name="I_S_QTYLOADS_FG">#REF!</definedName>
    <definedName name="CBP">#REF!</definedName>
    <definedName name="I_B_TIMECAT_QDE">#REF!</definedName>
    <definedName name="Snpat">#REF!</definedName>
    <definedName name="Penetration_8">#REF!</definedName>
    <definedName name="hCat777Tot">#REF!</definedName>
    <definedName name="FDP_7_1_aDrv">#REF!</definedName>
    <definedName name="bengdec">#REF!</definedName>
    <definedName name="_MU540500">#REF!</definedName>
    <definedName name="기업원화금리2">#REF!</definedName>
    <definedName name="www">#REF!</definedName>
    <definedName name="_iiiiii">#REF!</definedName>
    <definedName name="Fkpcexpemp">#REF!</definedName>
    <definedName name="D_B_TIMECAT_IEEE">#REF!</definedName>
    <definedName name="PLAN_MONTHLY_6">#REF!</definedName>
    <definedName name="Prodty_coal_selatan">#REF!</definedName>
    <definedName name="Mining_Service">#REF!</definedName>
    <definedName name="FDP_104_1_aUrv">#REF!</definedName>
    <definedName name="______________________________________________________________________wwp1">#REF!</definedName>
    <definedName name="____________________________________JAN99">#REF!</definedName>
    <definedName name="SeriesC_6">#REF!</definedName>
    <definedName name="__key2">#REF!</definedName>
    <definedName name="I_A_QTYLOADS_LS_FN">#REF!</definedName>
    <definedName name="yanti_eb">#REF!</definedName>
    <definedName name="MP_8110">#REF!</definedName>
    <definedName name="_718FA">#REF!</definedName>
    <definedName name="JobHR">#REF!</definedName>
    <definedName name="I_D_TRUCKCYCLES_SK_FN">#REF!</definedName>
    <definedName name="URAIAN99">#REF!</definedName>
    <definedName name="_431PK">#REF!</definedName>
    <definedName name="DATA80">#REF!</definedName>
    <definedName name="D_B_MATMOVED_SWPL_ALL">#REF!</definedName>
    <definedName name="LnOPRF1">#REF!</definedName>
    <definedName name="ㅁ1">#REF!</definedName>
    <definedName name="D_B_STATUS_7EER">#REF!</definedName>
    <definedName name="StandarHours21_8">#REF!</definedName>
    <definedName name="TOTAL_ANIMATION_FRAMES_INPUT">#REF!</definedName>
    <definedName name="MP_634a">#REF!</definedName>
    <definedName name="FORM21">#REF!</definedName>
    <definedName name="Uraian8410">#REF!</definedName>
    <definedName name="bengalonytdts">#REF!</definedName>
    <definedName name="_____________________________RP1">#REF!</definedName>
    <definedName name="D_B_TIMECAT_SQWPE_ALL">#REF!</definedName>
    <definedName name="FORM8410">#REF!</definedName>
    <definedName name="limabelas">#REF!</definedName>
    <definedName name="TUJUH">#REF!</definedName>
    <definedName name="RENT">#REF!</definedName>
    <definedName name="외화금리1">#REF!</definedName>
    <definedName name="INCOME09">#REF!</definedName>
    <definedName name="FORM910">#REF!</definedName>
    <definedName name="I_A_STATUS_IQR">#REF!</definedName>
    <definedName name="___________________________________MAY99">#REF!</definedName>
    <definedName name="PLATFORM_RANGE_INPUT">#REF!</definedName>
    <definedName name="MtnPMPctg">#REF!</definedName>
    <definedName name="I_B_TIMECAT_IQPE">#REF!</definedName>
    <definedName name="Show_Leverage">#REF!</definedName>
    <definedName name="URAIAN715">#REF!</definedName>
    <definedName name="D_M2_STATUS__ALL">#REF!</definedName>
    <definedName name="_322PK">#REF!</definedName>
    <definedName name="PA_CAT775">#REF!</definedName>
    <definedName name="StandarHours3_9">#REF!</definedName>
    <definedName name="spec">#REF!</definedName>
    <definedName name="_REVRC">#REF!</definedName>
    <definedName name="I_A_STATUS_IQER">#REF!</definedName>
    <definedName name="D_A_QTYLOADS_DQWPEEL_ALL">#REF!</definedName>
    <definedName name="신한원화2">#REF!</definedName>
    <definedName name="D_B_STATUS_QHPE_ALL">#REF!</definedName>
    <definedName name="tmct">#REF!</definedName>
    <definedName name="_ME07">#REF!</definedName>
    <definedName name="_DAT13">#REF!</definedName>
    <definedName name="노무비계">#REF!</definedName>
    <definedName name="Excel_BuiltIn_Print_Area_5">#REF!</definedName>
    <definedName name="FORM541">#REF!</definedName>
    <definedName name="Penetration_9">#REF!</definedName>
    <definedName name="D_A_QTYLOADS_DQWPEEL">#REF!</definedName>
    <definedName name="FORM96">#REF!</definedName>
    <definedName name="Excel_BuiltIn_Print_Area_4_1">#REF!</definedName>
    <definedName name="bengnov">#REF!</definedName>
    <definedName name="_d">#REF!</definedName>
    <definedName name="SMJ_유가보상">#REF!</definedName>
    <definedName name="_mid03">#REF!</definedName>
    <definedName name="capDams">#REF!</definedName>
    <definedName name="trouble">#REF!</definedName>
    <definedName name="RMD">#REF!</definedName>
    <definedName name="Coal_Mining">#REF!</definedName>
    <definedName name="__________________________________________g20616">#REF!</definedName>
    <definedName name="I_B_STATUS_QI">#REF!</definedName>
    <definedName name="__Cat777">#REF!</definedName>
    <definedName name="MENUD6U2">#REF!</definedName>
    <definedName name="balance05new">#REF!</definedName>
    <definedName name="LnIVCO1">#REF!</definedName>
    <definedName name="PIREC">#REF!</definedName>
    <definedName name="prigar">#REF!</definedName>
    <definedName name="ACP_8">#REF!</definedName>
    <definedName name="vol_spt_tgh">#REF!</definedName>
    <definedName name="Distance_12_1">#REF!</definedName>
    <definedName name="_________g20616">#REF!</definedName>
    <definedName name="KODE_GOL">#REF!</definedName>
    <definedName name="_MMM34">#REF!</definedName>
    <definedName name="________________________________________________________________________________________g20616">#REF!</definedName>
    <definedName name="ROMPORTD">#REF!</definedName>
    <definedName name="StandarHours4_8">#REF!</definedName>
    <definedName name="___DAT6">#REF!</definedName>
    <definedName name="Bokor">#REF!</definedName>
    <definedName name="RevBase">#REF!</definedName>
    <definedName name="aaaaaaaaaaaa">#REF!</definedName>
    <definedName name="_______________________FEB99">#REF!</definedName>
    <definedName name="residual">#REF!</definedName>
    <definedName name="FS1A">#REF!</definedName>
    <definedName name="_DAT7">#REF!</definedName>
    <definedName name="_______________________dep1">#REF!</definedName>
    <definedName name="BUDI21">#REF!</definedName>
    <definedName name="I_A_QTYLOADS_DEPL_FN">#REF!</definedName>
    <definedName name="______________b1">#REF!</definedName>
    <definedName name="Uraian236">#REF!</definedName>
    <definedName name="______________________________wwp2">#REF!</definedName>
    <definedName name="URAIAN713">#REF!</definedName>
    <definedName name="aREA2_8">#REF!</definedName>
    <definedName name="__________________________________________b2">#REF!</definedName>
    <definedName name="D_B_MATMOVED_L_ALL">#REF!</definedName>
    <definedName name="_712PK">#REF!</definedName>
    <definedName name="DATA_ASAL_7">#REF!</definedName>
    <definedName name="PLAN_MONTHLY_7_1">#REF!</definedName>
    <definedName name="Excel_BuiltIn__FilterDatabase_22">#REF!</definedName>
    <definedName name="_______________________________dep1">#REF!</definedName>
    <definedName name="dsdf">#REF!</definedName>
    <definedName name="__JU6">#REF!</definedName>
    <definedName name="pm3brm">#REF!</definedName>
    <definedName name="______________________________________APR99">#REF!</definedName>
    <definedName name="D_A_QTYLOADS_LS_ALL">#REF!</definedName>
    <definedName name="cetak4">#REF!</definedName>
    <definedName name="MMDFS1">#REF!</definedName>
    <definedName name="Period">#REF!</definedName>
    <definedName name="capLandAcq">#REF!</definedName>
    <definedName name="unpra">#REF!</definedName>
    <definedName name="PLAN_20">#REF!</definedName>
    <definedName name="___________________________b2">#REF!</definedName>
    <definedName name="D_S_QTYLOADS_M">#REF!</definedName>
    <definedName name="_DAT8">#REF!</definedName>
    <definedName name="L25BCL2">#REF!</definedName>
    <definedName name="_LLL06">#REF!</definedName>
    <definedName name="Excel_BuiltIn__FilterDatabase_21_1">#REF!</definedName>
    <definedName name="asdf">#REF!</definedName>
    <definedName name="DATA69">#REF!</definedName>
    <definedName name="I_B_TIMECAT_SQ">#REF!</definedName>
    <definedName name="URAIAN635A">#REF!</definedName>
    <definedName name="bengjun">#REF!</definedName>
    <definedName name="converse">#REF!</definedName>
    <definedName name="D_B_TIMECAT_EDWE">#REF!</definedName>
    <definedName name="nmL1s_5">#REF!</definedName>
    <definedName name="D_B_TIMECAT_QSE">#REF!</definedName>
    <definedName name="DATA43">#REF!</definedName>
    <definedName name="netback_obo_govt">#REF!</definedName>
    <definedName name="cetak6">#REF!</definedName>
    <definedName name="abb_9">#REF!</definedName>
    <definedName name="D_B_TIMECAT_Q7PE_ALL">#REF!</definedName>
    <definedName name="_LLL04">#REF!</definedName>
    <definedName name="MENUD5U2">#REF!</definedName>
    <definedName name="nme">#REF!</definedName>
    <definedName name="___________________MAY99">#REF!</definedName>
    <definedName name="_a_1_8">#REF!</definedName>
    <definedName name="capMineNE">#REF!</definedName>
    <definedName name="D_S_QTYLOADS_M_ALL">#REF!</definedName>
    <definedName name="D_B_TIMECAT_EI">#REF!</definedName>
    <definedName name="vSystolic">#REF!</definedName>
    <definedName name="_ME45">#REF!</definedName>
    <definedName name="D_B_MATMOVED_SQLP">#REF!</definedName>
    <definedName name="FS2C">#REF!</definedName>
    <definedName name="bbbbb">#REF!</definedName>
    <definedName name="I_R_TRUCKCYCLES_DQ_FN">#REF!</definedName>
    <definedName name="D_B_STATUS_IE">#REF!</definedName>
    <definedName name="__________________________DEP2">#REF!</definedName>
    <definedName name="PLAN_11_1">#REF!</definedName>
    <definedName name="MP_222">#REF!</definedName>
    <definedName name="_MMM27">#REF!</definedName>
    <definedName name="BLN">#REF!</definedName>
    <definedName name="MENUD5U">#REF!</definedName>
    <definedName name="I_S_QTYLOADS_RLT">#REF!</definedName>
    <definedName name="UPAH8">#REF!</definedName>
    <definedName name="MP_511">#REF!</definedName>
    <definedName name="원탄환산BCM">#REF!</definedName>
    <definedName name="vf">#REF!</definedName>
    <definedName name="I_A_QTYLOADS_DQEEL">#REF!</definedName>
    <definedName name="URAIAN622">#REF!</definedName>
    <definedName name="I_S_TIMECAT_E">#REF!</definedName>
    <definedName name="DUAEMPAT">#REF!</definedName>
    <definedName name="Ytd">#REF!</definedName>
    <definedName name="ForecastYtD">#REF!</definedName>
    <definedName name="RUMUS">#REF!</definedName>
    <definedName name="PA_HD465">#REF!</definedName>
    <definedName name="_________________________JAN99">#REF!</definedName>
    <definedName name="I_B_TIMECAT_7E_FN">#REF!</definedName>
    <definedName name="I_R_TIMECAT_DE_FN">#REF!</definedName>
    <definedName name="ACP_9">#REF!</definedName>
    <definedName name="I_YC_LOADER_E_FN">#REF!</definedName>
    <definedName name="_______________dep1">#REF!</definedName>
    <definedName name="Periode">#REF!</definedName>
    <definedName name="D_Y2_PLANS_7">#REF!</definedName>
    <definedName name="StandarHours7">#REF!</definedName>
    <definedName name="Rutin_5g">#REF!</definedName>
    <definedName name="D_MA_PLANS_">#REF!</definedName>
    <definedName name="BARGING_MONTH">#REF!</definedName>
    <definedName name="imn">#REF!</definedName>
    <definedName name="SHITT">#REF!</definedName>
    <definedName name="____RD3">#REF!</definedName>
    <definedName name="___tes3">#REF!</definedName>
    <definedName name="D_B_TIMECAT_SQWE">#REF!</definedName>
    <definedName name="Tonnes_lbs_8">#REF!</definedName>
    <definedName name="I_B_TIMECAT_QIP_FN">#REF!</definedName>
    <definedName name="_ME38">#REF!</definedName>
    <definedName name="I_B_STATUS_DEP_FN">#REF!</definedName>
    <definedName name="KFOB_2023">#REF!</definedName>
    <definedName name="____DAT5">#REF!</definedName>
    <definedName name="pelaburan">#REF!</definedName>
    <definedName name="MAT">#REF!</definedName>
    <definedName name="pinbtu">#REF!</definedName>
    <definedName name="_EEE07">#REF!</definedName>
    <definedName name="Name">#REF!</definedName>
    <definedName name="Componet_6">#REF!</definedName>
    <definedName name="Excel_BuiltIn_Print_Titles_8">#REF!</definedName>
    <definedName name="PersonSelectionRange">#REF!</definedName>
    <definedName name="Pkpcob">#REF!</definedName>
    <definedName name="____MGM1">#REF!</definedName>
    <definedName name="___DAT1">#REF!</definedName>
    <definedName name="S_PN2">#REF!</definedName>
    <definedName name="Sales_4">#REF!</definedName>
    <definedName name="FORM847">#REF!</definedName>
    <definedName name="FORM631">#REF!</definedName>
    <definedName name="_____________MGM1">#REF!</definedName>
    <definedName name="Penetration">#REF!</definedName>
    <definedName name="전체금리">#REF!</definedName>
    <definedName name="uphill">#REF!</definedName>
    <definedName name="July">#REF!</definedName>
    <definedName name="MP_844a">#REF!</definedName>
    <definedName name="I_B_TRUCKCYCLES_DR">#REF!</definedName>
    <definedName name="QuantitiesList">#REF!</definedName>
    <definedName name="FORM542">#REF!</definedName>
    <definedName name="___g20616">#REF!</definedName>
    <definedName name="NewExistList">#REF!</definedName>
    <definedName name="I_Y1_STATUS_E">#REF!</definedName>
    <definedName name="Avail">#REF!</definedName>
    <definedName name="D_A_TIMECAT_DQP">#REF!</definedName>
    <definedName name="D_B_QTYLOADS_DT_ALL">#REF!</definedName>
    <definedName name="_BSG31">#REF!</definedName>
    <definedName name="URAIAN7614d">#REF!</definedName>
    <definedName name="myChartType">#REF!</definedName>
    <definedName name="ProjList">#REF!</definedName>
    <definedName name="_Sci785">#REF!</definedName>
    <definedName name="_______________________________________MAR99">#REF!</definedName>
    <definedName name="I_A_QTYLOADS_QPEL">#REF!</definedName>
    <definedName name="D_A_QTYLOADS_IEPL_ALL">#REF!</definedName>
    <definedName name="Sales_2">#REF!</definedName>
    <definedName name="cccc">#REF!</definedName>
    <definedName name="erg">#REF!</definedName>
    <definedName name="MP_782">#REF!</definedName>
    <definedName name="State">#REF!</definedName>
    <definedName name="subcapex_9">#REF!</definedName>
    <definedName name="D_B_STATUS_DER">#REF!</definedName>
    <definedName name="_EEE03">#REF!</definedName>
    <definedName name="DT_S06">#REF!</definedName>
    <definedName name="_MOB2">#REF!</definedName>
    <definedName name="I_B_STATUS_IEER">#REF!</definedName>
    <definedName name="________________RP1">#REF!</definedName>
    <definedName name="Busang3">#REF!</definedName>
    <definedName name="Lokasi">#REF!</definedName>
    <definedName name="abb_6">#REF!</definedName>
    <definedName name="coba">#REF!</definedName>
    <definedName name="_____________b2">#REF!</definedName>
    <definedName name="marrie">#REF!</definedName>
    <definedName name="I_M_STATUS_T">#REF!</definedName>
    <definedName name="Excel_BuiltIn_Print_Area_1_1">#REF!</definedName>
    <definedName name="_635FA">#REF!</definedName>
    <definedName name="GOVTREVOLOOK">#REF!</definedName>
    <definedName name="____________DEP2">#REF!</definedName>
    <definedName name="________MAY99">#REF!</definedName>
    <definedName name="D_B_LOADER__ALL">#REF!</definedName>
    <definedName name="D_B_TIMECAT_Q7WP">#REF!</definedName>
    <definedName name="I_A_TIMECAT_DP_FN">#REF!</definedName>
    <definedName name="_MU499905">#REF!</definedName>
    <definedName name="I_B_QTYLOADS_PL">#REF!</definedName>
    <definedName name="I_B_MATMOVED_QD">#REF!</definedName>
    <definedName name="D_L_TIMECAT_QDPE">#REF!</definedName>
    <definedName name="RecordCount">#REF!</definedName>
    <definedName name="gnhs">#REF!</definedName>
    <definedName name="D_B_TIMECAT_SEQMT_OWNREQMT_DEPT">#REF!</definedName>
    <definedName name="FGH">#REF!</definedName>
    <definedName name="산업원화2">#REF!</definedName>
    <definedName name="I_M1_STATUS__FN">#REF!</definedName>
    <definedName name="nmLCL_9">#REF!</definedName>
    <definedName name="_HAL1">#REF!</definedName>
    <definedName name="_________MGM1">#REF!</definedName>
    <definedName name="Week_rep">#REF!</definedName>
    <definedName name="D_B_QTYLOADS_SKL_ALL">#REF!</definedName>
    <definedName name="DATA113">#REF!</definedName>
    <definedName name="___BMA35">#REF!</definedName>
    <definedName name="__________________________________________________________________wwp1">#REF!</definedName>
    <definedName name="I_S_QTYLOADS_1_FN">#REF!</definedName>
    <definedName name="_4__123Graph_XCHART_1">#REF!</definedName>
    <definedName name="Excel_BuiltIn_Print_Area_34">#REF!</definedName>
    <definedName name="D_B_MATMOVED_DQPEEL_ALL">#REF!</definedName>
    <definedName name="Equipment_21">#REF!</definedName>
    <definedName name="hWA800CoTot">#REF!</definedName>
    <definedName name="Series_NPAUI_Sales_5">#REF!</definedName>
    <definedName name="______________________________2_MASTER_SUMMARY_YEARLY">#REF!</definedName>
    <definedName name="DATA126">#REF!</definedName>
    <definedName name="G.S_유가보상">#REF!</definedName>
    <definedName name="D_L_TIMECAT_QD">#REF!</definedName>
    <definedName name="FORM82">#REF!</definedName>
    <definedName name="SUBCONT_PRODUCTION_COAL">#REF!</definedName>
    <definedName name="I_B_STATUS_Q7E_FN">#REF!</definedName>
    <definedName name="D_A_TIMECAT_DE_ALL">#REF!</definedName>
    <definedName name="Series_WI___Sales">#REF!</definedName>
    <definedName name="__________________________________________MGM1">#REF!</definedName>
    <definedName name="______LA2000">#REF!</definedName>
    <definedName name="qTotRomP">#REF!</definedName>
    <definedName name="_815PK">#REF!</definedName>
    <definedName name="No_DD01">#REF!</definedName>
    <definedName name="____________________APR99">#REF!</definedName>
    <definedName name="Sales_6">#REF!</definedName>
    <definedName name="I_A_TIMECAT_QE_FN">#REF!</definedName>
    <definedName name="I_B_STATUS_DEE_FN">#REF!</definedName>
    <definedName name="_______________________________BS01">#REF!</definedName>
    <definedName name="Excel_BuiltIn__FilterDatabase_24_1">#REF!</definedName>
    <definedName name="_REVPP">#REF!</definedName>
    <definedName name="I_B_QTYLOADS_RL_FN">#REF!</definedName>
    <definedName name="_MMM52">#REF!</definedName>
    <definedName name="_MMM20">#REF!</definedName>
    <definedName name="D_S_QTYLOADS_FG">#REF!</definedName>
    <definedName name="_____________________________________________________________________________g20616">#REF!</definedName>
    <definedName name="fuo">#REF!</definedName>
    <definedName name="oilingseptember">#REF!</definedName>
    <definedName name="VOLV05">#REF!</definedName>
    <definedName name="__________________________JAN99">#REF!</definedName>
    <definedName name="STATUS1">#REF!</definedName>
    <definedName name="PLT">#REF!</definedName>
    <definedName name="_MMM50">#REF!</definedName>
    <definedName name="__________________________________DEP2">#REF!</definedName>
    <definedName name="I_S_QTYDumpsQ_EL">#REF!</definedName>
    <definedName name="CBC">#REF!</definedName>
    <definedName name="Op_Rep_Title_date">#REF!</definedName>
    <definedName name="B16ABC">#REF!</definedName>
    <definedName name="________JAN99">#REF!</definedName>
    <definedName name="______________________________________wwp2">#REF!</definedName>
    <definedName name="산업원화1">#REF!</definedName>
    <definedName name="dsa">#REF!</definedName>
    <definedName name="Rutin_3d">#REF!</definedName>
    <definedName name="Sspex3500">#REF!</definedName>
    <definedName name="primatm">#REF!</definedName>
    <definedName name="RCSATU">#REF!</definedName>
    <definedName name="Equipment_No">#REF!</definedName>
    <definedName name="awin">#REF!</definedName>
    <definedName name="__________________________________________________________________________________________________________________g20616">#REF!</definedName>
    <definedName name="I_B_QTYLOADS_DPTL">#REF!</definedName>
    <definedName name="SS_Vessel">#REF!</definedName>
    <definedName name="D_B_STATUS_EDPEE_ALL">#REF!</definedName>
    <definedName name="I_S_QTYDUMPS_X_FN">#REF!</definedName>
    <definedName name="coaltruck_v3">#REF!</definedName>
    <definedName name="FloorLoss">#REF!</definedName>
    <definedName name="D_S_QTYLOADS_7_ALL">#REF!</definedName>
    <definedName name="___________________BS01">#REF!</definedName>
    <definedName name="___________________________dep1">#REF!</definedName>
    <definedName name="DZ_015">#REF!</definedName>
    <definedName name="__________________b1">#REF!</definedName>
    <definedName name="산업원화3">#REF!</definedName>
    <definedName name="PLAN_DAILY">#REF!</definedName>
    <definedName name="konvers">#REF!</definedName>
    <definedName name="SpecialPrice">#REF!</definedName>
    <definedName name="하나기간">#REF!</definedName>
    <definedName name="EPHR_6">#REF!</definedName>
    <definedName name="Series_Current_Ratio_9">#REF!</definedName>
    <definedName name="bafeb">#REF!</definedName>
    <definedName name="Fspr996">#REF!</definedName>
    <definedName name="D_B_STATUS_DQER">#REF!</definedName>
    <definedName name="dtadr">#REF!</definedName>
    <definedName name="Daily">#REF!</definedName>
    <definedName name="BL_01">#REF!</definedName>
    <definedName name="_lv2">#REF!</definedName>
    <definedName name="D_B_STATUS_QI">#REF!</definedName>
    <definedName name="void2">#REF!</definedName>
    <definedName name="D_B_MATMOVED_DQWPEEL_ALL">#REF!</definedName>
    <definedName name="DIST_16">#REF!</definedName>
    <definedName name="SEAM">#REF!</definedName>
    <definedName name="Pkpcft">#REF!</definedName>
    <definedName name="D_B_QTYLOADS_DRL_ALL">#REF!</definedName>
    <definedName name="URAIAN641L">#REF!</definedName>
    <definedName name="원화금액12">#REF!</definedName>
    <definedName name="PLAN_16">#REF!</definedName>
    <definedName name="D_C_PLANS_">#REF!</definedName>
    <definedName name="_611FA">#REF!</definedName>
    <definedName name="_________LC1000">#REF!</definedName>
    <definedName name="_MDE22">#REF!</definedName>
    <definedName name="StandarHours23_9">#REF!</definedName>
    <definedName name="I_M_STATUS_T_FN">#REF!</definedName>
    <definedName name="mj">#REF!</definedName>
    <definedName name="MENUD8">#REF!</definedName>
    <definedName name="D_B_TIMECAT_QSWE">#REF!</definedName>
    <definedName name="_SAP12">#REF!</definedName>
    <definedName name="COSUBOB5">#REF!</definedName>
    <definedName name="_Tap785">#REF!</definedName>
    <definedName name="I_M2_STATUS__FN">#REF!</definedName>
    <definedName name="Excel_BuiltIn_Print_Area_27">#REF!</definedName>
    <definedName name="HAULINGTRADING">#REF!</definedName>
    <definedName name="DIST_2">#REF!</definedName>
    <definedName name="qTotalRomKpc">#REF!</definedName>
    <definedName name="Excel_BuiltIn__FilterDatabase_4_1">#REF!</definedName>
    <definedName name="I_B_TIMECAT_EIE">#REF!</definedName>
    <definedName name="MtMorgans_US">#REF!</definedName>
    <definedName name="mar">#REF!</definedName>
    <definedName name="Sbincm">#REF!</definedName>
    <definedName name="COSUBOB8">#REF!</definedName>
    <definedName name="KPC_Only">#REF!</definedName>
    <definedName name="_DIV3">#REF!</definedName>
    <definedName name="D_A_SQL2IMPS_">#REF!</definedName>
    <definedName name="DIST_13">#REF!</definedName>
    <definedName name="URAIAN427">#REF!</definedName>
    <definedName name="Equipment_30">#REF!</definedName>
    <definedName name="PLAN_MONTHLY_9">#REF!</definedName>
    <definedName name="_Fap789">#REF!</definedName>
    <definedName name="penalty">#REF!</definedName>
    <definedName name="D_B_QTYLOADS_IPL_ALL">#REF!</definedName>
    <definedName name="Fkpccont">#REF!</definedName>
    <definedName name="_82PK">#REF!</definedName>
    <definedName name="D_Y_STATUS_">#REF!</definedName>
    <definedName name="SNK">#REF!</definedName>
    <definedName name="Nov_98">#REF!</definedName>
    <definedName name="Produc">#REF!</definedName>
    <definedName name="D_B_LOADER_SQWE_ALL">#REF!</definedName>
    <definedName name="_PJ191">#REF!</definedName>
    <definedName name="_____b1">#REF!</definedName>
    <definedName name="I_Y_STATUS_I">#REF!</definedName>
    <definedName name="D_B_QTYLOADS_RPL">#REF!</definedName>
    <definedName name="I_A_TIMECAT_DQE_FN">#REF!</definedName>
    <definedName name="D_M1_STATUS__ALL">#REF!</definedName>
    <definedName name="__________________________________MGM1">#REF!</definedName>
    <definedName name="I_B_TIMECAT_EIW">#REF!</definedName>
    <definedName name="_843FA">#REF!</definedName>
    <definedName name="D_A_STATUS_DR_ALL">#REF!</definedName>
    <definedName name="D_Y_TIMECAT_E">#REF!</definedName>
    <definedName name="DELAY_MT">#REF!</definedName>
    <definedName name="I_B_TIMECAT_EI">#REF!</definedName>
    <definedName name="_EEE22">#REF!</definedName>
    <definedName name="Series_NPAUI_Sales_8">#REF!</definedName>
    <definedName name="Series_NPAUI_Sales_4">#REF!</definedName>
    <definedName name="______________________MAR99">#REF!</definedName>
    <definedName name="Series_NPAUI___Sales_6">#REF!</definedName>
    <definedName name="Sales_Total">#REF!</definedName>
    <definedName name="_312FA">#REF!</definedName>
    <definedName name="ProjNo">#REF!</definedName>
    <definedName name="______wk45">#REF!</definedName>
    <definedName name="____________________________wwp1">#REF!</definedName>
    <definedName name="I_B_LOADER__FN">#REF!</definedName>
    <definedName name="RevBaseCode">#REF!</definedName>
    <definedName name="_________b1">#REF!</definedName>
    <definedName name="InDayworksNonEsc">#REF!</definedName>
    <definedName name="beglog_ton">#REF!</definedName>
    <definedName name="Series_Sales_Growth_5">#REF!</definedName>
    <definedName name="I_A_QTYLOADS_PL">#REF!</definedName>
    <definedName name="Qry_ForExcell_9">#REF!</definedName>
    <definedName name="I_A_STATUS_7QR_FN">#REF!</definedName>
    <definedName name="_311FA">#REF!</definedName>
    <definedName name="StandarHours15_8">#REF!</definedName>
    <definedName name="plantpoenya">#REF!</definedName>
    <definedName name="________________________________________________________wwp1">#REF!</definedName>
    <definedName name="_____________________________________________________________________________________________________________________________________________g20616">#REF!</definedName>
    <definedName name="WEEKLY2">#REF!</definedName>
    <definedName name="_____wk45">#REF!</definedName>
    <definedName name="data1_8">#REF!</definedName>
    <definedName name="cetak8">#REF!</definedName>
    <definedName name="Rutin_5a">#REF!</definedName>
    <definedName name="Kode_k">#REF!</definedName>
    <definedName name="AN_Stocks_9">#REF!</definedName>
    <definedName name="D_B_TIMECAT_QIPE">#REF!</definedName>
    <definedName name="D_B_TIMECAT_QDE">#REF!</definedName>
    <definedName name="_311PK">#REF!</definedName>
    <definedName name="_______________b2">#REF!</definedName>
    <definedName name="I_A_QTYLOADS_DEL">#REF!</definedName>
    <definedName name="DATA4">#REF!</definedName>
    <definedName name="___Cat330">#REF!</definedName>
    <definedName name="DATA36">#REF!</definedName>
    <definedName name="ship2">#REF!</definedName>
    <definedName name="TypeUnit">#REF!</definedName>
    <definedName name="URAIAN636">#REF!</definedName>
    <definedName name="D_M_TIMECAT_Q_ALL">#REF!</definedName>
    <definedName name="Oil_In">#REF!</definedName>
    <definedName name="hn">#REF!</definedName>
    <definedName name="_MMM02">#REF!</definedName>
    <definedName name="_522FA">#REF!</definedName>
    <definedName name="ADI">#REF!</definedName>
    <definedName name="months_qtr">#REF!</definedName>
    <definedName name="I_B_TIMECAT_QDPEE_FN">#REF!</definedName>
    <definedName name="FORM771d">#REF!</definedName>
    <definedName name="ali">#REF!</definedName>
    <definedName name="chtYmin_4">#REF!</definedName>
    <definedName name="Num_Pmt_Per_Year">#REF!</definedName>
    <definedName name="__DAT7">#REF!</definedName>
    <definedName name="URAIAN633">#REF!</definedName>
    <definedName name="_____________________DEP11">#REF!</definedName>
    <definedName name="____RP1">#REF!</definedName>
    <definedName name="D_B_STATUS_DEE">#REF!</definedName>
    <definedName name="D_A_QTYLOADS_QPEL_ALL">#REF!</definedName>
    <definedName name="_______________________________________________________g20616">#REF!</definedName>
    <definedName name="UPAHLALU">#REF!</definedName>
    <definedName name="DATA83">#REF!</definedName>
    <definedName name="FuelUsageLevel">#REF!</definedName>
    <definedName name="D_B_TIMECAT_DQWE">#REF!</definedName>
    <definedName name="D_R_TRUCKCYCLES_DQ_ALL">#REF!</definedName>
    <definedName name="D_D_PLANS_">#REF!</definedName>
    <definedName name="I_B_STATUS_7EER_FN">#REF!</definedName>
    <definedName name="D_B_TIMECAT_QDPE_ALL">#REF!</definedName>
    <definedName name="__________________________________b2">#REF!</definedName>
    <definedName name="_b1">#REF!</definedName>
    <definedName name="FORM243">#REF!</definedName>
    <definedName name="FS1B">#REF!</definedName>
    <definedName name="PtyHD500">#REF!</definedName>
    <definedName name="I_S_QTYLOADS_DP_FN">#REF!</definedName>
    <definedName name="_MMM36">#REF!</definedName>
    <definedName name="Sched_Pay">#REF!</definedName>
    <definedName name="bd">#REF!</definedName>
    <definedName name="STD_var_pct_3">#REF!</definedName>
    <definedName name="HLS3BW">#REF!</definedName>
    <definedName name="TOP_COSTUM">#REF!</definedName>
    <definedName name="LIST">#REF!</definedName>
    <definedName name="bajun">#REF!</definedName>
    <definedName name="_DWO02">#REF!</definedName>
    <definedName name="Tonnes_lbs_9">#REF!</definedName>
    <definedName name="exc">#REF!</definedName>
    <definedName name="DATA87">#REF!</definedName>
    <definedName name="DATA_ASAL_3">#REF!</definedName>
    <definedName name="forecast_6">#REF!</definedName>
    <definedName name="COAL_8">#REF!</definedName>
    <definedName name="StandarHours21_9">#REF!</definedName>
    <definedName name="REN_KPTJ">#REF!</definedName>
    <definedName name="Skpcft">#REF!</definedName>
    <definedName name="D_R_STATUS__ALL">#REF!</definedName>
    <definedName name="I_B_TIMECAT_QS_FN">#REF!</definedName>
    <definedName name="__________________________DEP22">#REF!</definedName>
    <definedName name="_MMM42">#REF!</definedName>
    <definedName name="_REVRM">#REF!</definedName>
    <definedName name="________________________g20616">#REF!</definedName>
    <definedName name="_DAT4">#REF!</definedName>
    <definedName name="t_2_9">#REF!</definedName>
    <definedName name="D_B_QTYLOADS_DRWPEEL">#REF!</definedName>
    <definedName name="INCOME10">#REF!</definedName>
    <definedName name="PA_HD785">#REF!</definedName>
    <definedName name="qLowEffortAreaCon">#REF!</definedName>
    <definedName name="Data_4">#REF!</definedName>
    <definedName name="D_B_QTYLOADS_RPTL_ALL">#REF!</definedName>
    <definedName name="_____________DEP22">#REF!</definedName>
    <definedName name="Prog">#REF!</definedName>
    <definedName name="FORM634">#REF!</definedName>
    <definedName name="FORM635A">#REF!</definedName>
    <definedName name="D_L_SQL2IMPS_">#REF!</definedName>
    <definedName name="I_B_MATMOVED_SWPL">#REF!</definedName>
    <definedName name="XRefCopy10Row">#REF!</definedName>
    <definedName name="Series_COPAT___FP_9">#REF!</definedName>
    <definedName name="DATA63">#REF!</definedName>
    <definedName name="Continue">#REF!</definedName>
    <definedName name="minjan">#REF!</definedName>
    <definedName name="LnMTNS1">#REF!</definedName>
    <definedName name="Ttotalinv">#REF!</definedName>
    <definedName name="D_B_TIMECAT_DQPE">#REF!</definedName>
    <definedName name="I_D_SQL2IMPS_">#REF!</definedName>
    <definedName name="badec">#REF!</definedName>
    <definedName name="capSocial">#REF!</definedName>
    <definedName name="___________g20616">#REF!</definedName>
    <definedName name="URAIAN426">#REF!</definedName>
    <definedName name="I_B_TIMECAT_Q7PE">#REF!</definedName>
    <definedName name="__________________________RP1">#REF!</definedName>
    <definedName name="D_B_TIMECAT_E7E_ALL">#REF!</definedName>
    <definedName name="I_M_STATUS_YT_FN">#REF!</definedName>
    <definedName name="qDC01AreaKPC">#REF!</definedName>
    <definedName name="stfpin">#REF!</definedName>
    <definedName name="________________________MGM2">#REF!</definedName>
    <definedName name="SPIT">#REF!</definedName>
    <definedName name="MENUD8F2">#REF!</definedName>
    <definedName name="FCast">#REF!</definedName>
    <definedName name="E_077">#REF!</definedName>
    <definedName name="FORM427">#REF!</definedName>
    <definedName name="________________________________MGM1">#REF!</definedName>
    <definedName name="Finish">#REF!</definedName>
    <definedName name="Qty_2023">#REF!</definedName>
    <definedName name="kategori">#REF!</definedName>
    <definedName name="_ME13">#REF!</definedName>
    <definedName name="Series">#REF!</definedName>
    <definedName name="__________________________________________________________________________________________________________________________________________________________g20616">#REF!</definedName>
    <definedName name="InMarginHaulage">#REF!</definedName>
    <definedName name="Biaya">#REF!</definedName>
    <definedName name="SUM_PLAN">#REF!</definedName>
    <definedName name="Table">#REF!</definedName>
    <definedName name="_MMM43">#REF!</definedName>
    <definedName name="I_S_Timecat_EL_FN">#REF!</definedName>
    <definedName name="Distance_13">#REF!</definedName>
    <definedName name="I_Y2_PLANS__FN">#REF!</definedName>
    <definedName name="HC">#REF!</definedName>
    <definedName name="BTS2HW">#REF!</definedName>
    <definedName name="ww">#REF!</definedName>
    <definedName name="I_A_QTYLOADS_IQL">#REF!</definedName>
    <definedName name="capOvlConv">#REF!</definedName>
    <definedName name="D_B_MATMOVED_DL">#REF!</definedName>
    <definedName name="PTT">#REF!</definedName>
    <definedName name="_MMM24">#REF!</definedName>
    <definedName name="E_Port">#REF!</definedName>
    <definedName name="D_B_MATMOVED_SWPL">#REF!</definedName>
    <definedName name="URAIAN7103">#REF!</definedName>
    <definedName name="areasy">#REF!</definedName>
    <definedName name="FORM717">#REF!</definedName>
    <definedName name="___________________________________________DEP22">#REF!</definedName>
    <definedName name="PIT_DET_H3">#REF!</definedName>
    <definedName name="____________BS01">#REF!</definedName>
    <definedName name="_Pci789">#REF!</definedName>
    <definedName name="LnOPRS1">#REF!</definedName>
    <definedName name="dd01_tab">#REF!</definedName>
    <definedName name="____MAR99">#REF!</definedName>
    <definedName name="D_B_TIMECAT_SQWPE">#REF!</definedName>
    <definedName name="I_S_QTYLOADS_RL_FN">#REF!</definedName>
    <definedName name="D_B_STATUS_QDE_ALL">#REF!</definedName>
    <definedName name="I_S_SHIFT_S">#REF!</definedName>
    <definedName name="D_B_STATUS_7EER_ALL">#REF!</definedName>
    <definedName name="Excavators_8">#REF!</definedName>
    <definedName name="_________________MGM2">#REF!</definedName>
    <definedName name="srvho">#REF!</definedName>
    <definedName name="______________wwp1">#REF!</definedName>
    <definedName name="AreaSumetra">#REF!</definedName>
    <definedName name="StandarHours2_9">#REF!</definedName>
    <definedName name="PIT">#REF!</definedName>
    <definedName name="D_A_TIMECAT_SEE">#REF!</definedName>
    <definedName name="nmMean_4">#REF!</definedName>
    <definedName name="_BSG33">#REF!</definedName>
    <definedName name="LnLDRV1">#REF!</definedName>
    <definedName name="___new2">#REF!</definedName>
    <definedName name="JTI">#REF!</definedName>
    <definedName name="___________wwp2">#REF!</definedName>
    <definedName name="JDE">#REF!</definedName>
    <definedName name="______________________________________________________________________________________________________________________________________g20616">#REF!</definedName>
    <definedName name="coal_adj_utara">#REF!</definedName>
    <definedName name="LnTRK">#REF!</definedName>
    <definedName name="D_B_TIMECAT_DEP_ALL">#REF!</definedName>
    <definedName name="______________________b2">#REF!</definedName>
    <definedName name="I_B_MATMOVED_QL">#REF!</definedName>
    <definedName name="Pkpcindemp">#REF!</definedName>
    <definedName name="Uraian312">#REF!</definedName>
    <definedName name="populasi">#REF!</definedName>
    <definedName name="Pempl910">#REF!</definedName>
    <definedName name="InRunRepayLTD4">#REF!</definedName>
    <definedName name="기업원화4">#REF!</definedName>
    <definedName name="_________FEB99">#REF!</definedName>
    <definedName name="D_B_MATMOVED_DQL">#REF!</definedName>
    <definedName name="_MMM06">#REF!</definedName>
    <definedName name="hEX3500BTot">#REF!</definedName>
    <definedName name="D_B_TIMECAT_EI_ALL">#REF!</definedName>
    <definedName name="nmL1s_9">#REF!</definedName>
    <definedName name="MENUD7U">#REF!</definedName>
    <definedName name="FORM7610">#REF!</definedName>
    <definedName name="LnCAT">#REF!</definedName>
    <definedName name="ProjectID">#REF!</definedName>
    <definedName name="Fqual">#REF!</definedName>
    <definedName name="________LC250">#REF!</definedName>
    <definedName name="D_R_STATUS_">#REF!</definedName>
    <definedName name="D_A_TIMECAT_DEP_ALL">#REF!</definedName>
    <definedName name="_PLO1">#REF!</definedName>
    <definedName name="_MDE29">#REF!</definedName>
    <definedName name="_________________BS01">#REF!</definedName>
    <definedName name="D_B_QTYLOADS_RL_ALL">#REF!</definedName>
    <definedName name="______________________________________________________________wwp2">#REF!</definedName>
    <definedName name="_______wwp1">#REF!</definedName>
    <definedName name="D_A_QTYLOADS_DQEXCAV_EQMT_REF01L">#REF!</definedName>
    <definedName name="__________________wwp2">#REF!</definedName>
    <definedName name="_BSG21">#REF!</definedName>
    <definedName name="____________________________________________DEP22">#REF!</definedName>
    <definedName name="D_B_TIMECAT_E7E">#REF!</definedName>
    <definedName name="_ME46">#REF!</definedName>
    <definedName name="cetak5">#REF!</definedName>
    <definedName name="BUDI18">#REF!</definedName>
    <definedName name="Volume_Price">#REF!</definedName>
    <definedName name="_______________________MGM2">#REF!</definedName>
    <definedName name="I_B_MATMOVED_DQWPEEL_FN">#REF!</definedName>
    <definedName name="DIST_19">#REF!</definedName>
    <definedName name="_Fci785">#REF!</definedName>
    <definedName name="D_A_QTYLOADS_SQL">#REF!</definedName>
    <definedName name="I_C_SQL2MMS__FN">#REF!</definedName>
    <definedName name="I_B_MATMOVED_E">#REF!</definedName>
    <definedName name="shdhhde">#REF!</definedName>
    <definedName name="__________________________________b1">#REF!</definedName>
    <definedName name="_ME51">#REF!</definedName>
    <definedName name="__123Graph_F">#REF!</definedName>
    <definedName name="__mid05">#REF!</definedName>
    <definedName name="BIMA_유가보상">#REF!</definedName>
    <definedName name="__________________________dep1">#REF!</definedName>
    <definedName name="_ME56">#REF!</definedName>
    <definedName name="Distance_8">#REF!</definedName>
    <definedName name="D_A_STATUS_QR">#REF!</definedName>
    <definedName name="I_Y_STATUS_QTR">#REF!</definedName>
    <definedName name="TotBookValComm">#REF!</definedName>
    <definedName name="D_A_TIMECAT_Q_ALL">#REF!</definedName>
    <definedName name="HASATU">#REF!</definedName>
    <definedName name="대해_유가보상">#REF!</definedName>
    <definedName name="______________MGM2">#REF!</definedName>
    <definedName name="___RD2">#REF!</definedName>
    <definedName name="RINCIANSEWA2">#REF!</definedName>
    <definedName name="_________LA250">#REF!</definedName>
    <definedName name="URAIAN771d">#REF!</definedName>
    <definedName name="_MDE49">#REF!</definedName>
    <definedName name="I_B_STATUS_IQR">#REF!</definedName>
    <definedName name="_EEE10">#REF!</definedName>
    <definedName name="TANDEMROLLER">#REF!</definedName>
    <definedName name="기업기간">#REF!</definedName>
    <definedName name="_En">#REF!</definedName>
    <definedName name="D_B_TIMECAT_QW_ALL">#REF!</definedName>
    <definedName name="D_B_TIMECAT_SQ_ALL">#REF!</definedName>
    <definedName name="FORM772c">#REF!</definedName>
    <definedName name="D_A_TIMECAT_DEWPE_ALL">#REF!</definedName>
    <definedName name="AS2StaticLS">#REF!</definedName>
    <definedName name="_________________________________DEC98">#REF!</definedName>
    <definedName name="stock_temp">#REF!</definedName>
    <definedName name="_____________________2_MASTER_SUMMARY_YEARLY">#REF!</definedName>
    <definedName name="I_Panel_SQL2IMPS_">#REF!</definedName>
    <definedName name="I_B_TIMECAT_7Q">#REF!</definedName>
    <definedName name="persent">#REF!</definedName>
    <definedName name="SDSFDSF">#REF!</definedName>
    <definedName name="I_B_TIMECAT_IQEE">#REF!</definedName>
    <definedName name="______________________________________dep1">#REF!</definedName>
    <definedName name="AVERAGE">#REF!</definedName>
    <definedName name="I_A_TRUCKCYCLES_SE_FN">#REF!</definedName>
    <definedName name="_iRFParts">#REF!</definedName>
    <definedName name="Series_NPAUI_Sales_9">#REF!</definedName>
    <definedName name="_ME22">#REF!</definedName>
    <definedName name="BUDI8">#REF!</definedName>
    <definedName name="SKW_Mulde">#REF!</definedName>
    <definedName name="_______________________________________________________________g20616">#REF!</definedName>
    <definedName name="Show_Sales_Growth">#REF!</definedName>
    <definedName name="_RUM1">#REF!</definedName>
    <definedName name="_27_Mar">#REF!</definedName>
    <definedName name="___________________________________________________________g20616">#REF!</definedName>
    <definedName name="I_A_QTYLOADS_SWPL_FN">#REF!</definedName>
    <definedName name="D_B_TIMECAT_QIPE_ALL">#REF!</definedName>
    <definedName name="SMJCoal_유가보상">#REF!</definedName>
    <definedName name="I_A_TIMECAT_QWPEE_FN">#REF!</definedName>
    <definedName name="________________________RP1">#REF!</definedName>
    <definedName name="ADQ">#REF!</definedName>
    <definedName name="Hello">#REF!</definedName>
    <definedName name="D_A_TIMECAT_DQW_ALL">#REF!</definedName>
    <definedName name="I_B_STATUS_IQE_FN">#REF!</definedName>
    <definedName name="MOHH_ITEM">#REF!</definedName>
    <definedName name="남동_700">#REF!</definedName>
    <definedName name="______________________________________________________________________________________________________________g20616">#REF!</definedName>
    <definedName name="Series_WI___Sales_6">#REF!</definedName>
    <definedName name="Zip">#REF!</definedName>
    <definedName name="LPN">#REF!</definedName>
    <definedName name="aREA3_9">#REF!</definedName>
    <definedName name="______________________________________FEB99">#REF!</definedName>
    <definedName name="____________________________________________________________wwp2">#REF!</definedName>
    <definedName name="StandarHours22">#REF!</definedName>
    <definedName name="____________________2_MASTER_SUMMARY_YEARLY">#REF!</definedName>
    <definedName name="_MU569954">#REF!</definedName>
    <definedName name="______________DEC98">#REF!</definedName>
    <definedName name="KR1FW">#REF!</definedName>
    <definedName name="_MMM16">#REF!</definedName>
    <definedName name="DISACT">#REF!</definedName>
    <definedName name="I_A_TIMECAT_IQE_FN">#REF!</definedName>
    <definedName name="delapan">#REF!</definedName>
    <definedName name="D_B_STATUS_QDPE">#REF!</definedName>
    <definedName name="D_B_STATUS_Q">#REF!</definedName>
    <definedName name="Rutin_4a">#REF!</definedName>
    <definedName name="D_B_STATUS_IQR_ALL">#REF!</definedName>
    <definedName name="_MMM51">#REF!</definedName>
    <definedName name="D_Y_STATUS_T">#REF!</definedName>
    <definedName name="_______________________g20616">#REF!</definedName>
    <definedName name="국민원화금리3">#REF!</definedName>
    <definedName name="five3">#REF!</definedName>
    <definedName name="series_8">#REF!</definedName>
    <definedName name="_tk11">#REF!</definedName>
    <definedName name="Phatcm">#REF!</definedName>
    <definedName name="_____________________________________________________________wwp2">#REF!</definedName>
    <definedName name="UOI">#REF!</definedName>
    <definedName name="Technical">#REF!</definedName>
    <definedName name="D_B_QTYLOADS_7L_ALL">#REF!</definedName>
    <definedName name="_APR99">#REF!</definedName>
    <definedName name="STRUKTUR">#REF!</definedName>
    <definedName name="________________________________________MGM2">#REF!</definedName>
    <definedName name="JREHAB">#REF!</definedName>
    <definedName name="LnCATO1">#REF!</definedName>
    <definedName name="StandarHours7_9">#REF!</definedName>
    <definedName name="CtrlToolboxLink_9">#REF!</definedName>
    <definedName name="Int">#REF!</definedName>
    <definedName name="_DWO10">#REF!</definedName>
    <definedName name="nmUCL">#REF!</definedName>
    <definedName name="D_B_TIMECAT_E7W_ALL">#REF!</definedName>
    <definedName name="_____________________________________APR99">#REF!</definedName>
    <definedName name="생산관리">#REF!</definedName>
    <definedName name="Due_03">#REF!</definedName>
    <definedName name="Pcconv">#REF!</definedName>
    <definedName name="birthday">#REF!</definedName>
    <definedName name="_________________________________BS01">#REF!</definedName>
    <definedName name="MP_424">#REF!</definedName>
    <definedName name="I_A_QTYLOADS_QPL_FN">#REF!</definedName>
    <definedName name="page2">#REF!</definedName>
    <definedName name="_______________________wk45">#REF!</definedName>
    <definedName name="I_B_TIMECAT_QE_FN">#REF!</definedName>
    <definedName name="______________DEP2">#REF!</definedName>
    <definedName name="_______________________________________DEP22">#REF!</definedName>
    <definedName name="___FEB99">#REF!</definedName>
    <definedName name="D_S_QTYLOADS_PL_ALL">#REF!</definedName>
    <definedName name="D_A_QTYLOADS_IQPL">#REF!</definedName>
    <definedName name="I_S_QTYLOADS_QLP">#REF!</definedName>
    <definedName name="Componet">#REF!</definedName>
    <definedName name="MP_844b">#REF!</definedName>
    <definedName name="____________________________________________________________________________________________________________________________________________________________g20616">#REF!</definedName>
    <definedName name="bamay">#REF!</definedName>
    <definedName name="경남원화3">#REF!</definedName>
    <definedName name="I_B_TIMECAT_SQE_FN">#REF!</definedName>
    <definedName name="MP_841">#REF!</definedName>
    <definedName name="series_llllll_6">#REF!</definedName>
    <definedName name="URAIAN7102">#REF!</definedName>
    <definedName name="_HAL4">#REF!</definedName>
    <definedName name="_621PK">#REF!</definedName>
    <definedName name="_EEE01">#REF!</definedName>
    <definedName name="workingday_thismonth">#REF!</definedName>
    <definedName name="FDP_16_1_aUrv">#REF!</definedName>
    <definedName name="ADT_03">#REF!</definedName>
    <definedName name="D_B_QTYLOADS_KPL_ALL">#REF!</definedName>
    <definedName name="기업원화3">#REF!</definedName>
    <definedName name="LIST_19">#REF!</definedName>
    <definedName name="_2__123Graph_ACHART_1">#REF!</definedName>
    <definedName name="bengjul">#REF!</definedName>
    <definedName name="nmU2s">#REF!</definedName>
    <definedName name="Fcconv">#REF!</definedName>
    <definedName name="D_S_QTYLOADS_1">#REF!</definedName>
    <definedName name="wtadr">#REF!</definedName>
    <definedName name="Due_02">#REF!</definedName>
    <definedName name="_Wb">#REF!</definedName>
    <definedName name="asmo9">#REF!</definedName>
    <definedName name="ActivityCode">#REF!</definedName>
    <definedName name="DATA12">#REF!</definedName>
    <definedName name="Shipment">#REF!</definedName>
    <definedName name="D_B_TRUCKCYCLES_DR_ALL">#REF!</definedName>
    <definedName name="RMB">#REF!</definedName>
    <definedName name="H_Equipment">#REF!</definedName>
    <definedName name="cek">#REF!</definedName>
    <definedName name="D_B_TIMECAT_Q7SP">#REF!</definedName>
    <definedName name="Excel_BuiltIn_Database">#REF!</definedName>
    <definedName name="KOMPONEN">#REF!</definedName>
    <definedName name="국민원화금리2">#REF!</definedName>
    <definedName name="D_B_MATMOVED_Q_ALL">#REF!</definedName>
    <definedName name="INCOME06">#REF!</definedName>
    <definedName name="_MDE41">#REF!</definedName>
    <definedName name="DtoW">#REF!</definedName>
    <definedName name="days_yr">#REF!</definedName>
    <definedName name="_______________________b1">#REF!</definedName>
    <definedName name="DATA_ASAL_8">#REF!</definedName>
    <definedName name="_________________________________MGM2">#REF!</definedName>
    <definedName name="JML_TK8">#REF!</definedName>
    <definedName name="Saldo">#REF!</definedName>
    <definedName name="Data_9">#REF!</definedName>
    <definedName name="I_B_TRUCKCYCLES_SRCT_FN">#REF!</definedName>
    <definedName name="____________________________________________________________________________________________________________g20616">#REF!</definedName>
    <definedName name="_612FA">#REF!</definedName>
    <definedName name="StandarHours11_8">#REF!</definedName>
    <definedName name="W_Equip">#REF!</definedName>
    <definedName name="I_B_TIMECAT_Q7PE_FN">#REF!</definedName>
    <definedName name="Fkpccm">#REF!</definedName>
    <definedName name="InActualSR">#REF!</definedName>
    <definedName name="__________________________________APR99">#REF!</definedName>
    <definedName name="ExternalData1">#REF!</definedName>
    <definedName name="DATA9">#REF!</definedName>
    <definedName name="이자율1">#REF!</definedName>
    <definedName name="INCOME08">#REF!</definedName>
    <definedName name="I_B_STATUS_IE">#REF!</definedName>
    <definedName name="I_B_TIMECAT_E">#REF!</definedName>
    <definedName name="Kota">#REF!</definedName>
    <definedName name="BR">#REF!</definedName>
    <definedName name="_CAT08">#REF!</definedName>
    <definedName name="ptyHD2000">#REF!</definedName>
    <definedName name="RCDUABE">#REF!</definedName>
    <definedName name="I_Y_TIMECAT_Q_FN">#REF!</definedName>
    <definedName name="___________DEP11">#REF!</definedName>
    <definedName name="FORM346">#REF!</definedName>
    <definedName name="_EEE30">#REF!</definedName>
    <definedName name="_____________2_MASTER_SUMMARY_YEARLY">#REF!</definedName>
    <definedName name="IMT">#REF!</definedName>
    <definedName name="P">#REF!</definedName>
    <definedName name="하나원화금리2">#REF!</definedName>
    <definedName name="I_B_TIMECAT_7E">#REF!</definedName>
    <definedName name="Bengmar">#REF!</definedName>
    <definedName name="D_R_SQL2IMPS__ALL">#REF!</definedName>
    <definedName name="Vessel_SS">#REF!</definedName>
    <definedName name="D_A_TIMECAT_QWPEE">#REF!</definedName>
    <definedName name="D_A_QTYLOADS_DL">#REF!</definedName>
    <definedName name="___________________________________FEB99">#REF!</definedName>
    <definedName name="I_Y_STATUS_QTR_FN">#REF!</definedName>
    <definedName name="______________________________________________________________________g20616">#REF!</definedName>
    <definedName name="AssetOwnList">#REF!</definedName>
    <definedName name="____________________________________________b1">#REF!</definedName>
    <definedName name="rp">#REF!</definedName>
    <definedName name="Saving_in_production_time">#REF!</definedName>
    <definedName name="_MMM21">#REF!</definedName>
    <definedName name="D_B_QTYLOADS_IPL">#REF!</definedName>
    <definedName name="FORM772d">#REF!</definedName>
    <definedName name="FORM768">#REF!</definedName>
    <definedName name="URAIAN22E">#REF!</definedName>
    <definedName name="LnDMGR1">#REF!</definedName>
    <definedName name="___________________DEC98">#REF!</definedName>
    <definedName name="___________________wk45">#REF!</definedName>
    <definedName name="___DAT12">#REF!</definedName>
    <definedName name="__nam41">#REF!</definedName>
    <definedName name="____DEC98">#REF!</definedName>
    <definedName name="Sempl920">#REF!</definedName>
    <definedName name="prod">#REF!</definedName>
    <definedName name="FORM1012">#REF!</definedName>
    <definedName name="RIT_COAL">#REF!</definedName>
    <definedName name="wh_style_3">#REF!</definedName>
    <definedName name="URAIAN511">#REF!</definedName>
    <definedName name="summary">#REF!</definedName>
    <definedName name="I_B_QTYLOADS_RPTL">#REF!</definedName>
    <definedName name="___________________________________________________________________wwp2">#REF!</definedName>
    <definedName name="transfer_8">#REF!</definedName>
    <definedName name="capTrestle">#REF!</definedName>
    <definedName name="하나예금">#REF!</definedName>
    <definedName name="chtYmin_5">#REF!</definedName>
    <definedName name="__________wwp2">#REF!</definedName>
    <definedName name="DATA45">#REF!</definedName>
    <definedName name="LPT">#REF!</definedName>
    <definedName name="D_B_STATUS_IQEE">#REF!</definedName>
    <definedName name="I_B_TIMECAT_DQPE_FN">#REF!</definedName>
    <definedName name="___w5">#REF!</definedName>
    <definedName name="EX_412">#REF!</definedName>
    <definedName name="_MMM13">#REF!</definedName>
    <definedName name="totb">#REF!</definedName>
    <definedName name="COSUBCO2">#REF!</definedName>
    <definedName name="_tk2">#REF!</definedName>
    <definedName name="URAIAN7610">#REF!</definedName>
    <definedName name="othman_00">#REF!</definedName>
    <definedName name="STATUS11">#REF!</definedName>
    <definedName name="PA_ob">#REF!</definedName>
    <definedName name="_ME58">#REF!</definedName>
    <definedName name="MENUD7F">#REF!</definedName>
    <definedName name="I_B_MATMOVED_DL_FN">#REF!</definedName>
    <definedName name="D_B_LOADER_DQR">#REF!</definedName>
    <definedName name="meimei">#REF!</definedName>
    <definedName name="Data_6">#REF!</definedName>
    <definedName name="I_S_QTYLOADS__FN">#REF!</definedName>
    <definedName name="December">#REF!</definedName>
    <definedName name="I_B_MATMOVED_DQQQQL">#REF!</definedName>
    <definedName name="PartDescription">#REF!</definedName>
    <definedName name="Fempl300">#REF!</definedName>
    <definedName name="_322FA">#REF!</definedName>
    <definedName name="Forex">#REF!</definedName>
    <definedName name="_____________RP1">#REF!</definedName>
    <definedName name="_______________________________________BS01">#REF!</definedName>
    <definedName name="I_Owner_SQL2IMPS__FN">#REF!</definedName>
    <definedName name="D_R_SQL2IMPS_">#REF!</definedName>
    <definedName name="D_S_LOADERCYCLES_">#REF!</definedName>
    <definedName name="_DIV5">#REF!</definedName>
    <definedName name="ProjName">#REF!</definedName>
    <definedName name="____________MAY99">#REF!</definedName>
    <definedName name="_____________________________________________wwp1">#REF!</definedName>
    <definedName name="nEx3500S">#REF!</definedName>
    <definedName name="Source">#REF!</definedName>
    <definedName name="_____________________DEC98">#REF!</definedName>
    <definedName name="_________________________________________________________________________________________________________g20616">#REF!</definedName>
    <definedName name="april30">#REF!</definedName>
    <definedName name="I_S_QTYLOADS_FX">#REF!</definedName>
    <definedName name="WATERTANKER">#REF!</definedName>
    <definedName name="S_PN1">#REF!</definedName>
    <definedName name="jjscd">#REF!</definedName>
    <definedName name="I_B_MATMOVED_SQLP">#REF!</definedName>
    <definedName name="D_A_QTYLOADS_IQL_ALL">#REF!</definedName>
    <definedName name="______________________________________DEP2">#REF!</definedName>
    <definedName name="I_B_TIMECAT_QSEQMT_DEPT">#REF!</definedName>
    <definedName name="D_B_TIMECAT_QDSP">#REF!</definedName>
    <definedName name="URAIAN817">#REF!</definedName>
    <definedName name="GGG">#REF!</definedName>
    <definedName name="I_B_QTYLOADS_IRL_FN">#REF!</definedName>
    <definedName name="_815FA">#REF!</definedName>
    <definedName name="______________RP1">#REF!</definedName>
    <definedName name="__________________________________DEP11">#REF!</definedName>
    <definedName name="_a652000">#REF!</definedName>
    <definedName name="MMM17A">#REF!</definedName>
    <definedName name="FORM7612a">#REF!</definedName>
    <definedName name="D_A_QTYLOADS_IL_ALL">#REF!</definedName>
    <definedName name="URAIAN7614b">#REF!</definedName>
    <definedName name="ProcessType">#REF!</definedName>
    <definedName name="_________________________MGM1">#REF!</definedName>
    <definedName name="_BUS2">#REF!</definedName>
    <definedName name="KBM">#REF!</definedName>
    <definedName name="Srain">#REF!</definedName>
    <definedName name="I_A_QTYLOADS_DQEXCAV_EQMT_REF01L">#REF!</definedName>
    <definedName name="capCommsEqp">#REF!</definedName>
    <definedName name="JNL_FIMUG">#REF!</definedName>
    <definedName name="StandarHours24_9">#REF!</definedName>
    <definedName name="Equipment">#REF!</definedName>
    <definedName name="________________________________2_MASTER_SUMMARY_YEARLY">#REF!</definedName>
    <definedName name="_____________________________________BS01">#REF!</definedName>
    <definedName name="D_B_TIMECAT_ESW">#REF!</definedName>
    <definedName name="I_A_QTYLOADS_SWPEEL">#REF!</definedName>
    <definedName name="SLH">#REF!</definedName>
    <definedName name="MEDIC">#REF!</definedName>
    <definedName name="I_B_TIMECAT_IQE_FN">#REF!</definedName>
    <definedName name="__________________________________________________________________________________________g20616">#REF!</definedName>
    <definedName name="NO_BARGE">#REF!</definedName>
    <definedName name="LnPEng1">#REF!</definedName>
    <definedName name="Excel_BuiltIn__FilterDatabase_13">#REF!</definedName>
    <definedName name="D_B_QTYLOADS_DRPEL_ALL">#REF!</definedName>
    <definedName name="________________________________________BS01">#REF!</definedName>
    <definedName name="CHNIGHT">#REF!</definedName>
    <definedName name="BUDI22">#REF!</definedName>
    <definedName name="CPTBA">#REF!</definedName>
    <definedName name="_iRFOTHER">#REF!</definedName>
    <definedName name="TEST4">#REF!</definedName>
    <definedName name="tyu">#REF!</definedName>
    <definedName name="five7">#REF!</definedName>
    <definedName name="__JAN99">#REF!</definedName>
    <definedName name="I_S_QTYLOADS_F_FN">#REF!</definedName>
    <definedName name="D_A_STATUS_7QR_ALL">#REF!</definedName>
    <definedName name="EKA_5">#REF!</definedName>
    <definedName name="mcls">#REF!</definedName>
    <definedName name="jo_9">#REF!</definedName>
    <definedName name="PLAN_13">#REF!</definedName>
    <definedName name="___DAT4">#REF!</definedName>
    <definedName name="__________________________________wwp2">#REF!</definedName>
    <definedName name="D_M_QTYLOADS_DRWPEEL_ALL">#REF!</definedName>
    <definedName name="___________________________________g20616">#REF!</definedName>
    <definedName name="Sempl900">#REF!</definedName>
    <definedName name="__________BS01">#REF!</definedName>
    <definedName name="__________________________________________________________________wwp2">#REF!</definedName>
    <definedName name="URAIAN232">#REF!</definedName>
    <definedName name="D_A_QTYLOADS_DEL">#REF!</definedName>
    <definedName name="I_Y_STATUS_T_FN">#REF!</definedName>
    <definedName name="_d_9">#REF!</definedName>
    <definedName name="URAIAN916">#REF!</definedName>
    <definedName name="____DAT12">#REF!</definedName>
    <definedName name="ADT_02">#REF!</definedName>
    <definedName name="PLAN_MONTHLY_3_1">#REF!</definedName>
    <definedName name="Print_Area_MI_2">#REF!</definedName>
    <definedName name="eqp_sched">#REF!</definedName>
    <definedName name="STANDARD_ROW">#REF!</definedName>
    <definedName name="URAIAN717">#REF!</definedName>
    <definedName name="_________________________________________________________________wwp1">#REF!</definedName>
    <definedName name="_______________BS01">#REF!</definedName>
    <definedName name="D_S_QTYLOADS_PLE">#REF!</definedName>
    <definedName name="nmLCL_8">#REF!</definedName>
    <definedName name="D_C_TRUCKCYCLES_SE">#REF!</definedName>
    <definedName name="Sempl300">#REF!</definedName>
    <definedName name="Strip_No">#REF!</definedName>
    <definedName name="Databest">#REF!</definedName>
    <definedName name="nmMean_5">#REF!</definedName>
    <definedName name="D_B_TIMECAT_IQEE">#REF!</definedName>
    <definedName name="ProductB">#REF!</definedName>
    <definedName name="______________________________MAY99">#REF!</definedName>
    <definedName name="D_B_TIMECAT_IQEE_ALL">#REF!</definedName>
    <definedName name="Prod_CG">#REF!</definedName>
    <definedName name="Data_5">#REF!</definedName>
    <definedName name="ril">#REF!</definedName>
    <definedName name="_MDE26">#REF!</definedName>
    <definedName name="I_A_QTYLOADS_7QL_FN">#REF!</definedName>
    <definedName name="외화금액1">#REF!</definedName>
    <definedName name="________________dep1">#REF!</definedName>
    <definedName name="D_A_QTYLOADS_QDE_ALL">#REF!</definedName>
    <definedName name="________________wk45">#REF!</definedName>
    <definedName name="_1">#REF!</definedName>
    <definedName name="_MMM15">#REF!</definedName>
    <definedName name="D_A_TIMECAT_DQE_ALL">#REF!</definedName>
    <definedName name="URAIAN7613c">#REF!</definedName>
    <definedName name="_________________________MGM2">#REF!</definedName>
    <definedName name="_CCR1">#REF!</definedName>
    <definedName name="D_Y_STATUS_I">#REF!</definedName>
    <definedName name="new_rate">#REF!</definedName>
    <definedName name="__RD1">#REF!</definedName>
    <definedName name="FORM718">#REF!</definedName>
    <definedName name="_________________2_MASTER_SUMMARY_YEARLY">#REF!</definedName>
    <definedName name="Uraian322">#REF!</definedName>
    <definedName name="_________________DEC98">#REF!</definedName>
    <definedName name="산업금액">#REF!</definedName>
    <definedName name="__2_d_1">#REF!</definedName>
    <definedName name="_________RP1">#REF!</definedName>
    <definedName name="I_B_LOADER_DQ_FN">#REF!</definedName>
    <definedName name="D_B_QTYLOADS_IRL_ALL">#REF!</definedName>
    <definedName name="URAIAN233">#REF!</definedName>
    <definedName name="AREA4_9">#REF!</definedName>
    <definedName name="AKAKAA">#REF!</definedName>
    <definedName name="vDateTime">#REF!</definedName>
    <definedName name="I_A_QTYLOADS_IEL_FN">#REF!</definedName>
    <definedName name="_______________b1">#REF!</definedName>
    <definedName name="E5U6U">#REF!</definedName>
    <definedName name="weekly_sep">#REF!</definedName>
    <definedName name="qLowPinConv">#REF!</definedName>
    <definedName name="_________________________________________________________________________________________________g20616">#REF!</definedName>
    <definedName name="I_B_TIMECAT_QD">#REF!</definedName>
    <definedName name="DATA64">#REF!</definedName>
    <definedName name="RC_2A">#REF!</definedName>
    <definedName name="_SAP09">#REF!</definedName>
    <definedName name="Sportinv">#REF!</definedName>
    <definedName name="I_B_TIMECAT_QE">#REF!</definedName>
    <definedName name="ㅇ">#REF!</definedName>
    <definedName name="__________________RP1">#REF!</definedName>
    <definedName name="_______BS01">#REF!</definedName>
    <definedName name="Exel_BuiltIn_FilterDatabase_5">#REF!</definedName>
    <definedName name="D_ID_SQL2IMPS__ALL">#REF!</definedName>
    <definedName name="_______________________________________MGM1">#REF!</definedName>
    <definedName name="D_S_MATMOVED_E">#REF!</definedName>
    <definedName name="Fpf">#REF!</definedName>
    <definedName name="____________________________RP1">#REF!</definedName>
    <definedName name="I_A_QTYLOADS_IPL_FN">#REF!</definedName>
    <definedName name="_ME17">#REF!</definedName>
    <definedName name="StandarHours2">#REF!</definedName>
    <definedName name="MineLoss">#REF!</definedName>
    <definedName name="OTHER">#REF!</definedName>
    <definedName name="I_B_LOADER_DE">#REF!</definedName>
    <definedName name="D_S_QTYLOADS_D">#REF!</definedName>
    <definedName name="D_S_QTYLOADS_PLE_ALL">#REF!</definedName>
    <definedName name="I_A_QTYLOADS_IPL">#REF!</definedName>
    <definedName name="___________MGM1">#REF!</definedName>
    <definedName name="BALANCE08">#REF!</definedName>
    <definedName name="StandarHours2_8">#REF!</definedName>
    <definedName name="_SAP07">#REF!</definedName>
    <definedName name="I_B_STATUS_DQR_FN">#REF!</definedName>
    <definedName name="one">#REF!</definedName>
    <definedName name="Excel_BuiltIn__FilterDatabase_4">#REF!</definedName>
    <definedName name="BuildLife">#REF!</definedName>
    <definedName name="______________________g20616">#REF!</definedName>
    <definedName name="Sempl200">#REF!</definedName>
    <definedName name="____________________________________________dep1">#REF!</definedName>
    <definedName name="CASSSSS">#REF!</definedName>
    <definedName name="_MDE17">#REF!</definedName>
    <definedName name="DiscRateHigh">#REF!</definedName>
    <definedName name="_EEE33">#REF!</definedName>
    <definedName name="INTERCHANGE_P_N">#REF!</definedName>
    <definedName name="kldjflkaolo">#REF!</definedName>
    <definedName name="ew">#REF!</definedName>
    <definedName name="I_A_QTYLOADS_DE">#REF!</definedName>
    <definedName name="MP_621">#REF!</definedName>
    <definedName name="D_B_MATMOVED_QD_ALL">#REF!</definedName>
    <definedName name="_A70360">#REF!</definedName>
    <definedName name="Mining_service_Roster">#REF!</definedName>
    <definedName name="I_A_QTYLOADS_EL_FN">#REF!</definedName>
    <definedName name="DATA77">#REF!</definedName>
    <definedName name="dc">#REF!</definedName>
    <definedName name="CFG_Plan_Date">#REF!</definedName>
    <definedName name="Address">#REF!</definedName>
    <definedName name="D_M_STATUS_QTR">#REF!</definedName>
    <definedName name="I_B_STATUS_Q7_FN">#REF!</definedName>
    <definedName name="capTrkDispatch">#REF!</definedName>
    <definedName name="_MDE37">#REF!</definedName>
    <definedName name="qwdaqd">#REF!</definedName>
    <definedName name="_EEE18">#REF!</definedName>
    <definedName name="I_B_TIMECAT_EDW">#REF!</definedName>
    <definedName name="Excel_BuiltIn_Database_9">#REF!</definedName>
    <definedName name="D_A_TRUCKCYCLES_SE">#REF!</definedName>
    <definedName name="I_B_TIMECAT_EI_FN">#REF!</definedName>
    <definedName name="DATA103">#REF!</definedName>
    <definedName name="D_B_TRUCKCYCLES_SRCT">#REF!</definedName>
    <definedName name="Series_NOPAT___FP_6">#REF!</definedName>
    <definedName name="D_B_STATUS_QWER">#REF!</definedName>
    <definedName name="HAS">#REF!</definedName>
    <definedName name="_MMM03">#REF!</definedName>
    <definedName name="EquipmentID">#REF!</definedName>
    <definedName name="_611PK">#REF!</definedName>
    <definedName name="RoofDil">#REF!</definedName>
    <definedName name="I_B_TIMECAT_DQEE">#REF!</definedName>
    <definedName name="D_B_STATUS_QR_ALL">#REF!</definedName>
    <definedName name="ooooRM">#REF!</definedName>
    <definedName name="D_B_TIMECAT_ESWE_ALL">#REF!</definedName>
    <definedName name="I_B_QTYLOADS_DKPL_FN">#REF!</definedName>
    <definedName name="I_A_TIMECAT_DQW">#REF!</definedName>
    <definedName name="lease_amount">#REF!</definedName>
    <definedName name="________________________________________MAR99">#REF!</definedName>
    <definedName name="외화">#REF!</definedName>
    <definedName name="I_B_TIMECAT_QIW">#REF!</definedName>
    <definedName name="jumlah">#REF!</definedName>
    <definedName name="I_A_QTYLOADS_PL_FN">#REF!</definedName>
    <definedName name="DATA19">#REF!</definedName>
    <definedName name="_______________________________________b1">#REF!</definedName>
    <definedName name="TM">#REF!</definedName>
    <definedName name="FORM1014">#REF!</definedName>
    <definedName name="D_B_TIMECAT_QDWE">#REF!</definedName>
    <definedName name="Show_Current_Ratio">#REF!</definedName>
    <definedName name="I_B_STATUS_QWER">#REF!</definedName>
    <definedName name="D_B_STATUS_DQWR_ALL">#REF!</definedName>
    <definedName name="JOB">#REF!</definedName>
    <definedName name="BALANCE10">#REF!</definedName>
    <definedName name="D_B_QTYLOADS_IRL">#REF!</definedName>
    <definedName name="_9">#REF!</definedName>
    <definedName name="재료비계">#REF!</definedName>
    <definedName name="경남원화금리4">#REF!</definedName>
    <definedName name="ADE">#REF!</definedName>
    <definedName name="D_M2_STATUS_">#REF!</definedName>
    <definedName name="제일기간">#REF!</definedName>
    <definedName name="INCOME07">#REF!</definedName>
    <definedName name="Excel_BuiltIn_Print_Area_4">#REF!</definedName>
    <definedName name="I_A_TRUCKCYCLES_DE">#REF!</definedName>
    <definedName name="_____________________________________________________________________________________________________________________________________g20616">#REF!</definedName>
    <definedName name="eqpman_99">#REF!</definedName>
    <definedName name="_MMM23">#REF!</definedName>
    <definedName name="________________________APR99">#REF!</definedName>
    <definedName name="________________________________________________________________________________________________________g20616">#REF!</definedName>
    <definedName name="CostList">#REF!</definedName>
    <definedName name="BUDI19">#REF!</definedName>
    <definedName name="PeriodRunoff">#REF!</definedName>
    <definedName name="Print_Area_MI_9">#REF!</definedName>
    <definedName name="D_B_TIMECAT_QHP_ALL">#REF!</definedName>
    <definedName name="jo">#REF!</definedName>
    <definedName name="_ME44">#REF!</definedName>
    <definedName name="nEx3500B">#REF!</definedName>
    <definedName name="OPT_GL">#REF!</definedName>
    <definedName name="_________________________________________MGM2">#REF!</definedName>
    <definedName name="D_B_TIMECAT_QDPEE_ALL">#REF!</definedName>
    <definedName name="_PWn">#REF!</definedName>
    <definedName name="_____________APR99">#REF!</definedName>
    <definedName name="I_A_STATUS_DER_FN">#REF!</definedName>
    <definedName name="I_C_TRUCKCYCLES_DE_FN">#REF!</definedName>
    <definedName name="negara">#REF!</definedName>
    <definedName name="_0">#REF!</definedName>
    <definedName name="Payment_Date">#REF!</definedName>
    <definedName name="I_A_QTYLOADS_DQEEL_FN">#REF!</definedName>
    <definedName name="_74PK">#REF!</definedName>
    <definedName name="I_B_TIMECAT_E7W">#REF!</definedName>
    <definedName name="TIGABELAS">#REF!</definedName>
    <definedName name="D_A_TIMECAT_DWPEE_ALL">#REF!</definedName>
    <definedName name="__________DEP22">#REF!</definedName>
    <definedName name="D_B_TIMECAT_7QPE_ALL">#REF!</definedName>
    <definedName name="StandarHours_8">#REF!</definedName>
    <definedName name="plastik">#REF!</definedName>
    <definedName name="DISKET">#REF!</definedName>
    <definedName name="bengalonytdtm">#REF!</definedName>
    <definedName name="Form235">#REF!</definedName>
    <definedName name="_DAT10">#REF!</definedName>
    <definedName name="OREMOVE">#REF!</definedName>
    <definedName name="PLAN_MONTHLY_1_1">#REF!</definedName>
    <definedName name="D_B_TIMECAT_DQEE">#REF!</definedName>
    <definedName name="I_B_STATUS_QR_FN">#REF!</definedName>
    <definedName name="URAIAN421">#REF!</definedName>
    <definedName name="_Tci789">#REF!</definedName>
    <definedName name="______DEP2">#REF!</definedName>
    <definedName name="CODE">#REF!</definedName>
    <definedName name="____________b2">#REF!</definedName>
    <definedName name="____________________________________________________________________wwp2">#REF!</definedName>
    <definedName name="SEBELAS">#REF!</definedName>
    <definedName name="FS2B">#REF!</definedName>
    <definedName name="_________LC2000">#REF!</definedName>
    <definedName name="ListShit">#REF!</definedName>
    <definedName name="D_S_QTYDumpsQ_E">#REF!</definedName>
    <definedName name="______2_MASTER_SUMMARY_YEARLY">#REF!</definedName>
    <definedName name="_________________________APR99">#REF!</definedName>
    <definedName name="MP_611">#REF!</definedName>
    <definedName name="InDayworksEsc">#REF!</definedName>
    <definedName name="Blaster">#REF!</definedName>
    <definedName name="MENUD3">#REF!</definedName>
    <definedName name="_15BS01_">#REF!</definedName>
    <definedName name="산업원화금리3">#REF!</definedName>
    <definedName name="Road2">#REF!</definedName>
    <definedName name="jk">#REF!</definedName>
    <definedName name="_______________________________________________________________________g20616">#REF!</definedName>
    <definedName name="DefAS">#REF!</definedName>
    <definedName name="I_B_STATUS_IEER_FN">#REF!</definedName>
    <definedName name="I_S_QTYLOADS_PLQ">#REF!</definedName>
    <definedName name="EndRun1">#REF!</definedName>
    <definedName name="_____________________________g20616">#REF!</definedName>
    <definedName name="_MMM30">#REF!</definedName>
    <definedName name="StandarHours24">#REF!</definedName>
    <definedName name="XRefPaste13Row">#REF!</definedName>
    <definedName name="rrrrrrrrrrrrr">#REF!</definedName>
    <definedName name="Pkpcsales">#REF!</definedName>
    <definedName name="________________________b1">#REF!</definedName>
    <definedName name="__________________JAN99">#REF!</definedName>
    <definedName name="term_pay">#REF!</definedName>
    <definedName name="I_B_QTYLOADS_DRPEL_FN">#REF!</definedName>
    <definedName name="OPT_GL_8_1">#REF!</definedName>
    <definedName name="excaadr">#REF!</definedName>
    <definedName name="____________APR99">#REF!</definedName>
    <definedName name="_EEE13">#REF!</definedName>
    <definedName name="D_B_TIMECAT_E">#REF!</definedName>
    <definedName name="_MDE66">#REF!</definedName>
    <definedName name="S_DUMP">#REF!</definedName>
    <definedName name="D_B_QTYLOADS_DQWPEEL">#REF!</definedName>
    <definedName name="FORM842">#REF!</definedName>
    <definedName name="Codes_9">#REF!</definedName>
    <definedName name="melawantm">#REF!</definedName>
    <definedName name="_EEE11">#REF!</definedName>
    <definedName name="vg">#REF!</definedName>
    <definedName name="D_B_TIMECAT_7E">#REF!</definedName>
    <definedName name="_________________________________DEP2">#REF!</definedName>
    <definedName name="StandarHours21">#REF!</definedName>
    <definedName name="MP_818">#REF!</definedName>
    <definedName name="D_A_QTYLOADS_LQSP">#REF!</definedName>
    <definedName name="HARGA">#REF!</definedName>
    <definedName name="_________________________________________wwp1">#REF!</definedName>
    <definedName name="CHDAY">#REF!</definedName>
    <definedName name="yyyyy">#REF!</definedName>
    <definedName name="DATA22">#REF!</definedName>
    <definedName name="삼인도_유가보상">#REF!</definedName>
    <definedName name="GuidText">#REF!</definedName>
    <definedName name="_HAL2">#REF!</definedName>
    <definedName name="HRLevelList">#REF!</definedName>
    <definedName name="DATA92">#REF!</definedName>
    <definedName name="cetak7">#REF!</definedName>
    <definedName name="I_A_STATUS_DR_FN">#REF!</definedName>
    <definedName name="hCat777CoTot">#REF!</definedName>
    <definedName name="____________________________________________________wwp2">#REF!</definedName>
    <definedName name="Plan">#REF!</definedName>
    <definedName name="I_B_TIMECAT_DEE">#REF!</definedName>
    <definedName name="wqfdwd">#REF!</definedName>
    <definedName name="D_C_TRUCKCYCLES_DE">#REF!</definedName>
    <definedName name="D_S_SHIFT_S_ALL">#REF!</definedName>
    <definedName name="I_B_TIMECAT_IE_FN">#REF!</definedName>
    <definedName name="REMODELING">#REF!</definedName>
    <definedName name="kamis">#REF!</definedName>
    <definedName name="________________2_MASTER_SUMMARY_YEARLY">#REF!</definedName>
    <definedName name="제일원화1">#REF!</definedName>
    <definedName name="_tk12">#REF!</definedName>
    <definedName name="masuk">#REF!</definedName>
    <definedName name="testk_5">#REF!</definedName>
    <definedName name="Trominv">#REF!</definedName>
    <definedName name="nmUCL_6">#REF!</definedName>
    <definedName name="_______________MAR99">#REF!</definedName>
    <definedName name="FORM311">#REF!</definedName>
    <definedName name="I_B_TIMECAT_Q7E_FN">#REF!</definedName>
    <definedName name="D_B_TIMECAT_DQR">#REF!</definedName>
    <definedName name="_________________________________________________________________________________________________________________________________________g20616">#REF!</definedName>
    <definedName name="______________________________________________________________________________________________________g20616">#REF!</definedName>
    <definedName name="Aug_98">#REF!</definedName>
    <definedName name="_____________FEB99">#REF!</definedName>
    <definedName name="MENUD8U2">#REF!</definedName>
    <definedName name="EEE17REV1">#REF!</definedName>
    <definedName name="우리예금">#REF!</definedName>
    <definedName name="_ME06">#REF!</definedName>
    <definedName name="_JGN32">#REF!</definedName>
    <definedName name="D_B_SQL2MMS_">#REF!</definedName>
    <definedName name="D_B_TIMECAT_ESW_ALL">#REF!</definedName>
    <definedName name="Chart_No">#REF!</definedName>
    <definedName name="_MDE13">#REF!</definedName>
    <definedName name="_______________________APR99">#REF!</definedName>
    <definedName name="I_B_MATMOVED_SWL_FN">#REF!</definedName>
    <definedName name="__________________________________________________________________________________________________________________________g20616">#REF!</definedName>
    <definedName name="___________________________________________dep1">#REF!</definedName>
    <definedName name="Balance_4">#REF!</definedName>
    <definedName name="Ready">#REF!</definedName>
    <definedName name="_________________________________________wwp2">#REF!</definedName>
    <definedName name="WashYield">#REF!</definedName>
    <definedName name="I_A_QTYLOADS_L_FN">#REF!</definedName>
    <definedName name="_ME41">#REF!</definedName>
    <definedName name="InLTD5">#REF!</definedName>
    <definedName name="_432PK">#REF!</definedName>
    <definedName name="Skpcexpemp">#REF!</definedName>
    <definedName name="SS_ID">#REF!</definedName>
    <definedName name="__________LA250">#REF!</definedName>
    <definedName name="D_B_TIMECAT_Q7SP_ALL">#REF!</definedName>
    <definedName name="time">#REF!</definedName>
    <definedName name="I_Eqtype_SQL2IMPS_">#REF!</definedName>
    <definedName name="COUNTER7">#REF!</definedName>
    <definedName name="DATA49">#REF!</definedName>
    <definedName name="신한예금">#REF!</definedName>
    <definedName name="______MAR99">#REF!</definedName>
    <definedName name="I_B_MATMOVED_DEQL_FN">#REF!</definedName>
    <definedName name="TICKETING">#REF!</definedName>
    <definedName name="FORM745">#REF!</definedName>
    <definedName name="chtYmax_6">#REF!</definedName>
    <definedName name="_JGN22">#REF!</definedName>
    <definedName name="___2_MASTER_SUMMARY_YEARLY">#REF!</definedName>
    <definedName name="LOWER_GANT">#REF!</definedName>
    <definedName name="D_B_STATUS_DEER_ALL">#REF!</definedName>
    <definedName name="D_S_QTYLOADS_PL">#REF!</definedName>
    <definedName name="I_B_STATUS_DEE">#REF!</definedName>
    <definedName name="Excel_BuiltIn__FilterDatabase_12">#REF!</definedName>
    <definedName name="________________________________DEP11">#REF!</definedName>
    <definedName name="re">#REF!</definedName>
    <definedName name="_XCT196">#REF!</definedName>
    <definedName name="RINCIANSEWA">#REF!</definedName>
    <definedName name="PLAN_1_1">#REF!</definedName>
    <definedName name="MP_512">#REF!</definedName>
    <definedName name="JNL_GICMVT">#REF!</definedName>
    <definedName name="D_B_STATUS_ED">#REF!</definedName>
    <definedName name="BALANCE12">#REF!</definedName>
    <definedName name="Urut">#REF!</definedName>
    <definedName name="________LC500">#REF!</definedName>
    <definedName name="____________________________wwp2">#REF!</definedName>
    <definedName name="entry">#REF!</definedName>
    <definedName name="D_B_TRUCKCYCLES_">#REF!</definedName>
    <definedName name="Expl_Kelai">#REF!</definedName>
    <definedName name="_EEE21">#REF!</definedName>
    <definedName name="_____JAN99">#REF!</definedName>
    <definedName name="Divisi">#REF!</definedName>
    <definedName name="_Cat320">#REF!</definedName>
    <definedName name="___________________________DEP11">#REF!</definedName>
    <definedName name="DataRange2">#REF!</definedName>
    <definedName name="I_E_TRUCKCYCLES_SE_FN">#REF!</definedName>
    <definedName name="XRefCopy3">#REF!</definedName>
    <definedName name="DUATIGA">#REF!</definedName>
    <definedName name="fr">#REF!</definedName>
    <definedName name="Excel_BuiltIn_Database_8">#REF!</definedName>
    <definedName name="_MDE65">#REF!</definedName>
    <definedName name="I_A_QTYLOADS_DL_FN">#REF!</definedName>
    <definedName name="D_IE_SQL2IMPS__ALL">#REF!</definedName>
    <definedName name="qTotalRom">#REF!</definedName>
    <definedName name="INCOME01">#REF!</definedName>
    <definedName name="__________________2_MASTER_SUMMARY_YEARLY">#REF!</definedName>
    <definedName name="___dep1">#REF!</definedName>
    <definedName name="_HAL6">#REF!</definedName>
    <definedName name="농협원화금리3">#REF!</definedName>
    <definedName name="_________________________MAR99">#REF!</definedName>
    <definedName name="잉?">#REF!</definedName>
    <definedName name="_________________________________________________wwp2">#REF!</definedName>
    <definedName name="URAIAN424">#REF!</definedName>
    <definedName name="Drills_8">#REF!</definedName>
    <definedName name="I_B_STATUS_7QR_FN">#REF!</definedName>
    <definedName name="_____________________wwp2">#REF!</definedName>
    <definedName name="ActCoal1">#REF!</definedName>
    <definedName name="I_B_QTYLOADS_DQWPEEL">#REF!</definedName>
    <definedName name="_MP1">#REF!</definedName>
    <definedName name="_4_2_SummaryByMonth2">#REF!</definedName>
    <definedName name="NOM_19">#REF!</definedName>
    <definedName name="nmL2s_4">#REF!</definedName>
    <definedName name="__MAR99">#REF!</definedName>
    <definedName name="__Cat375">#REF!</definedName>
    <definedName name="FORM818">#REF!</definedName>
    <definedName name="_711FA">#REF!</definedName>
    <definedName name="Waktu">#REF!</definedName>
    <definedName name="t_2_8">#REF!</definedName>
    <definedName name="경남이자">#REF!</definedName>
    <definedName name="JPENING">#REF!</definedName>
    <definedName name="D_A_QTYLOADS_DRL_ALL">#REF!</definedName>
    <definedName name="I_A_TIMECAT_DQP_FN">#REF!</definedName>
    <definedName name="shwer">#REF!</definedName>
    <definedName name="_____________________________________________________g20616">#REF!</definedName>
    <definedName name="D_S_QTYLOADS_P">#REF!</definedName>
    <definedName name="ya">#REF!</definedName>
    <definedName name="PLAN_MONTHLY_8">#REF!</definedName>
    <definedName name="FORM312">#REF!</definedName>
    <definedName name="BBFDFDFD">#REF!</definedName>
    <definedName name="I_A_QTYLOADS_SEL_FN">#REF!</definedName>
    <definedName name="random">#REF!</definedName>
    <definedName name="I_B_LOADER_SQWE">#REF!</definedName>
    <definedName name="______________________JAN99">#REF!</definedName>
    <definedName name="DefSU">#REF!</definedName>
    <definedName name="MP_52">#REF!</definedName>
    <definedName name="_2_2_MASTER_SUMMARY_YEARLY">#REF!</definedName>
    <definedName name="I_B_STATUS_IQ_FN">#REF!</definedName>
    <definedName name="I_B_QTYLOADS_7L_FN">#REF!</definedName>
    <definedName name="Rutin_3f">#REF!</definedName>
    <definedName name="I_B_TRUCKCYCLES_DE_FN">#REF!</definedName>
    <definedName name="D_A_QTYLOADS_QL_ALL">#REF!</definedName>
    <definedName name="C_3">#REF!</definedName>
    <definedName name="_JGN11">#REF!</definedName>
    <definedName name="BL_02">#REF!</definedName>
    <definedName name="_ME02">#REF!</definedName>
    <definedName name="Frain">#REF!</definedName>
    <definedName name="Supervisor">#REF!</definedName>
    <definedName name="SPRAYER">#REF!</definedName>
    <definedName name="LnMTNC1">#REF!</definedName>
    <definedName name="DIST_7_1">#REF!</definedName>
    <definedName name="Distance_14">#REF!</definedName>
    <definedName name="Precov">#REF!</definedName>
    <definedName name="DATA7">#REF!</definedName>
    <definedName name="D_B_QTYLOADS_DKL">#REF!</definedName>
    <definedName name="ws">#REF!</definedName>
    <definedName name="______________FEB99">#REF!</definedName>
    <definedName name="____________________________________________________wwp1">#REF!</definedName>
    <definedName name="__w3">#REF!</definedName>
    <definedName name="URAIAN611">#REF!</definedName>
    <definedName name="_agt11">#REF!</definedName>
    <definedName name="GNRL_OB">#REF!</definedName>
    <definedName name="하나원화2">#REF!</definedName>
    <definedName name="AREA4">#REF!</definedName>
    <definedName name="__________DEC98">#REF!</definedName>
    <definedName name="Dozers_9">#REF!</definedName>
    <definedName name="Skpccm">#REF!</definedName>
    <definedName name="I_B_QTYLOADS_IKL_FN">#REF!</definedName>
    <definedName name="UTAIAN7614c">#REF!</definedName>
    <definedName name="BusinessUnit">#REF!</definedName>
    <definedName name="D_A_QTYLOADS_">#REF!</definedName>
    <definedName name="D_A_QTYLOADS_LQDP_ALL">#REF!</definedName>
    <definedName name="rera2">#REF!</definedName>
    <definedName name="WEW">#REF!</definedName>
    <definedName name="STB_OB">#REF!</definedName>
    <definedName name="Componet_8">#REF!</definedName>
    <definedName name="Excel_BuiltIn__FilterDatabase_15_1">#REF!</definedName>
    <definedName name="Show_COPAT___FP">#REF!</definedName>
    <definedName name="_w5">#REF!</definedName>
    <definedName name="coaltype">#REF!</definedName>
    <definedName name="Psurcm">#REF!</definedName>
    <definedName name="BUDI6">#REF!</definedName>
    <definedName name="STATUS2">#REF!</definedName>
    <definedName name="D_R_QTYLOADS_SQL_ALL">#REF!</definedName>
    <definedName name="PTSSB">#REF!</definedName>
    <definedName name="StandarHours4_9">#REF!</definedName>
    <definedName name="_____________________________b1">#REF!</definedName>
    <definedName name="______________JAN99">#REF!</definedName>
    <definedName name="D_B_STATUS_EDPE">#REF!</definedName>
    <definedName name="____________________________BS01">#REF!</definedName>
    <definedName name="Version">#REF!</definedName>
    <definedName name="DilnSU">#REF!</definedName>
    <definedName name="MHU">#REF!</definedName>
    <definedName name="D_Y_TIMECAT_QI_ALL">#REF!</definedName>
    <definedName name="CFG_Fleet_Name">#REF!</definedName>
    <definedName name="PREP_MUST_START">#REF!</definedName>
    <definedName name="GRADER">#REF!</definedName>
    <definedName name="UMREC">#REF!</definedName>
    <definedName name="QualPrima">#REF!</definedName>
    <definedName name="EqpOperation">#REF!</definedName>
    <definedName name="bengalontm">#REF!</definedName>
    <definedName name="B_PN2">#REF!</definedName>
    <definedName name="_____wwp2">#REF!</definedName>
    <definedName name="_MMM22">#REF!</definedName>
    <definedName name="D_B_STATUS_DE">#REF!</definedName>
    <definedName name="JML_TK6">#REF!</definedName>
    <definedName name="__________________________________g20616">#REF!</definedName>
    <definedName name="________________________BS01">#REF!</definedName>
    <definedName name="__________________________MGM2">#REF!</definedName>
    <definedName name="exel_builtin_print_16">#REF!</definedName>
    <definedName name="D_B_STATUS_QD_ALL">#REF!</definedName>
    <definedName name="Documents_array">#REF!</definedName>
    <definedName name="I_A_STATUS_7QR">#REF!</definedName>
    <definedName name="D_B_TIMECAT_EIE">#REF!</definedName>
    <definedName name="Data_Plan_6">#REF!</definedName>
    <definedName name="FDP_32_1_aUrv">#REF!</definedName>
    <definedName name="XREF_COLUMN_4">#REF!</definedName>
    <definedName name="Excel_BuiltIn__FilterDatabase_8_1">#REF!</definedName>
    <definedName name="I_A_QTYLOADS_DQQQQL">#REF!</definedName>
    <definedName name="Wind_Speed">#REF!</definedName>
    <definedName name="__Tax1">#REF!</definedName>
    <definedName name="CIPHSJ">#REF!</definedName>
    <definedName name="LTC">#REF!</definedName>
    <definedName name="FORM772b">#REF!</definedName>
    <definedName name="I_B_MATMOVED_LQD">#REF!</definedName>
    <definedName name="I_B_STATUS_QD">#REF!</definedName>
    <definedName name="Series_NPAUI_Sales_6">#REF!</definedName>
    <definedName name="_________________________________________dep1">#REF!</definedName>
    <definedName name="_d_1_8">#REF!</definedName>
    <definedName name="D_A_QTYLOADS_SWPEEL">#REF!</definedName>
    <definedName name="syl">#REF!</definedName>
    <definedName name="__________________________DEP11">#REF!</definedName>
    <definedName name="D_A_TIMECAT_DQW">#REF!</definedName>
    <definedName name="D_A_QTYLOADS_DPEEL">#REF!</definedName>
    <definedName name="________APR99">#REF!</definedName>
    <definedName name="LESY">#REF!</definedName>
    <definedName name="D_A_QTYLOADS_DRL">#REF!</definedName>
    <definedName name="APPayment">#REF!</definedName>
    <definedName name="Service">#REF!</definedName>
    <definedName name="Reason">#REF!</definedName>
    <definedName name="D_B_STATUS_IEEE">#REF!</definedName>
    <definedName name="HKLJLK">#REF!</definedName>
    <definedName name="DefCV">#REF!</definedName>
    <definedName name="______________g20616">#REF!</definedName>
    <definedName name="D_A_QTYLOADS_DQEEL">#REF!</definedName>
    <definedName name="D_A_QTYLOADS_SWPEEL_ALL">#REF!</definedName>
    <definedName name="JNL_AOD">#REF!</definedName>
    <definedName name="YNList">#REF!</definedName>
    <definedName name="DATA18">#REF!</definedName>
    <definedName name="Excel_BuiltIn__FilterDatabase_11_1">#REF!</definedName>
    <definedName name="D_D_SQL2MMS_">#REF!</definedName>
    <definedName name="DIST_9">#REF!</definedName>
    <definedName name="FDP_14_1_aDrv">#REF!</definedName>
    <definedName name="CtrlTbxLink2_9">#REF!</definedName>
    <definedName name="Project1">#REF!</definedName>
    <definedName name="tablestart">#REF!</definedName>
    <definedName name="I_B_TIMECAT_ESEQMT_OWNREQMT_DEPT">#REF!</definedName>
    <definedName name="September">#REF!</definedName>
    <definedName name="A_1">#REF!</definedName>
    <definedName name="______________________________________DEP22">#REF!</definedName>
    <definedName name="D_B_TIMECAT_Q7WE">#REF!</definedName>
    <definedName name="EEE06REV">#REF!</definedName>
    <definedName name="OTHERN">#REF!</definedName>
    <definedName name="Forecast45_5">#REF!</definedName>
    <definedName name="sheetName">#REF!</definedName>
    <definedName name="______________________________________________________________________________g20616">#REF!</definedName>
    <definedName name="KPC4a">#REF!</definedName>
    <definedName name="RMA">#REF!</definedName>
    <definedName name="BTS1HW">#REF!</definedName>
    <definedName name="Tspex3500">#REF!</definedName>
    <definedName name="_541FA">#REF!</definedName>
    <definedName name="D_S_QTYLOADS_">#REF!</definedName>
    <definedName name="Print_Area_MI_2_9">#REF!</definedName>
    <definedName name="PASAR">#REF!</definedName>
    <definedName name="D_B_STATUS_QE_ALL">#REF!</definedName>
    <definedName name="rainfall">#REF!</definedName>
    <definedName name="I_B_QTYLOADS_DPTTL">#REF!</definedName>
    <definedName name="I_M_TIMECAT_Q_FN">#REF!</definedName>
    <definedName name="_MDE44">#REF!</definedName>
    <definedName name="____________________DEC98">#REF!</definedName>
    <definedName name="I_B_QTYLOADS_SWPTTL">#REF!</definedName>
    <definedName name="Pempl900">#REF!</definedName>
    <definedName name="I_B_TIMECAT_ED_FN">#REF!</definedName>
    <definedName name="I_A_QTYLOADS_QDE">#REF!</definedName>
    <definedName name="____________DEC98">#REF!</definedName>
    <definedName name="MP_422">#REF!</definedName>
    <definedName name="D_A_STATUS_DR">#REF!</definedName>
    <definedName name="_7Excel_BuiltIn_Print_Titles_1">#REF!</definedName>
    <definedName name="D_B_QTYLOADS_DPL_ALL">#REF!</definedName>
    <definedName name="_a">#REF!</definedName>
    <definedName name="Data_Plan_2_1">#REF!</definedName>
    <definedName name="________MGM1">#REF!</definedName>
    <definedName name="I_S_STATUS_YTR">#REF!</definedName>
    <definedName name="qTotalRomHW">#REF!</definedName>
    <definedName name="D_A_TIMECAT_SQWPEE">#REF!</definedName>
    <definedName name="_7_0_0_F">#REF!</definedName>
    <definedName name="DMTABLE">#REF!</definedName>
    <definedName name="D_M_STATUS_TR">#REF!</definedName>
    <definedName name="_________________DEP11">#REF!</definedName>
    <definedName name="Princ">#REF!</definedName>
    <definedName name="LTS">#REF!</definedName>
    <definedName name="___________________MGM1">#REF!</definedName>
    <definedName name="D_A_TRUCKCYCLES_DE_ALL">#REF!</definedName>
    <definedName name="te">#REF!</definedName>
    <definedName name="AreaKaltim">#REF!</definedName>
    <definedName name="I_A_TIMECAT_IQE">#REF!</definedName>
    <definedName name="FORM231">#REF!</definedName>
    <definedName name="_mid06">#REF!</definedName>
    <definedName name="_________DEP2">#REF!</definedName>
    <definedName name="URAIAN7618">#REF!</definedName>
    <definedName name="_______________2_MASTER_SUMMARY_YEARLY">#REF!</definedName>
    <definedName name="FDP_34_1_aUrv">#REF!</definedName>
    <definedName name="__________________________________________________________________________________________________________________________________g20616">#REF!</definedName>
    <definedName name="CtrlTbxLink2_8">#REF!</definedName>
    <definedName name="Feb_98">#REF!</definedName>
    <definedName name="_____________________wwp1">#REF!</definedName>
    <definedName name="USC">#REF!</definedName>
    <definedName name="adadad">#REF!</definedName>
    <definedName name="_MDE52">#REF!</definedName>
    <definedName name="Thousand">#REF!</definedName>
    <definedName name="dasda">#REF!</definedName>
    <definedName name="_____MGM2">#REF!</definedName>
    <definedName name="ahh">#REF!</definedName>
    <definedName name="URAIAN7612a">#REF!</definedName>
    <definedName name="_ME54">#REF!</definedName>
    <definedName name="StandarHours24_8">#REF!</definedName>
    <definedName name="____________MGM2">#REF!</definedName>
    <definedName name="I_B_QTYLOADS_DT">#REF!</definedName>
    <definedName name="______g20616">#REF!</definedName>
    <definedName name="Cotrans_유가보상">#REF!</definedName>
    <definedName name="I_A_QTYLOADS_IEL">#REF!</definedName>
    <definedName name="K11.1.2">#REF!</definedName>
    <definedName name="cetak2">#REF!</definedName>
    <definedName name="____________________________________________BS01">#REF!</definedName>
    <definedName name="___FRY4">#REF!</definedName>
    <definedName name="FDDSFGFDG">#REF!</definedName>
    <definedName name="FLOW">#REF!</definedName>
    <definedName name="I_S_QTYLOADS_PL">#REF!</definedName>
    <definedName name="I_A_QTYLOADS_IQL_FN">#REF!</definedName>
    <definedName name="D_A_QTYLOADS_QSE">#REF!</definedName>
    <definedName name="Print_2">#REF!</definedName>
    <definedName name="Pit_Date_head">#REF!</definedName>
    <definedName name="RD">#REF!</definedName>
    <definedName name="asscapex_8">#REF!</definedName>
    <definedName name="경남기간12">#REF!</definedName>
    <definedName name="_EEE12">#REF!</definedName>
    <definedName name="D_A_QTYLOADS_DEEQL">#REF!</definedName>
    <definedName name="_HAL3">#REF!</definedName>
    <definedName name="________________________________________DEP2">#REF!</definedName>
    <definedName name="D_A_QTYLOADS_L_ALL">#REF!</definedName>
    <definedName name="_ME08">#REF!</definedName>
    <definedName name="LnIVCO0">#REF!</definedName>
    <definedName name="eqman_00">#REF!</definedName>
    <definedName name="Job_Blast_Information_LIST">#REF!</definedName>
    <definedName name="I_B_STATUS_IEEE">#REF!</definedName>
    <definedName name="I_B_TIMECAT_ESWE">#REF!</definedName>
    <definedName name="chart">#REF!</definedName>
    <definedName name="Forecast2">#REF!</definedName>
    <definedName name="_Wn">#REF!</definedName>
    <definedName name="uuuuu">#REF!</definedName>
    <definedName name="산업원화금리2">#REF!</definedName>
    <definedName name="hati">#REF!</definedName>
    <definedName name="Vehicle">#REF!</definedName>
    <definedName name="FORM324">#REF!</definedName>
    <definedName name="wira1">#REF!</definedName>
    <definedName name="_______________________________MGM2">#REF!</definedName>
    <definedName name="I_B_TIMECAT_QIP">#REF!</definedName>
    <definedName name="DT_2206">#REF!</definedName>
    <definedName name="display_area_2">#REF!</definedName>
    <definedName name="StandarHours26_8">#REF!</definedName>
    <definedName name="DOZER_8">#REF!</definedName>
    <definedName name="transport_thiess">#REF!</definedName>
    <definedName name="_______________________________DEP11">#REF!</definedName>
    <definedName name="Pnetback">#REF!</definedName>
    <definedName name="I_Dept_SQL2IMPS__FN">#REF!</definedName>
    <definedName name="____________________g20616">#REF!</definedName>
    <definedName name="____DAT2">#REF!</definedName>
    <definedName name="MTDHAULINGTRADING">#REF!</definedName>
    <definedName name="BALANCE04">#REF!</definedName>
    <definedName name="D_B_TIMECAT_QE_ALL">#REF!</definedName>
    <definedName name="wol_5">#REF!</definedName>
    <definedName name="I_B_SQL2IMPS_">#REF!</definedName>
    <definedName name="NOM_11">#REF!</definedName>
    <definedName name="D_B_STATUS_EDPEE">#REF!</definedName>
    <definedName name="PLAN_9">#REF!</definedName>
    <definedName name="TRACKLOADER">#REF!</definedName>
    <definedName name="_MDE03">#REF!</definedName>
    <definedName name="RD_078">#REF!</definedName>
    <definedName name="김정균">#REF!</definedName>
    <definedName name="Fnpat">#REF!</definedName>
    <definedName name="RC_2B">#REF!</definedName>
    <definedName name="Equipment_19">#REF!</definedName>
    <definedName name="DATA26">#REF!</definedName>
    <definedName name="Equipment_cost">#REF!</definedName>
    <definedName name="Series_COPAT___FP">#REF!</definedName>
    <definedName name="Expl_SamB">#REF!</definedName>
    <definedName name="FORM7612c">#REF!</definedName>
    <definedName name="I_B_TIMECAT_EIE_FN">#REF!</definedName>
    <definedName name="FDP_35_1_aDrv">#REF!</definedName>
    <definedName name="_MDE06">#REF!</definedName>
    <definedName name="FORM715">#REF!</definedName>
    <definedName name="DATA32">#REF!</definedName>
    <definedName name="D_B_STATUS_SQWER">#REF!</definedName>
    <definedName name="D_B_STATUS_EDE">#REF!</definedName>
    <definedName name="_ME65">#REF!</definedName>
    <definedName name="VOLV01">#REF!</definedName>
    <definedName name="FORM612">#REF!</definedName>
    <definedName name="___________DEP2">#REF!</definedName>
    <definedName name="I_B_STATUS_QHPE_FN">#REF!</definedName>
    <definedName name="I_B_TIMECAT_QDEE">#REF!</definedName>
    <definedName name="I_A_QTYLOADS_7L">#REF!</definedName>
    <definedName name="Rutin_1d">#REF!</definedName>
    <definedName name="IntrList">#REF!</definedName>
    <definedName name="_________________________________________________________________________________________g20616">#REF!</definedName>
    <definedName name="SCH">#REF!</definedName>
    <definedName name="WE">#REF!</definedName>
    <definedName name="I_B_MATMOVED_DQPEEL_FN">#REF!</definedName>
    <definedName name="D_B_TIMECAT_QSEE_ALL">#REF!</definedName>
    <definedName name="I_B_TIMECAT_IQ_FN">#REF!</definedName>
    <definedName name="prijul1">#REF!</definedName>
    <definedName name="LnOTH">#REF!</definedName>
    <definedName name="______MGM1">#REF!</definedName>
    <definedName name="I_S_QTYLOADS_PF">#REF!</definedName>
    <definedName name="LnScr1">#REF!</definedName>
    <definedName name="________________________________MAY99">#REF!</definedName>
    <definedName name="DUAENAM">#REF!</definedName>
    <definedName name="FORM711">#REF!</definedName>
    <definedName name="D_B_STATUS_IQ_ALL">#REF!</definedName>
    <definedName name="D_B_TIMECAT_QSWEQMT_DEPT_ALL">#REF!</definedName>
    <definedName name="_MMM09">#REF!</definedName>
    <definedName name="URAIAN812">#REF!</definedName>
    <definedName name="D_B_MATMOVED_LQD_ALL">#REF!</definedName>
    <definedName name="STJ">#REF!</definedName>
    <definedName name="PIC">#REF!</definedName>
    <definedName name="_PC01">#REF!</definedName>
    <definedName name="DATA91">#REF!</definedName>
    <definedName name="EX_409">#REF!</definedName>
    <definedName name="A_7">#REF!</definedName>
    <definedName name="___________________________________dep1">#REF!</definedName>
    <definedName name="PeriodND4">#REF!</definedName>
    <definedName name="DATA114">#REF!</definedName>
    <definedName name="HL2brm">#REF!</definedName>
    <definedName name="I_B_TIMECAT_SQWE_FN">#REF!</definedName>
    <definedName name="___Acc2">#REF!</definedName>
    <definedName name="_________________________MAY99">#REF!</definedName>
    <definedName name="_____________________________________________________________________________________________________g20616">#REF!</definedName>
    <definedName name="D_B_TIMECAT_DEE">#REF!</definedName>
    <definedName name="level">#REF!</definedName>
    <definedName name="iiiRM">#REF!</definedName>
    <definedName name="Fempl100">#REF!</definedName>
    <definedName name="melawanytdtm">#REF!</definedName>
    <definedName name="D_B_TIMECAT_D">#REF!</definedName>
    <definedName name="_511FA">#REF!</definedName>
    <definedName name="D_B_TRUCKCYCLES_RWT">#REF!</definedName>
    <definedName name="_DWO12">#REF!</definedName>
    <definedName name="Eq_9">#REF!</definedName>
    <definedName name="RCDUA">#REF!</definedName>
    <definedName name="_______________RP1">#REF!</definedName>
    <definedName name="_MDE60">#REF!</definedName>
    <definedName name="D_A_QTYLOADS_IL">#REF!</definedName>
    <definedName name="_______________________RP1">#REF!</definedName>
    <definedName name="Series_NPAUI___Sales_5">#REF!</definedName>
    <definedName name="신한원화3">#REF!</definedName>
    <definedName name="nmUCL_5">#REF!</definedName>
    <definedName name="_MGM2">#REF!</definedName>
    <definedName name="Pama_유가보상">#REF!</definedName>
    <definedName name="grandprimprice">#REF!</definedName>
    <definedName name="lsrv">#REF!</definedName>
    <definedName name="D_A_QTYLOADS_IPL_ALL">#REF!</definedName>
    <definedName name="D_Y_TIMECAT_I_ALL">#REF!</definedName>
    <definedName name="LTA">#REF!</definedName>
    <definedName name="____wk45">#REF!</definedName>
    <definedName name="____________________________________DEP11">#REF!</definedName>
    <definedName name="Print_Area_MI_2_8">#REF!</definedName>
    <definedName name="nmUCL_8">#REF!</definedName>
    <definedName name="I_B_STATUS_QDPE">#REF!</definedName>
    <definedName name="D_A_QTYLOADS_DE">#REF!</definedName>
    <definedName name="Excel_BuiltIn_Print_Titles_1_8">#REF!</definedName>
    <definedName name="Dozers">#REF!</definedName>
    <definedName name="FINISHER">#REF!</definedName>
    <definedName name="qPrimaRomP">#REF!</definedName>
    <definedName name="_tk6">#REF!</definedName>
    <definedName name="I_B_TIMECAT_DQWE_FN">#REF!</definedName>
    <definedName name="D_B_TIMECAT_QDWE_ALL">#REF!</definedName>
    <definedName name="__MGM1">#REF!</definedName>
    <definedName name="I_B_TIMECAT_E7_FN">#REF!</definedName>
    <definedName name="I_YC_LOADER_U_FN">#REF!</definedName>
    <definedName name="Pavgprice">#REF!</definedName>
    <definedName name="제일원화4">#REF!</definedName>
    <definedName name="vat">#REF!</definedName>
    <definedName name="BTLG">#REF!</definedName>
    <definedName name="unend">#REF!</definedName>
    <definedName name="_________________g20616">#REF!</definedName>
    <definedName name="Table1">#REF!</definedName>
    <definedName name="_Sap789">#REF!</definedName>
    <definedName name="Series_WI___Sales_5">#REF!</definedName>
    <definedName name="Excavators_9">#REF!</definedName>
    <definedName name="JML_TK1">#REF!</definedName>
    <definedName name="___w2">#REF!</definedName>
    <definedName name="FDP_27_1_aUrv">#REF!</definedName>
    <definedName name="Date_Coal">#REF!</definedName>
    <definedName name="I_B_TIMECAT_DE_FN">#REF!</definedName>
    <definedName name="I_B_QTYLOADS_DL">#REF!</definedName>
    <definedName name="I_M1_STATUS_">#REF!</definedName>
    <definedName name="workingday_year">#REF!</definedName>
    <definedName name="LnOTH0">#REF!</definedName>
    <definedName name="_DIV4">#REF!</definedName>
    <definedName name="_________APR99">#REF!</definedName>
    <definedName name="_44FLOW">#REF!</definedName>
    <definedName name="_______________________DEP11">#REF!</definedName>
    <definedName name="FORM22L">#REF!</definedName>
    <definedName name="country">#REF!</definedName>
    <definedName name="I_C_TRUCKCYCLES_SE">#REF!</definedName>
    <definedName name="Excel_BuiltIn__FilterDatabase_9_1">#REF!</definedName>
    <definedName name="______________________________FEB99">#REF!</definedName>
    <definedName name="I_B_STATUS_DEER_FN">#REF!</definedName>
    <definedName name="DATA124">#REF!</definedName>
    <definedName name="Ssurcm">#REF!</definedName>
    <definedName name="PASIR">#REF!</definedName>
    <definedName name="D_F_TRUCKCYCLES_SK">#REF!</definedName>
    <definedName name="Tcapex">#REF!</definedName>
    <definedName name="___________________2_MASTER_SUMMARY_YEARLY">#REF!</definedName>
    <definedName name="______FEB99">#REF!</definedName>
    <definedName name="_752FA">#REF!</definedName>
    <definedName name="________________________________wwp2">#REF!</definedName>
    <definedName name="RD_076">#REF!</definedName>
    <definedName name="_q1">#REF!</definedName>
    <definedName name="PRINT_TITLES_MI_2_9">#REF!</definedName>
    <definedName name="PeriodND5">#REF!</definedName>
    <definedName name="EFH">#REF!</definedName>
    <definedName name="Fabob">#REF!</definedName>
    <definedName name="FMC_EQP">#REF!</definedName>
    <definedName name="I_B_QTYLOADS_DPL_FN">#REF!</definedName>
    <definedName name="_______________________________________________wwp1">#REF!</definedName>
    <definedName name="Density_AN">#REF!</definedName>
    <definedName name="FORM1011">#REF!</definedName>
    <definedName name="DATA117">#REF!</definedName>
    <definedName name="_A65924">#REF!</definedName>
    <definedName name="I_Y1_STATUS_EYTR">#REF!</definedName>
    <definedName name="asmo4">#REF!</definedName>
    <definedName name="FORMGEOTEKSTIL">#REF!</definedName>
    <definedName name="I_A_QTYLOADS_EL">#REF!</definedName>
    <definedName name="_________________MGM1">#REF!</definedName>
    <definedName name="_MDE53">#REF!</definedName>
    <definedName name="qPrimaConv">#REF!</definedName>
    <definedName name="I_A_TIMECAT_DQW_FN">#REF!</definedName>
    <definedName name="StandarHours6_8">#REF!</definedName>
    <definedName name="I_B_TIMECAT_QSEQMT_DEPT_FN">#REF!</definedName>
    <definedName name="StandarHours26">#REF!</definedName>
    <definedName name="URAIAN7614a">#REF!</definedName>
    <definedName name="B17BC">#REF!</definedName>
    <definedName name="I_A_QTYLOADS_L">#REF!</definedName>
    <definedName name="B702BBC">#REF!</definedName>
    <definedName name="wqira">#REF!</definedName>
    <definedName name="Book2">#REF!</definedName>
    <definedName name="D_B_QTYLOADS_DRPEL">#REF!</definedName>
    <definedName name="______________________MGM2">#REF!</definedName>
    <definedName name="_MMM38">#REF!</definedName>
    <definedName name="Schedule_Time">#REF!</definedName>
    <definedName name="UPAH5">#REF!</definedName>
    <definedName name="AssetDb">#REF!</definedName>
    <definedName name="PMS3BW">#REF!</definedName>
    <definedName name="__LC250">#REF!</definedName>
    <definedName name="Thousand_8">#REF!</definedName>
    <definedName name="Reduction_in_overheads_year_1">#REF!</definedName>
    <definedName name="Coverring">#REF!</definedName>
    <definedName name="BTS1BW">#REF!</definedName>
    <definedName name="_____________wk45">#REF!</definedName>
    <definedName name="DATA70">#REF!</definedName>
    <definedName name="WkRevCoalHaulage">#REF!</definedName>
    <definedName name="qAreaRehabCon">#REF!</definedName>
    <definedName name="__dep1">#REF!</definedName>
    <definedName name="D_O_SQL2IMPS_">#REF!</definedName>
    <definedName name="D_Eqtype_SQL2IMPS_Q">#REF!</definedName>
    <definedName name="_____________________________MAY99">#REF!</definedName>
    <definedName name="_______________________________b1">#REF!</definedName>
    <definedName name="FORM95">#REF!</definedName>
    <definedName name="MA">#REF!</definedName>
    <definedName name="COSUBOB12">#REF!</definedName>
    <definedName name="___________________________DEP2">#REF!</definedName>
    <definedName name="LnOPRC0">#REF!</definedName>
    <definedName name="Fcapex">#REF!</definedName>
    <definedName name="D_S_MATMOVED_E_ALL">#REF!</definedName>
    <definedName name="________________________DEC98">#REF!</definedName>
    <definedName name="URAIAN623">#REF!</definedName>
    <definedName name="__MAY99">#REF!</definedName>
    <definedName name="I_B_TIMECAT_IE">#REF!</definedName>
    <definedName name="LIST_20">#REF!</definedName>
    <definedName name="barge">#REF!</definedName>
    <definedName name="Rutin_2c">#REF!</definedName>
    <definedName name="___________________________MGM2">#REF!</definedName>
    <definedName name="_4_2_MASTER_SUMMARY_YEARLY">#REF!</definedName>
    <definedName name="I_B_MATMOVED_DQEEL">#REF!</definedName>
    <definedName name="_MDE10">#REF!</definedName>
    <definedName name="_____________BS01">#REF!</definedName>
    <definedName name="____________________________________________wwp2">#REF!</definedName>
    <definedName name="D_L_TIMECAT_QD_ALL">#REF!</definedName>
    <definedName name="InLTD4">#REF!</definedName>
    <definedName name="_______DEP2">#REF!</definedName>
    <definedName name="DUADUA">#REF!</definedName>
    <definedName name="D_B_STATUS_EER">#REF!</definedName>
    <definedName name="_Cat777">#REF!</definedName>
    <definedName name="URAIAN915">#REF!</definedName>
    <definedName name="Coal1">#REF!</definedName>
    <definedName name="RMG">#REF!</definedName>
    <definedName name="_________LA500">#REF!</definedName>
    <definedName name="_MMM08">#REF!</definedName>
    <definedName name="_____________DEC98">#REF!</definedName>
    <definedName name="I_Equipt_SQL2IMPS_">#REF!</definedName>
    <definedName name="_ME14">#REF!</definedName>
    <definedName name="TPNIGHT">#REF!</definedName>
    <definedName name="D_B_QTYLOADS_IRPL_ALL">#REF!</definedName>
    <definedName name="____________________________________DEP22">#REF!</definedName>
    <definedName name="D_S_QTYLOADS_RL">#REF!</definedName>
    <definedName name="bengmay">#REF!</definedName>
    <definedName name="yrtye">#REF!</definedName>
    <definedName name="_751FA">#REF!</definedName>
    <definedName name="nmLCL_4">#REF!</definedName>
    <definedName name="backhoe_loader">#REF!</definedName>
    <definedName name="Sempl910">#REF!</definedName>
    <definedName name="I_A_TIMECAT_QE">#REF!</definedName>
    <definedName name="ENT_OR_EDU_GROUP_INPUT">#REF!</definedName>
    <definedName name="calcul">#REF!</definedName>
    <definedName name="__CHA1100">#REF!</definedName>
    <definedName name="LAST">#REF!</definedName>
    <definedName name="Componet_5">#REF!</definedName>
    <definedName name="I_B_TRUCKCYCLES_DQ">#REF!</definedName>
    <definedName name="_1_1_MASTER_AVAILABILITY">#REF!</definedName>
    <definedName name="________________wwp2">#REF!</definedName>
    <definedName name="EqpStb">#REF!</definedName>
    <definedName name="list02">#REF!</definedName>
    <definedName name="D_B_MATMOVED_SQLP_ALL">#REF!</definedName>
    <definedName name="_Ttl789">#REF!</definedName>
    <definedName name="Biodata">#REF!</definedName>
    <definedName name="I_B_STATUS_IQER">#REF!</definedName>
    <definedName name="Series_Leverage_8">#REF!</definedName>
    <definedName name="SCH_WH">#REF!</definedName>
    <definedName name="I_S_STATUS_YTR_FN">#REF!</definedName>
    <definedName name="ActualHaul">#REF!</definedName>
    <definedName name="외환이자">#REF!</definedName>
    <definedName name="I_B_LOADER_DQR">#REF!</definedName>
    <definedName name="D_S_QTYLOADS_RL_ALL">#REF!</definedName>
    <definedName name="nmU1s_5">#REF!</definedName>
    <definedName name="DATA17">#REF!</definedName>
    <definedName name="NA">#REF!</definedName>
    <definedName name="DATAUPAH">#REF!</definedName>
    <definedName name="ALL_EQP">#REF!</definedName>
    <definedName name="__new2">#REF!</definedName>
    <definedName name="HAUL_COAL">#REF!</definedName>
    <definedName name="_635PK">#REF!</definedName>
    <definedName name="SS_M">#REF!</definedName>
    <definedName name="________________DEP22">#REF!</definedName>
    <definedName name="_MDE42">#REF!</definedName>
    <definedName name="______RD1">#REF!</definedName>
    <definedName name="FDP_45_1_aUrv">#REF!</definedName>
    <definedName name="asmo6">#REF!</definedName>
    <definedName name="Due_01">#REF!</definedName>
    <definedName name="__DAT9">#REF!</definedName>
    <definedName name="D_B_STATUS_IEER">#REF!</definedName>
    <definedName name="DATA73">#REF!</definedName>
    <definedName name="yyy">#REF!</definedName>
    <definedName name="I_B_QTYLOADS_IKPL_FN">#REF!</definedName>
    <definedName name="TABELEXC_9">#REF!</definedName>
    <definedName name="MENUD8U3">#REF!</definedName>
    <definedName name="E_080">#REF!</definedName>
    <definedName name="bajul">#REF!</definedName>
    <definedName name="I_B_STATUS_SEWER_FN">#REF!</definedName>
    <definedName name="weekly_apr">#REF!</definedName>
    <definedName name="D_A_TIMECAT_IEPEE_ALL">#REF!</definedName>
    <definedName name="StandarHours8_8">#REF!</definedName>
    <definedName name="ActualHaulC2">#REF!</definedName>
    <definedName name="_a_1_9">#REF!</definedName>
    <definedName name="_____________________________DEP11">#REF!</definedName>
    <definedName name="_____________b1">#REF!</definedName>
    <definedName name="D_M1_STATUS_">#REF!</definedName>
    <definedName name="__BS01">#REF!</definedName>
    <definedName name="MP_623">#REF!</definedName>
    <definedName name="BEGIN_STOCK">#REF!</definedName>
    <definedName name="StandarHours30_9">#REF!</definedName>
    <definedName name="W_Day">#REF!</definedName>
    <definedName name="____tes3">#REF!</definedName>
    <definedName name="I_B_STATUS_QDPE_FN">#REF!</definedName>
    <definedName name="cur_yr">#REF!</definedName>
    <definedName name="I_A_QTYLOADS_SQL">#REF!</definedName>
    <definedName name="D_IE_SQL2IMPS_">#REF!</definedName>
    <definedName name="D_B_TIMECAT_7Q">#REF!</definedName>
    <definedName name="I_B_TRUCKCYCLES_DK">#REF!</definedName>
    <definedName name="ShiftWeekly">#REF!</definedName>
    <definedName name="_66666">#REF!</definedName>
    <definedName name="_06">#REF!</definedName>
    <definedName name="uyus">#REF!</definedName>
    <definedName name="_____key2">#REF!</definedName>
    <definedName name="D_B_QTYLOADS_DRL">#REF!</definedName>
    <definedName name="Month_SS">#REF!</definedName>
    <definedName name="I_B_TIMECAT_QSEQMT_OWNREQMT_DEPT_FN">#REF!</definedName>
    <definedName name="Shiping">#REF!</definedName>
    <definedName name="_542FA">#REF!</definedName>
    <definedName name="FORM425">#REF!</definedName>
    <definedName name="OPT_GL_17">#REF!</definedName>
    <definedName name="Pcf">#REF!</definedName>
    <definedName name="__Tax2">#REF!</definedName>
    <definedName name="D_A_QTYLOADS_7QL">#REF!</definedName>
    <definedName name="DRTU6T">#REF!</definedName>
    <definedName name="RUPIAH">#REF!</definedName>
    <definedName name="URAIAN772a">#REF!</definedName>
    <definedName name="_MDE50">#REF!</definedName>
    <definedName name="nmU2s_4">#REF!</definedName>
    <definedName name="I_Panel_SQL2IMPS__FN">#REF!</definedName>
    <definedName name="D_A_STATUS_DWPEER_ALL">#REF!</definedName>
    <definedName name="_MMM35">#REF!</definedName>
    <definedName name="I_B_STATUS_IQR_FN">#REF!</definedName>
    <definedName name="InTopSoilingTotal">#REF!</definedName>
    <definedName name="StandarHours5_9">#REF!</definedName>
    <definedName name="STD_var_amt_3">#REF!</definedName>
    <definedName name="_ME26">#REF!</definedName>
    <definedName name="series_llllll_9">#REF!</definedName>
    <definedName name="gsrv">#REF!</definedName>
    <definedName name="qDC02AreaCon">#REF!</definedName>
    <definedName name="Sempl400">#REF!</definedName>
    <definedName name="JANGANDIBUKA">#REF!</definedName>
    <definedName name="________________________b2">#REF!</definedName>
    <definedName name="Excel_BuiltIn__FilterDatabase_6">#REF!</definedName>
    <definedName name="Vers">#REF!</definedName>
    <definedName name="FORM66PERATA">#REF!</definedName>
    <definedName name="ENAMBELAS">#REF!</definedName>
    <definedName name="폐석환산BCM">#REF!</definedName>
    <definedName name="_aji">#REF!</definedName>
    <definedName name="Prain">#REF!</definedName>
    <definedName name="하나원화4">#REF!</definedName>
    <definedName name="I_S_QTYDumps_EO">#REF!</definedName>
    <definedName name="D_S_QTYLOADS_S_ALL">#REF!</definedName>
    <definedName name="_MDE51">#REF!</definedName>
    <definedName name="DIST_1">#REF!</definedName>
    <definedName name="기업예금">#REF!</definedName>
    <definedName name="d">#REF!</definedName>
    <definedName name="Leasing_from_PAMA_9">#REF!</definedName>
    <definedName name="D_A_QTYLOADS_DQPEL">#REF!</definedName>
    <definedName name="D_B_TRUCKCYCLES_DK_ALL">#REF!</definedName>
    <definedName name="five4">#REF!</definedName>
    <definedName name="D_M_TIMECAT_">#REF!</definedName>
    <definedName name="ok_8">#REF!</definedName>
    <definedName name="Date_5">#REF!</definedName>
    <definedName name="KIL">#REF!</definedName>
    <definedName name="RENTAL">#REF!</definedName>
    <definedName name="_MDE25">#REF!</definedName>
    <definedName name="D_B_STATUS_IQEE_ALL">#REF!</definedName>
    <definedName name="______________b2">#REF!</definedName>
    <definedName name="____RD1">#REF!</definedName>
    <definedName name="D_B_QTYLOADS_PL_ALL">#REF!</definedName>
    <definedName name="________RP1">#REF!</definedName>
    <definedName name="Series_Current_Ratio_8">#REF!</definedName>
    <definedName name="MI">#REF!</definedName>
    <definedName name="plant">#REF!</definedName>
    <definedName name="InForex">#REF!</definedName>
    <definedName name="dsf">#REF!</definedName>
    <definedName name="Macro1">#REF!</definedName>
    <definedName name="CKP">#REF!</definedName>
    <definedName name="LTJ">#REF!</definedName>
    <definedName name="agg">#REF!</definedName>
    <definedName name="_________________________________________MGM1">#REF!</definedName>
    <definedName name="Data_Plan_13">#REF!</definedName>
    <definedName name="GMD">#REF!</definedName>
    <definedName name="Tkpcsales">#REF!</definedName>
    <definedName name="RD_067">#REF!</definedName>
    <definedName name="Multi_A">#REF!</definedName>
    <definedName name="I_B_MATMOVED_QSE_FN">#REF!</definedName>
    <definedName name="I_B_QTYLOADS_RPEL_FN">#REF!</definedName>
    <definedName name="PPORT">#REF!</definedName>
    <definedName name="D_B_TIMECAT_SE">#REF!</definedName>
    <definedName name="Months_5">#REF!</definedName>
    <definedName name="______________________________________b1">#REF!</definedName>
    <definedName name="I_A_TIMECAT_DQP">#REF!</definedName>
    <definedName name="Tkpcindemp">#REF!</definedName>
    <definedName name="NAMA2">#REF!</definedName>
    <definedName name="FDP_49_1_aUrv">#REF!</definedName>
    <definedName name="CLAIM">#REF!</definedName>
    <definedName name="Thiess_유가보상">#REF!</definedName>
    <definedName name="PITTOPORTN">#REF!</definedName>
    <definedName name="D_C_QTYLOADS_SQL">#REF!</definedName>
    <definedName name="D_O_SQL2IMPS__ALL">#REF!</definedName>
    <definedName name="________________________________________________________________________________________________________________________________________________________g20616">#REF!</definedName>
    <definedName name="SPRD_COAL">#REF!</definedName>
    <definedName name="_BUS1">#REF!</definedName>
    <definedName name="____________________________________________________________________________________________________________________________________________________g20616">#REF!</definedName>
    <definedName name="waste_total">#REF!</definedName>
    <definedName name="KOMHD02">#REF!</definedName>
    <definedName name="__RD3">#REF!</definedName>
    <definedName name="Excel_BuiltIn__FilterDatabase_14">#REF!</definedName>
    <definedName name="data1_6">#REF!</definedName>
    <definedName name="Uraian315">#REF!</definedName>
    <definedName name="Author">#REF!</definedName>
    <definedName name="_MDE61">#REF!</definedName>
    <definedName name="Q_LOSE">#REF!</definedName>
    <definedName name="I_B_TIMECAT_IEEE">#REF!</definedName>
    <definedName name="B15ABC1">#REF!</definedName>
    <definedName name="경남외환금리">#REF!</definedName>
    <definedName name="output">#REF!</definedName>
    <definedName name="OPT_GL_12">#REF!</definedName>
    <definedName name="__1_a_1">#REF!</definedName>
    <definedName name="경남원화4">#REF!</definedName>
    <definedName name="I_A_QTYLOADS_QSWE_FN">#REF!</definedName>
    <definedName name="D_Eqtype_SQL2IMPS_U_ALL">#REF!</definedName>
    <definedName name="_EEE27">#REF!</definedName>
    <definedName name="Opquarters">#REF!</definedName>
    <definedName name="DZ_037">#REF!</definedName>
    <definedName name="DATA93">#REF!</definedName>
    <definedName name="__________________BS01">#REF!</definedName>
    <definedName name="D_C_TRUCKCYCLES_DE_ALL">#REF!</definedName>
    <definedName name="_________________________________APR99">#REF!</definedName>
    <definedName name="DATA57">#REF!</definedName>
    <definedName name="hHD830eTot">#REF!</definedName>
    <definedName name="I_B_TIMECAT_IEEE_FN">#REF!</definedName>
    <definedName name="I_S_MATMOVED_SQL_FN">#REF!</definedName>
    <definedName name="I_B_QTYLOADS_SKL">#REF!</definedName>
    <definedName name="bb">#REF!</definedName>
    <definedName name="nh">#REF!</definedName>
    <definedName name="revenue_total">#REF!</definedName>
    <definedName name="_MMM31">#REF!</definedName>
    <definedName name="___________________________________________________wwp2">#REF!</definedName>
    <definedName name="HT_1A">#REF!</definedName>
    <definedName name="URAIAN612">#REF!</definedName>
    <definedName name="_635AFA">#REF!</definedName>
    <definedName name="I_B_STATUS_QER">#REF!</definedName>
    <definedName name="_nHD785">#REF!</definedName>
    <definedName name="galian">#REF!</definedName>
    <definedName name="depreciation_prod">#REF!</definedName>
    <definedName name="외환원화금리4">#REF!</definedName>
    <definedName name="AN_Stocks_8">#REF!</definedName>
    <definedName name="D_R_TIMECAT_DE">#REF!</definedName>
    <definedName name="Excel_BuiltIn__FilterDatabase_11_1_1">#REF!</definedName>
    <definedName name="___________________DEP2">#REF!</definedName>
    <definedName name="________________DEC98">#REF!</definedName>
    <definedName name="I_S_QTYLOADS_PL_FN">#REF!</definedName>
    <definedName name="employee_local">#REF!</definedName>
    <definedName name="____DEP2">#REF!</definedName>
    <definedName name="BUDI35">#REF!</definedName>
    <definedName name="URAIAN512">#REF!</definedName>
    <definedName name="MINIM">#REF!</definedName>
    <definedName name="_____________________DEP2">#REF!</definedName>
    <definedName name="capInfrast">#REF!</definedName>
    <definedName name="_______________FEB99">#REF!</definedName>
    <definedName name="I_A_QTYLOADS_QSWE">#REF!</definedName>
    <definedName name="CGAAP">#REF!</definedName>
    <definedName name="XREF_COLUMN_3">#REF!</definedName>
    <definedName name="_PJA188">#REF!</definedName>
    <definedName name="하나이자">#REF!</definedName>
    <definedName name="FDP_43_1_aUrv">#REF!</definedName>
    <definedName name="chtYmajor_6">#REF!</definedName>
    <definedName name="Tcconv">#REF!</definedName>
    <definedName name="______________________________________DEC98">#REF!</definedName>
    <definedName name="FormsChartType_9">#REF!</definedName>
    <definedName name="_nEx1800">#REF!</definedName>
    <definedName name="PRINT_TITLES_MI_2_8">#REF!</definedName>
    <definedName name="BuildAcqVal">#REF!</definedName>
    <definedName name="LnOBR">#REF!</definedName>
    <definedName name="PILBLN">#REF!</definedName>
    <definedName name="I_A_STATUS_DQR">#REF!</definedName>
    <definedName name="_ME19">#REF!</definedName>
    <definedName name="_____________________________________DEP22">#REF!</definedName>
    <definedName name="_MDE67">#REF!</definedName>
    <definedName name="FLATBEDTRUCK">#REF!</definedName>
    <definedName name="rrrrr">#REF!</definedName>
    <definedName name="URAIAN7613a">#REF!</definedName>
    <definedName name="WkRevVarDayworks">#REF!</definedName>
    <definedName name="hqwrt">#REF!</definedName>
    <definedName name="I_B_MATMOVED_DEL_FN">#REF!</definedName>
    <definedName name="buyer">#REF!</definedName>
    <definedName name="_845FA">#REF!</definedName>
    <definedName name="XRefPaste12Row">#REF!</definedName>
    <definedName name="D_A_QTYLOADS_DQPEL_ALL">#REF!</definedName>
    <definedName name="_____________________________FEB99">#REF!</definedName>
    <definedName name="__________MGM2">#REF!</definedName>
    <definedName name="RIT_WASTE">#REF!</definedName>
    <definedName name="HRPos">#REF!</definedName>
    <definedName name="_________wwp2">#REF!</definedName>
    <definedName name="____________________________________________________________g20616">#REF!</definedName>
    <definedName name="_72PK">#REF!</definedName>
    <definedName name="D_B_STATUS_E7_ALL">#REF!</definedName>
    <definedName name="PT">#REF!</definedName>
    <definedName name="_ME66">#REF!</definedName>
    <definedName name="MENUMOB">#REF!</definedName>
    <definedName name="____LA2000">#REF!</definedName>
    <definedName name="Equipment_28">#REF!</definedName>
    <definedName name="Equipment_31">#REF!</definedName>
    <definedName name="__________________________________________________________g20616">#REF!</definedName>
    <definedName name="Forecast45_8">#REF!</definedName>
    <definedName name="FORM7614c">#REF!</definedName>
    <definedName name="DMAF">#REF!</definedName>
    <definedName name="Excel_BuiltIn_Print_Area_29">#REF!</definedName>
    <definedName name="Pempl920">#REF!</definedName>
    <definedName name="PIN">#REF!</definedName>
    <definedName name="_PRO2">#REF!</definedName>
    <definedName name="___MGM1">#REF!</definedName>
    <definedName name="_MDE20">#REF!</definedName>
    <definedName name="Excel_BuiltIn_Database_1">#REF!</definedName>
    <definedName name="salah">#REF!</definedName>
    <definedName name="Faktor">#REF!</definedName>
    <definedName name="STATUS4">#REF!</definedName>
    <definedName name="D_B_STATUS_EDE_ALL">#REF!</definedName>
    <definedName name="areat">#REF!</definedName>
    <definedName name="FORM636">#REF!</definedName>
    <definedName name="rerr">#REF!</definedName>
    <definedName name="ninc">#REF!</definedName>
    <definedName name="I_B_STATUS_7QR">#REF!</definedName>
    <definedName name="D_S_QTYLOADS_P_ALL">#REF!</definedName>
    <definedName name="NumPoints">#REF!</definedName>
    <definedName name="D_B_TIMECAT_QDEE_ALL">#REF!</definedName>
    <definedName name="_______________________________MAY99">#REF!</definedName>
    <definedName name="ProdBase">#REF!</definedName>
    <definedName name="URAIAN65">#REF!</definedName>
    <definedName name="PERUSAHAAN">#REF!</definedName>
    <definedName name="_____________________JAN99">#REF!</definedName>
    <definedName name="UPAH9">#REF!</definedName>
    <definedName name="KOMHD04">#REF!</definedName>
    <definedName name="dfjkhf">#REF!</definedName>
    <definedName name="I_S_MatMoved_FX_FN">#REF!</definedName>
    <definedName name="I_B_QTYLOADS_DQWPEEL_FN">#REF!</definedName>
    <definedName name="I_B_MATMOVED_DEPL">#REF!</definedName>
    <definedName name="FDP_20_1_aUrv">#REF!</definedName>
    <definedName name="________________________________________________________________________________________________________________g20616">#REF!</definedName>
    <definedName name="da">#REF!</definedName>
    <definedName name="I_B_STATUS_DEER">#REF!</definedName>
    <definedName name="_33PK">#REF!</definedName>
    <definedName name="__________LA1000">#REF!</definedName>
    <definedName name="CFG_Shift">#REF!</definedName>
    <definedName name="Month_Days_8">#REF!</definedName>
    <definedName name="Rutin_5f">#REF!</definedName>
    <definedName name="_MMM49">#REF!</definedName>
    <definedName name="FORM635">#REF!</definedName>
    <definedName name="________________________________MAR99">#REF!</definedName>
    <definedName name="EX_417">#REF!</definedName>
    <definedName name="COSUBOB7">#REF!</definedName>
    <definedName name="_____________________________________b1">#REF!</definedName>
    <definedName name="I_M_TIMECAT_Q">#REF!</definedName>
    <definedName name="ppbjok">#REF!</definedName>
    <definedName name="I_A_QTYLOADS_">#REF!</definedName>
    <definedName name="PINDISTANCE">#REF!</definedName>
    <definedName name="ket_9">#REF!</definedName>
    <definedName name="BCP_9">#REF!</definedName>
    <definedName name="FirstRow">#REF!</definedName>
    <definedName name="dsadsad_jhdjfhjd">#REF!</definedName>
    <definedName name="_________________wk45">#REF!</definedName>
    <definedName name="URAIAN818">#REF!</definedName>
    <definedName name="Pempl600">#REF!</definedName>
    <definedName name="capSurvEqp">#REF!</definedName>
    <definedName name="I_B_STATUS_QER_FN">#REF!</definedName>
    <definedName name="_MU532283">#REF!</definedName>
    <definedName name="DATA109">#REF!</definedName>
    <definedName name="Print_Area_Reset">#REF!</definedName>
    <definedName name="DATA_ASAL_19">#REF!</definedName>
    <definedName name="_____________________________________________________________________________________________________________________________g20616">#REF!</definedName>
    <definedName name="waste_north_kideco">#REF!</definedName>
    <definedName name="PersDB">#REF!</definedName>
    <definedName name="I_Y_STATUS_QI">#REF!</definedName>
    <definedName name="qaqa">#REF!</definedName>
    <definedName name="TRENDCC">#REF!</definedName>
    <definedName name="기업원화금리1">#REF!</definedName>
    <definedName name="D_B_STATUS_QER_ALL">#REF!</definedName>
    <definedName name="waste_south">#REF!</definedName>
    <definedName name="LnADMC0">#REF!</definedName>
    <definedName name="LevelHR">#REF!</definedName>
    <definedName name="URAIAN732">#REF!</definedName>
    <definedName name="StandarHours19_9">#REF!</definedName>
    <definedName name="VV">#REF!</definedName>
    <definedName name="stfprim">#REF!</definedName>
    <definedName name="D_A_TIMECAT_DEWPEE">#REF!</definedName>
    <definedName name="ADF">#REF!</definedName>
    <definedName name="G_2">#REF!</definedName>
    <definedName name="StandarHours17">#REF!</definedName>
    <definedName name="Tportinv">#REF!</definedName>
    <definedName name="D_B_TIMECAT_IQE_ALL">#REF!</definedName>
    <definedName name="aaaak">#REF!</definedName>
    <definedName name="MENUD8F">#REF!</definedName>
    <definedName name="sada">#REF!</definedName>
    <definedName name="Price">#REF!</definedName>
    <definedName name="SATU">#REF!</definedName>
    <definedName name="___________________________________________________________________________________g20616">#REF!</definedName>
    <definedName name="I_A_TIMECAT_SQWPEE_FN">#REF!</definedName>
    <definedName name="ATA">#REF!</definedName>
    <definedName name="ssrv">#REF!</definedName>
    <definedName name="OB_JSurvey">#REF!</definedName>
    <definedName name="WENDY">#REF!</definedName>
    <definedName name="FuelPrice">#REF!</definedName>
    <definedName name="I_Y_TIMECAT_I_FN">#REF!</definedName>
    <definedName name="D_A_TIMECAT_DP">#REF!</definedName>
    <definedName name="Data_Pivot">#REF!</definedName>
    <definedName name="DATA130">#REF!</definedName>
    <definedName name="__Cat320">#REF!</definedName>
    <definedName name="qLowPinRomP">#REF!</definedName>
    <definedName name="nmMean_9">#REF!</definedName>
    <definedName name="D_YC_LOADER_Q_ALL">#REF!</definedName>
    <definedName name="MP_423">#REF!</definedName>
    <definedName name="CFG_Save_As">#REF!</definedName>
    <definedName name="D_B_TIMECAT_QIPEE_ALL">#REF!</definedName>
    <definedName name="EqpQty_Type">#REF!</definedName>
    <definedName name="_622PK">#REF!</definedName>
    <definedName name="Excel_BuiltIn_Print_Titles_4_1">#REF!</definedName>
    <definedName name="SIM_Depreciation">#REF!</definedName>
    <definedName name="SR_standard_north">#REF!</definedName>
    <definedName name="FORM94">#REF!</definedName>
    <definedName name="test">#REF!</definedName>
    <definedName name="I_A_QTYLOADS_DQWPEEL_FN">#REF!</definedName>
    <definedName name="OptRuns">#REF!</definedName>
    <definedName name="Uraian311">#REF!</definedName>
    <definedName name="_w1">#REF!</definedName>
    <definedName name="SPO42T">#REF!</definedName>
    <definedName name="netrevenueplan">#REF!</definedName>
    <definedName name="LOSE_SITE">#REF!</definedName>
    <definedName name="_Ftl785">#REF!</definedName>
    <definedName name="__DEC98">#REF!</definedName>
    <definedName name="I_A_QTYLOADS_LQDP_FN">#REF!</definedName>
    <definedName name="LnCGT">#REF!</definedName>
    <definedName name="D_F_SQL2IMPS__ALL">#REF!</definedName>
    <definedName name="StandarHours30_8">#REF!</definedName>
    <definedName name="I_B_STATUS_QDE_FN">#REF!</definedName>
    <definedName name="qDC02AreaKPC">#REF!</definedName>
    <definedName name="DbVar01">#REF!</definedName>
    <definedName name="PIT_DET_D3">#REF!</definedName>
    <definedName name="_EXC03">#REF!</definedName>
    <definedName name="I_A_TIMECAT_SQ_FN">#REF!</definedName>
    <definedName name="_EEE26">#REF!</definedName>
    <definedName name="dem">#REF!</definedName>
    <definedName name="spare">#REF!</definedName>
    <definedName name="_MAY99">#REF!</definedName>
    <definedName name="___________________________wk45">#REF!</definedName>
    <definedName name="FORM322">#REF!</definedName>
    <definedName name="aq">#REF!</definedName>
    <definedName name="PeriodND3">#REF!</definedName>
    <definedName name="time_9">#REF!</definedName>
    <definedName name="VOLV03">#REF!</definedName>
    <definedName name="________________b1">#REF!</definedName>
    <definedName name="customer2">#REF!</definedName>
    <definedName name="I_B_TIMECAT_7QPE_FN">#REF!</definedName>
    <definedName name="tanaman">#REF!</definedName>
    <definedName name="ADUL2">#REF!</definedName>
    <definedName name="_522PK">#REF!</definedName>
    <definedName name="___2">#REF!</definedName>
    <definedName name="nuge">#REF!</definedName>
    <definedName name="______________________________________g20616">#REF!</definedName>
    <definedName name="D_B_TIMECAT_QDE_ALL">#REF!</definedName>
    <definedName name="__w4">#REF!</definedName>
    <definedName name="BAL_4">#REF!</definedName>
    <definedName name="_______________________b2">#REF!</definedName>
    <definedName name="_MDE07">#REF!</definedName>
    <definedName name="URAIAN919">#REF!</definedName>
    <definedName name="_________________________________g20616">#REF!</definedName>
    <definedName name="Uraian313">#REF!</definedName>
    <definedName name="I_B_LOADER_SE">#REF!</definedName>
    <definedName name="HSED">#REF!</definedName>
    <definedName name="DATA15">#REF!</definedName>
    <definedName name="I_S_QTYLOADS_RLP_FN">#REF!</definedName>
    <definedName name="URAIAN819">#REF!</definedName>
    <definedName name="_LLL07">#REF!</definedName>
    <definedName name="URAIAN917">#REF!</definedName>
    <definedName name="weekly_okt">#REF!</definedName>
    <definedName name="D_N_PLANS_7">#REF!</definedName>
    <definedName name="Equipment_29">#REF!</definedName>
    <definedName name="D_B_TRUCKCYCLES_E_ALL">#REF!</definedName>
    <definedName name="D_S_STATUS_YTR">#REF!</definedName>
    <definedName name="__________________________________________________________________________________________________g20616">#REF!</definedName>
    <definedName name="Summary_opt2">#REF!</definedName>
    <definedName name="MCOST1">#REF!</definedName>
    <definedName name="국민원화2">#REF!</definedName>
    <definedName name="I_S_QTYLOADS_EO_FN">#REF!</definedName>
    <definedName name="FORM7102">#REF!</definedName>
    <definedName name="I_A_STATUS_IQR_FN">#REF!</definedName>
    <definedName name="DMCR4">#REF!</definedName>
    <definedName name="hHD785CoTot">#REF!</definedName>
    <definedName name="TUNAS">#REF!</definedName>
    <definedName name="Data_Entry">#REF!</definedName>
    <definedName name="chtYmax">#REF!</definedName>
    <definedName name="D_B_TIMECAT_EIW">#REF!</definedName>
    <definedName name="__________________wwp1">#REF!</definedName>
    <definedName name="mast">#REF!</definedName>
    <definedName name="WkRevCons">#REF!</definedName>
    <definedName name="D_S_QTYLOADS_QLP_ALL">#REF!</definedName>
    <definedName name="_ME36">#REF!</definedName>
    <definedName name="begin">#REF!</definedName>
    <definedName name="D_Y1_STATUS_EYTR">#REF!</definedName>
    <definedName name="nnn">#REF!</definedName>
    <definedName name="YTD_Days_8">#REF!</definedName>
    <definedName name="Month_Days">#REF!</definedName>
    <definedName name="abb">#REF!</definedName>
    <definedName name="_Regression_Y">#REF!</definedName>
    <definedName name="__________________DEP2">#REF!</definedName>
    <definedName name="D_B_MATMOVED_DQQQQL">#REF!</definedName>
    <definedName name="D_B_MATMOVED_DEPL_ALL">#REF!</definedName>
    <definedName name="bajan">#REF!</definedName>
    <definedName name="Equipment_23">#REF!</definedName>
    <definedName name="StandarHours25">#REF!</definedName>
    <definedName name="D_S_Timecat_EL">#REF!</definedName>
    <definedName name="Extra_Pay">#REF!</definedName>
    <definedName name="Ppf">#REF!</definedName>
    <definedName name="_CAT07">#REF!</definedName>
    <definedName name="hourly_2">#REF!</definedName>
    <definedName name="ooRT">#REF!</definedName>
    <definedName name="SeriesB_4">#REF!</definedName>
    <definedName name="series_4">#REF!</definedName>
    <definedName name="_________________________________DEP11">#REF!</definedName>
    <definedName name="__________________________________wwp1">#REF!</definedName>
    <definedName name="FDP_44_1_aUrv">#REF!</definedName>
    <definedName name="__________________________________________DEP2">#REF!</definedName>
    <definedName name="lele">#REF!</definedName>
    <definedName name="Excel_BuiltIn_Print_Area_16">#REF!</definedName>
    <definedName name="FORM421">#REF!</definedName>
    <definedName name="__________________________________DEP22">#REF!</definedName>
    <definedName name="D_B_TIMECAT_DE_ALL">#REF!</definedName>
    <definedName name="I_S_QTYDumps_EO_FN">#REF!</definedName>
    <definedName name="DATA102">#REF!</definedName>
    <definedName name="mimpi">#REF!</definedName>
    <definedName name="mur">#REF!</definedName>
    <definedName name="_tk8">#REF!</definedName>
    <definedName name="D_B_TIMECAT_QD">#REF!</definedName>
    <definedName name="D_YC_LOADER_E_ALL">#REF!</definedName>
    <definedName name="D_B_MATMOVED_QL_ALL">#REF!</definedName>
    <definedName name="_________________________________________b2">#REF!</definedName>
    <definedName name="fueltruck">#REF!</definedName>
    <definedName name="FORE">#REF!</definedName>
    <definedName name="karena">#REF!</definedName>
    <definedName name="PIT_DET_D4">#REF!</definedName>
    <definedName name="_Fn">#REF!</definedName>
    <definedName name="_________________________________MAR99">#REF!</definedName>
    <definedName name="DZ_033">#REF!</definedName>
    <definedName name="ipu">#REF!</definedName>
    <definedName name="__________wk45">#REF!</definedName>
    <definedName name="data1_4">#REF!</definedName>
    <definedName name="Uraian319">#REF!</definedName>
    <definedName name="StandarHours18_9">#REF!</definedName>
    <definedName name="_________LC500">#REF!</definedName>
    <definedName name="dsklfsdf">#REF!</definedName>
    <definedName name="_MDE21">#REF!</definedName>
    <definedName name="D_B_MATMOVED_DQPEEL">#REF!</definedName>
    <definedName name="D_B_STATUS_QIE">#REF!</definedName>
    <definedName name="_HAL5">#REF!</definedName>
    <definedName name="_____wwp1">#REF!</definedName>
    <definedName name="____________________________________________DEP2">#REF!</definedName>
    <definedName name="___________b1">#REF!</definedName>
    <definedName name="PROD_EX_S2">#REF!</definedName>
    <definedName name="D_S_QTYLOADS_PF_ALL">#REF!</definedName>
    <definedName name="___DEC98">#REF!</definedName>
    <definedName name="_w2">#REF!</definedName>
    <definedName name="I_A_TIMECAT_DQE">#REF!</definedName>
    <definedName name="INCOME12">#REF!</definedName>
    <definedName name="fTopSDirectKPC">#REF!</definedName>
    <definedName name="FORM771c">#REF!</definedName>
    <definedName name="MSJ">#REF!</definedName>
    <definedName name="D_A_TIMECAT_IEE">#REF!</definedName>
    <definedName name="D_B_STATUS_IEER_ALL">#REF!</definedName>
    <definedName name="_EEE20">#REF!</definedName>
    <definedName name="envb">#REF!</definedName>
    <definedName name="_________________________________________________g20616">#REF!</definedName>
    <definedName name="MP_714">#REF!</definedName>
    <definedName name="MEI">#REF!</definedName>
    <definedName name="HLS3HW">#REF!</definedName>
    <definedName name="_1b1_">#REF!</definedName>
    <definedName name="DATA128">#REF!</definedName>
    <definedName name="I_A_QTYLOADS_IQPL">#REF!</definedName>
    <definedName name="D_Panel_SQL2IMPS__ALL">#REF!</definedName>
    <definedName name="_711PK">#REF!</definedName>
    <definedName name="salah2">#REF!</definedName>
    <definedName name="___________APR99">#REF!</definedName>
    <definedName name="_321PK">#REF!</definedName>
    <definedName name="days">#REF!</definedName>
    <definedName name="_____________________________wk45">#REF!</definedName>
    <definedName name="I_A_QTYLOADS_DEEQL_FN">#REF!</definedName>
    <definedName name="wedus">#REF!</definedName>
    <definedName name="March">#REF!</definedName>
    <definedName name="Tsurcm">#REF!</definedName>
    <definedName name="VOLV07">#REF!</definedName>
    <definedName name="mySource">#REF!</definedName>
    <definedName name="forecast_4">#REF!</definedName>
    <definedName name="MP_513">#REF!</definedName>
    <definedName name="______________________________APR99">#REF!</definedName>
    <definedName name="I_D_QTYLOADS_SQL_FN">#REF!</definedName>
    <definedName name="cal_new">#REF!</definedName>
    <definedName name="AreaKalsel">#REF!</definedName>
    <definedName name="____________________________APR99">#REF!</definedName>
    <definedName name="_ME50">#REF!</definedName>
    <definedName name="_MU540468">#REF!</definedName>
    <definedName name="I_B_STATUS_DQ_FN">#REF!</definedName>
    <definedName name="D_Y_STATUS_I_ALL">#REF!</definedName>
    <definedName name="I_B_STATUS_IQEE_FN">#REF!</definedName>
    <definedName name="Cvtname">#REF!</definedName>
    <definedName name="_PRO1">#REF!</definedName>
    <definedName name="E_076">#REF!</definedName>
    <definedName name="LnSLSR0">#REF!</definedName>
    <definedName name="_DIV11">#REF!</definedName>
    <definedName name="qAreaRehabKPC">#REF!</definedName>
    <definedName name="D_S_QTYLOADS_EE_ALL">#REF!</definedName>
    <definedName name="Fkpcls">#REF!</definedName>
    <definedName name="D_S_QTYLOADS_7">#REF!</definedName>
    <definedName name="nmU2s_5">#REF!</definedName>
    <definedName name="I_A_STATUS_DEPR_FN">#REF!</definedName>
    <definedName name="COSUBCO4">#REF!</definedName>
    <definedName name="Kontraktor">#REF!</definedName>
    <definedName name="stand">#REF!</definedName>
    <definedName name="D_S_QTYLOADS_F_ALL">#REF!</definedName>
    <definedName name="________________________________APR99">#REF!</definedName>
    <definedName name="LPD">#REF!</definedName>
    <definedName name="StandarHours1_9">#REF!</definedName>
    <definedName name="TP">#REF!</definedName>
    <definedName name="__LC2000">#REF!</definedName>
    <definedName name="XRefPaste9Row">#REF!</definedName>
    <definedName name="StandarHours23_8">#REF!</definedName>
    <definedName name="Prod2">#REF!</definedName>
    <definedName name="LCIB">#REF!</definedName>
    <definedName name="______________________________________________________________________________________________________________________________________________________________g20616">#REF!</definedName>
    <definedName name="D_Y_STATUS__ALL">#REF!</definedName>
    <definedName name="D_A_TIMECAT_DEWPEE_ALL">#REF!</definedName>
    <definedName name="D_A_STATUS_IQR_ALL">#REF!</definedName>
    <definedName name="Qc">#REF!</definedName>
    <definedName name="Date_OB_head">#REF!</definedName>
    <definedName name="DT_S07">#REF!</definedName>
    <definedName name="StandarHours7_8">#REF!</definedName>
    <definedName name="_____DEP2">#REF!</definedName>
    <definedName name="PLAN_1">#REF!</definedName>
    <definedName name="CD">#REF!</definedName>
    <definedName name="FORM7103">#REF!</definedName>
    <definedName name="PEKERJAAN">#REF!</definedName>
    <definedName name="MINOR">#REF!</definedName>
    <definedName name="FORM772a">#REF!</definedName>
    <definedName name="_________________________b1">#REF!</definedName>
    <definedName name="우리이자">#REF!</definedName>
    <definedName name="I_B_TIMECAT_7EE_FN">#REF!</definedName>
    <definedName name="_____g20616">#REF!</definedName>
    <definedName name="D_B_TRUCKCYCLES_DK">#REF!</definedName>
    <definedName name="SEMBILANBELAS">#REF!</definedName>
    <definedName name="____DEP11">#REF!</definedName>
    <definedName name="_______MAY99">#REF!</definedName>
    <definedName name="_LLL03">#REF!</definedName>
    <definedName name="D_A_STATUS_IQER_ALL">#REF!</definedName>
    <definedName name="_623FA">#REF!</definedName>
    <definedName name="EqpTbl">#REF!</definedName>
    <definedName name="RMF">#REF!</definedName>
    <definedName name="___q1">#REF!</definedName>
    <definedName name="__________________b2">#REF!</definedName>
    <definedName name="I_Y_TIMECAT_QI_FN">#REF!</definedName>
    <definedName name="I_A_QTYLOADS_DQPEL_FN">#REF!</definedName>
    <definedName name="_MMM45">#REF!</definedName>
    <definedName name="hEx1800CoTot">#REF!</definedName>
    <definedName name="Values_Entered">#REF!</definedName>
    <definedName name="StandarHours22_9">#REF!</definedName>
    <definedName name="FORM632">#REF!</definedName>
    <definedName name="I_A_QTYLOADS_DKPL">#REF!</definedName>
    <definedName name="JRK">#REF!</definedName>
    <definedName name="_jskjasdjha">#REF!</definedName>
    <definedName name="_________________________wwp2">#REF!</definedName>
    <definedName name="_____________________________________MGM1">#REF!</definedName>
    <definedName name="AGUST">#REF!</definedName>
    <definedName name="HistIS">#REF!</definedName>
    <definedName name="D_Eqtype_SQL2IMPS_K">#REF!</definedName>
    <definedName name="HSEB">#REF!</definedName>
    <definedName name="_________________APR99">#REF!</definedName>
    <definedName name="I_B_TIMECAT_QD_FN">#REF!</definedName>
    <definedName name="StandarHours9">#REF!</definedName>
    <definedName name="____________________________________________________________________________________________________g20616">#REF!</definedName>
    <definedName name="RevBaseList">#REF!</definedName>
    <definedName name="_Pci785">#REF!</definedName>
    <definedName name="URAIAN714">#REF!</definedName>
    <definedName name="Tbincm">#REF!</definedName>
    <definedName name="CLOSSING_31_OCT_01">#REF!</definedName>
    <definedName name="DATA48">#REF!</definedName>
    <definedName name="URAIAN772b">#REF!</definedName>
    <definedName name="CATDET2">#REF!</definedName>
    <definedName name="__2_MASTER_SUMMARY_YEARLY">#REF!</definedName>
    <definedName name="______________________________________BS01">#REF!</definedName>
    <definedName name="I_Y_TIMECAT_QI">#REF!</definedName>
    <definedName name="DATA28">#REF!</definedName>
    <definedName name="Excel_BuiltIn_Print_Titles_9">#REF!</definedName>
    <definedName name="pinangtm">#REF!</definedName>
    <definedName name="StandarHours25_8">#REF!</definedName>
    <definedName name="EX">#REF!</definedName>
    <definedName name="andto">#REF!</definedName>
    <definedName name="EX1800_3">#REF!</definedName>
    <definedName name="_____________MAR99">#REF!</definedName>
    <definedName name="_____________________________________FEB99">#REF!</definedName>
    <definedName name="_JGN23">#REF!</definedName>
    <definedName name="dd04_tab">#REF!</definedName>
    <definedName name="________________________wk45">#REF!</definedName>
    <definedName name="D_B_TIMECAT_QIP_ALL">#REF!</definedName>
    <definedName name="____________________wwp1">#REF!</definedName>
    <definedName name="DATA_ASAL">#REF!</definedName>
    <definedName name="Supers">#REF!</definedName>
    <definedName name="ly">#REF!</definedName>
    <definedName name="I_Eqtype_SQL2IMPS__FN">#REF!</definedName>
    <definedName name="_____________DEP2">#REF!</definedName>
    <definedName name="MP_831">#REF!</definedName>
    <definedName name="D_B_TIMECAT_Q7P_ALL">#REF!</definedName>
    <definedName name="_____RD3">#REF!</definedName>
    <definedName name="KR2HW">#REF!</definedName>
    <definedName name="chtYmajor_4">#REF!</definedName>
    <definedName name="_________________________________________________________g20616">#REF!</definedName>
    <definedName name="D_A_QTYLOADS_EL">#REF!</definedName>
    <definedName name="CL">#REF!</definedName>
    <definedName name="I_B_TIMECAT_Q7P">#REF!</definedName>
    <definedName name="Excel_BuiltIn__FilterDatabase_9">#REF!</definedName>
    <definedName name="_tk7">#REF!</definedName>
    <definedName name="Expl_Bin34">#REF!</definedName>
    <definedName name="___________________wwp2">#REF!</definedName>
    <definedName name="DATA105">#REF!</definedName>
    <definedName name="D_B_STATUS_EIE_ALL">#REF!</definedName>
    <definedName name="DATA76">#REF!</definedName>
    <definedName name="______________________________JAN99">#REF!</definedName>
    <definedName name="primaash">#REF!</definedName>
    <definedName name="D_B_QTYLOADS_DRPEEL_ALL">#REF!</definedName>
    <definedName name="D_YC_LOADER_U_ALL">#REF!</definedName>
    <definedName name="DATA50">#REF!</definedName>
    <definedName name="fdk_18_1_avre">#REF!</definedName>
    <definedName name="D_A_QTYLOADS_DKPL">#REF!</definedName>
    <definedName name="support">#REF!</definedName>
    <definedName name="CFG_Load_Material">#REF!</definedName>
    <definedName name="modellst">#REF!</definedName>
    <definedName name="I_B_TIMECAT_QIPE">#REF!</definedName>
    <definedName name="I_B_MATMOVED_">#REF!</definedName>
    <definedName name="PLAN_MONTHLY_2_1">#REF!</definedName>
    <definedName name="AREA4_8">#REF!</definedName>
    <definedName name="______________________________________MGM1">#REF!</definedName>
    <definedName name="Product_Name">#REF!</definedName>
    <definedName name="제일이자">#REF!</definedName>
    <definedName name="BUDI29">#REF!</definedName>
    <definedName name="D_A_TIMECAT_SEE_ALL">#REF!</definedName>
    <definedName name="SKW_Nutzlast">#REF!</definedName>
    <definedName name="fullfilment">#REF!</definedName>
    <definedName name="Density_AN_row">#REF!</definedName>
    <definedName name="D_B_STATUS_IQE">#REF!</definedName>
    <definedName name="Ausr_Tab">#REF!</definedName>
    <definedName name="_____________________________________________________________________wwp1">#REF!</definedName>
    <definedName name="I_A_QTYLOADS_DL">#REF!</definedName>
    <definedName name="I_B_QTYLOADS_RPL_FN">#REF!</definedName>
    <definedName name="I_B_STATUS_SQ_FN">#REF!</definedName>
    <definedName name="fgfg">#REF!</definedName>
    <definedName name="Item">#REF!</definedName>
    <definedName name="_________________________wk45">#REF!</definedName>
    <definedName name="PMS3HW">#REF!</definedName>
    <definedName name="NO">#REF!</definedName>
    <definedName name="output_9">#REF!</definedName>
    <definedName name="_DWO05">#REF!</definedName>
    <definedName name="I_B_TIMECAT_QDWP">#REF!</definedName>
    <definedName name="I_B_TIMECAT_QSEE">#REF!</definedName>
    <definedName name="LTE">#REF!</definedName>
    <definedName name="ioio">#REF!</definedName>
    <definedName name="__b2">#REF!</definedName>
    <definedName name="WtoD">#REF!</definedName>
    <definedName name="I_B_TIMECAT_QDEE_FN">#REF!</definedName>
    <definedName name="_DIV9">#REF!</definedName>
    <definedName name="STATUS5">#REF!</definedName>
    <definedName name="_________________DEP22">#REF!</definedName>
    <definedName name="TerminalValue">#REF!</definedName>
    <definedName name="____DAT14">#REF!</definedName>
    <definedName name="dsss">#REF!</definedName>
    <definedName name="________________________________________JAN99">#REF!</definedName>
    <definedName name="rr">#REF!</definedName>
    <definedName name="Fdifr">#REF!</definedName>
    <definedName name="FORM241">#REF!</definedName>
    <definedName name="D_A_QTYLOADS_DEL_ALL">#REF!</definedName>
    <definedName name="MMM35A">#REF!</definedName>
    <definedName name="StandarHours5_8">#REF!</definedName>
    <definedName name="I_A_TIMECAT_SEE_FN">#REF!</definedName>
    <definedName name="COUNTER3">#REF!</definedName>
    <definedName name="Month_2023">#REF!</definedName>
    <definedName name="D_B_TIMECAT_ESWP">#REF!</definedName>
    <definedName name="Series_COPAT___FP_5">#REF!</definedName>
    <definedName name="StandarHours16_8">#REF!</definedName>
    <definedName name="Balance_9">#REF!</definedName>
    <definedName name="Clerical">#REF!</definedName>
    <definedName name="Rutin_4d">#REF!</definedName>
    <definedName name="_542PK">#REF!</definedName>
    <definedName name="_RD1">#REF!</definedName>
    <definedName name="PLAN_MONTHLY_19">#REF!</definedName>
    <definedName name="ddff">#REF!</definedName>
    <definedName name="_____________________________DEP22">#REF!</definedName>
    <definedName name="menemani">#REF!</definedName>
    <definedName name="GT">#REF!</definedName>
    <definedName name="KARYAWAN">#REF!</definedName>
    <definedName name="DATA5">#REF!</definedName>
    <definedName name="Skpcls">#REF!</definedName>
    <definedName name="_______________________________________DEC98">#REF!</definedName>
    <definedName name="NPPKU">#REF!</definedName>
    <definedName name="I_A_QTYLOADS_DPL">#REF!</definedName>
    <definedName name="_________________________BS01">#REF!</definedName>
    <definedName name="PIBLN">#REF!</definedName>
    <definedName name="___________________________________________________________________________________________g20616">#REF!</definedName>
    <definedName name="____________________wwp2">#REF!</definedName>
    <definedName name="Data_Plan_7">#REF!</definedName>
    <definedName name="aREA3_8">#REF!</definedName>
    <definedName name="wol_6">#REF!</definedName>
    <definedName name="____________MGM1">#REF!</definedName>
    <definedName name="________LA500">#REF!</definedName>
    <definedName name="D_IC_SQL2IMPS__ALL">#REF!</definedName>
    <definedName name="___________________________b1">#REF!</definedName>
    <definedName name="D_B_TIMECAT_QSEE">#REF!</definedName>
    <definedName name="I_S_QTYLOADS_1">#REF!</definedName>
    <definedName name="I_B_MATMOVED_DEL">#REF!</definedName>
    <definedName name="D_B_TIMECAT_QSWEQMT_DEPTEQMT_OWNR">#REF!</definedName>
    <definedName name="URAIAN912">#REF!</definedName>
    <definedName name="nCat777Tot">#REF!</definedName>
    <definedName name="__Cat330">#REF!</definedName>
    <definedName name="I_A_QTYLOADS_DPEL">#REF!</definedName>
    <definedName name="CFG_Plan_Type">#REF!</definedName>
    <definedName name="FORM819">#REF!</definedName>
    <definedName name="I_B_QTYLOADS_PL_FN">#REF!</definedName>
    <definedName name="Graders_9">#REF!</definedName>
    <definedName name="I_B_LOADER_Q_FN">#REF!</definedName>
    <definedName name="D_A_QTYLOADS_IEL">#REF!</definedName>
    <definedName name="___wwp2">#REF!</definedName>
    <definedName name="D_A_QTYLOADS_DQEEL_ALL">#REF!</definedName>
    <definedName name="D_A_QTYLOADS_DPL_ALL">#REF!</definedName>
    <definedName name="____________________DEP2">#REF!</definedName>
    <definedName name="_______________wk45">#REF!</definedName>
    <definedName name="_iRFWages">#REF!</definedName>
    <definedName name="_2b1_">#REF!</definedName>
    <definedName name="_____________________________________DEC98">#REF!</definedName>
    <definedName name="I_B_MATMOVED_SWPL_FN">#REF!</definedName>
    <definedName name="D_A_QTYLOADS_QPL_ALL">#REF!</definedName>
    <definedName name="add_costs">#REF!</definedName>
    <definedName name="HOUSE">#REF!</definedName>
    <definedName name="InRunRepayLTD3">#REF!</definedName>
    <definedName name="TESTVKEY">#REF!</definedName>
    <definedName name="______________MAR99">#REF!</definedName>
    <definedName name="XRefPaste4Row">#REF!</definedName>
    <definedName name="_MDE62">#REF!</definedName>
    <definedName name="Sensitivity_Coal_Haulage">#REF!</definedName>
    <definedName name="three">#REF!</definedName>
    <definedName name="I_B_STATUS_SEWER">#REF!</definedName>
    <definedName name="__________________________________________BS01">#REF!</definedName>
    <definedName name="I_S_QTYLOADS_EL_FN">#REF!</definedName>
    <definedName name="Thatcm">#REF!</definedName>
    <definedName name="우리원화금리2">#REF!</definedName>
    <definedName name="ok_6">#REF!</definedName>
    <definedName name="____________________________________________________g20616">#REF!</definedName>
    <definedName name="lend">#REF!</definedName>
    <definedName name="D_A_QTYLOADS_DQEXCAV_EQMT_REF01L_ALL">#REF!</definedName>
    <definedName name="grandprimton">#REF!</definedName>
    <definedName name="제일원화2">#REF!</definedName>
    <definedName name="INSITU_2009">#REF!</definedName>
    <definedName name="_______________MAY99">#REF!</definedName>
    <definedName name="month">#REF!</definedName>
    <definedName name="기업원화금리3">#REF!</definedName>
    <definedName name="StandarHours25_9">#REF!</definedName>
    <definedName name="D_D_QTYLOADS_SQL_ALL">#REF!</definedName>
    <definedName name="FrmTbrLink2_8">#REF!</definedName>
    <definedName name="____MAY99">#REF!</definedName>
    <definedName name="__LC500">#REF!</definedName>
    <definedName name="국민원화금리4">#REF!</definedName>
    <definedName name="I_B_MATMOVED_QDE_FN">#REF!</definedName>
    <definedName name="Excel_BuiltIn_Print_Area_33">#REF!</definedName>
    <definedName name="wrgwfwefewfw">#REF!</definedName>
    <definedName name="_811PK">#REF!</definedName>
    <definedName name="DATA58">#REF!</definedName>
    <definedName name="________________APR99">#REF!</definedName>
    <definedName name="BYDYTD">#REF!</definedName>
    <definedName name="Excel_BuiltIn_Print_Area_3">#REF!</definedName>
    <definedName name="nmValue_5">#REF!</definedName>
    <definedName name="_Cat330">#REF!</definedName>
    <definedName name="_________LC250">#REF!</definedName>
    <definedName name="D_B_TIMECAT_Q7P">#REF!</definedName>
    <definedName name="________________________________FEB99">#REF!</definedName>
    <definedName name="DilnRd">#REF!</definedName>
    <definedName name="EPHR_5">#REF!</definedName>
    <definedName name="nCat785">#REF!</definedName>
    <definedName name="I_M_STATUS_QTR_FN">#REF!</definedName>
    <definedName name="StandarHours19">#REF!</definedName>
    <definedName name="_______dep1">#REF!</definedName>
    <definedName name="______________________________________________________________________________________________________________________g20616">#REF!</definedName>
    <definedName name="_MMM19">#REF!</definedName>
    <definedName name="______RP1">#REF!</definedName>
    <definedName name="InForex_9">#REF!</definedName>
    <definedName name="I_B_MATMOVED_DQWPEEL">#REF!</definedName>
    <definedName name="Buma_M">#REF!</definedName>
    <definedName name="_BS01">#REF!</definedName>
    <definedName name="TEST0">#REF!</definedName>
    <definedName name="______MAY99">#REF!</definedName>
    <definedName name="___________MAY99">#REF!</definedName>
    <definedName name="SeriesA_4">#REF!</definedName>
    <definedName name="stunpin">#REF!</definedName>
    <definedName name="D_S_QTYDUMPS_E">#REF!</definedName>
    <definedName name="Trucks_8">#REF!</definedName>
    <definedName name="ZSDG">#REF!</definedName>
    <definedName name="__e1">#REF!</definedName>
    <definedName name="testk_6">#REF!</definedName>
    <definedName name="___________________________________DEC98">#REF!</definedName>
    <definedName name="Q_PROD">#REF!</definedName>
    <definedName name="D_B_TIMECAT_IEEE_ALL">#REF!</definedName>
    <definedName name="RCSATUBE">#REF!</definedName>
    <definedName name="_ME05">#REF!</definedName>
    <definedName name="______________________APR99">#REF!</definedName>
    <definedName name="_EEE23">#REF!</definedName>
    <definedName name="FORM7614e">#REF!</definedName>
    <definedName name="Seam_D3">#REF!</definedName>
    <definedName name="______b1">#REF!</definedName>
    <definedName name="I_B_QTYLOADS_IQPL_FN">#REF!</definedName>
    <definedName name="_ME34">#REF!</definedName>
    <definedName name="I_B_TIMECAT_ESW_FN">#REF!</definedName>
    <definedName name="__________wwp1">#REF!</definedName>
    <definedName name="_____________________________MGM2">#REF!</definedName>
    <definedName name="DATA81">#REF!</definedName>
    <definedName name="ADH">#REF!</definedName>
    <definedName name="D_B_TIMECAT_QDWP">#REF!</definedName>
    <definedName name="EqpId">#REF!</definedName>
    <definedName name="I_A_TIMECAT_DE">#REF!</definedName>
    <definedName name="D_B_MATMOVED_LQD">#REF!</definedName>
    <definedName name="_632PK">#REF!</definedName>
    <definedName name="DATA94">#REF!</definedName>
    <definedName name="하나원화금리4">#REF!</definedName>
    <definedName name="chtYmin">#REF!</definedName>
    <definedName name="selection">#REF!</definedName>
    <definedName name="BALANCE11">#REF!</definedName>
    <definedName name="_412PK">#REF!</definedName>
    <definedName name="SeriesC_4">#REF!</definedName>
    <definedName name="FORM914">#REF!</definedName>
    <definedName name="dina">#REF!</definedName>
    <definedName name="_CHA1100">#REF!</definedName>
    <definedName name="___________________MGM2">#REF!</definedName>
    <definedName name="D_B_QTYLOADS_KL_ALL">#REF!</definedName>
    <definedName name="D_B_TIMECAT_DQPE_ALL">#REF!</definedName>
    <definedName name="DATA23">#REF!</definedName>
    <definedName name="Blast_MTD1">#REF!</definedName>
    <definedName name="Jan">#REF!</definedName>
    <definedName name="BUDI34">#REF!</definedName>
    <definedName name="oooRT">#REF!</definedName>
    <definedName name="CAPACITY_PREP_FRAMES_PER_WEEK">#REF!</definedName>
    <definedName name="Job_Blast_Information_DATAENTRY">#REF!</definedName>
    <definedName name="EX_310">#REF!</definedName>
    <definedName name="_iRFAN">#REF!</definedName>
    <definedName name="I_B_STATUS_QIE_FN">#REF!</definedName>
    <definedName name="Months_6">#REF!</definedName>
    <definedName name="I_B_TIMECAT_QW_FN">#REF!</definedName>
    <definedName name="D_B_STATUS_DQ_ALL">#REF!</definedName>
    <definedName name="MP_815">#REF!</definedName>
    <definedName name="I_B_STATUS_DER">#REF!</definedName>
    <definedName name="totc">#REF!</definedName>
    <definedName name="D_B_STATUS_DE_ALL">#REF!</definedName>
    <definedName name="I_S_QTYLOADS_PF_FN">#REF!</definedName>
    <definedName name="JBFAJLNBFKLKF">#REF!</definedName>
    <definedName name="____DAT13">#REF!</definedName>
    <definedName name="Componet_4">#REF!</definedName>
    <definedName name="_______________________________JAN99">#REF!</definedName>
    <definedName name="AS2StaticLC">#REF!</definedName>
    <definedName name="____________________________JAN99">#REF!</definedName>
    <definedName name="_DIV7">#REF!</definedName>
    <definedName name="___________________________________2_MASTER_SUMMARY_YEARLY">#REF!</definedName>
    <definedName name="_____________________________________________________________________________________g20616">#REF!</definedName>
    <definedName name="I_B_QTYLOADS_L_FN">#REF!</definedName>
    <definedName name="FORM424">#REF!</definedName>
    <definedName name="_________________________________________DEP11">#REF!</definedName>
    <definedName name="I_Y_STATUS__FN">#REF!</definedName>
    <definedName name="envh">#REF!</definedName>
    <definedName name="D_A_TIMECAT_QE_ALL">#REF!</definedName>
    <definedName name="D_B_QTYLOADS_L_ALL">#REF!</definedName>
    <definedName name="_ME35">#REF!</definedName>
    <definedName name="______LC250">#REF!</definedName>
    <definedName name="Hundred_9">#REF!</definedName>
    <definedName name="spp">#REF!</definedName>
    <definedName name="제일원화금리4">#REF!</definedName>
    <definedName name="Expl_Lati">#REF!</definedName>
    <definedName name="Pspr996">#REF!</definedName>
    <definedName name="D_B_TIMECAT_DQ_ALL">#REF!</definedName>
    <definedName name="_432FA">#REF!</definedName>
    <definedName name="_map4">#REF!</definedName>
    <definedName name="LnPEng0">#REF!</definedName>
    <definedName name="외환원화금리0">#REF!</definedName>
    <definedName name="Data_Plan_7_1">#REF!</definedName>
    <definedName name="Srominv">#REF!</definedName>
    <definedName name="COSUBOB11">#REF!</definedName>
    <definedName name="_____________________________wwp1">#REF!</definedName>
    <definedName name="JML_TKLALU">#REF!</definedName>
    <definedName name="Excel_BuiltIn__FilterDatabase_10">#REF!</definedName>
    <definedName name="_MDE68">#REF!</definedName>
    <definedName name="PIT_DET_D2">#REF!</definedName>
    <definedName name="____________________________________g20616">#REF!</definedName>
    <definedName name="SPRD_OB">#REF!</definedName>
    <definedName name="______________________________________________________________________________________g20616">#REF!</definedName>
    <definedName name="D_A_STATUS_DER_ALL">#REF!</definedName>
    <definedName name="DUABELAS">#REF!</definedName>
    <definedName name="D_B_TIMECAT_QSWEE_ALL">#REF!</definedName>
    <definedName name="Squal">#REF!</definedName>
    <definedName name="OPL">#REF!</definedName>
    <definedName name="nik">#REF!</definedName>
    <definedName name="농협원화금리4">#REF!</definedName>
    <definedName name="___DEP11">#REF!</definedName>
    <definedName name="_4Excel_BuiltIn_Print_Titles_1">#REF!</definedName>
    <definedName name="check">#REF!</definedName>
    <definedName name="신한금액">#REF!</definedName>
    <definedName name="Excel_BuiltIn__FilterDatabase_5">#REF!</definedName>
    <definedName name="test_6">#REF!</definedName>
    <definedName name="MP_612">#REF!</definedName>
    <definedName name="Hatari">#REF!</definedName>
    <definedName name="InLTD3">#REF!</definedName>
    <definedName name="_FEB99">#REF!</definedName>
    <definedName name="_841FA">#REF!</definedName>
    <definedName name="DATA84">#REF!</definedName>
    <definedName name="months_year">#REF!</definedName>
    <definedName name="___________RP1">#REF!</definedName>
    <definedName name="Thousand_9">#REF!</definedName>
    <definedName name="D_R_TRUCKCYCLES_DR_ALL">#REF!</definedName>
    <definedName name="_____________________b2">#REF!</definedName>
    <definedName name="_d_1_9">#REF!</definedName>
    <definedName name="LO">#REF!</definedName>
    <definedName name="_________MAR99">#REF!</definedName>
    <definedName name="vDiastolic">#REF!</definedName>
    <definedName name="_ME67">#REF!</definedName>
    <definedName name="DATA96">#REF!</definedName>
    <definedName name="D_B_LOADER_">#REF!</definedName>
    <definedName name="melawanytdts">#REF!</definedName>
    <definedName name="_______wk45">#REF!</definedName>
    <definedName name="________________________________________________________________wwp1">#REF!</definedName>
    <definedName name="I_B_STATUS_Q_FN">#REF!</definedName>
    <definedName name="YUNI">#REF!</definedName>
    <definedName name="LnMTNF1">#REF!</definedName>
    <definedName name="Y">#REF!</definedName>
    <definedName name="myChartType_8">#REF!</definedName>
    <definedName name="_____________________________b2">#REF!</definedName>
    <definedName name="BL_04">#REF!</definedName>
    <definedName name="D_S_QTYLOADS_RLT_ALL">#REF!</definedName>
    <definedName name="BUDI10">#REF!</definedName>
    <definedName name="coal_total">#REF!</definedName>
    <definedName name="FORM232">#REF!</definedName>
    <definedName name="Element">#REF!</definedName>
    <definedName name="_______________________________________________________________________________________________g20616">#REF!</definedName>
    <definedName name="UTAMA">#REF!</definedName>
    <definedName name="COSUBCO1">#REF!</definedName>
    <definedName name="InRunRepayLTD5">#REF!</definedName>
    <definedName name="URAIAN425">#REF!</definedName>
    <definedName name="OPT_GL_11_1">#REF!</definedName>
    <definedName name="Plutonic_US">#REF!</definedName>
    <definedName name="____________wk45">#REF!</definedName>
    <definedName name="QRYOUTSTANDINGINVOICES">#REF!</definedName>
    <definedName name="FORM7612b">#REF!</definedName>
    <definedName name="chtYmax_4">#REF!</definedName>
    <definedName name="_Tax1">#REF!</definedName>
    <definedName name="GYT">#REF!</definedName>
    <definedName name="shanty">#REF!</definedName>
    <definedName name="list06">#REF!</definedName>
    <definedName name="_MMM04">#REF!</definedName>
    <definedName name="BALANCE03">#REF!</definedName>
    <definedName name="COSUBOB6">#REF!</definedName>
    <definedName name="EFOB_Price">#REF!</definedName>
    <definedName name="DIST_20">#REF!</definedName>
    <definedName name="D_B_TIMECAT_SQWE_ALL">#REF!</definedName>
    <definedName name="____________________________________________wwp1">#REF!</definedName>
    <definedName name="DATA35">#REF!</definedName>
    <definedName name="_________DEC98">#REF!</definedName>
    <definedName name="____________________________________BS01">#REF!</definedName>
    <definedName name="list03">#REF!</definedName>
    <definedName name="D_B_QTYLOADS_L">#REF!</definedName>
    <definedName name="________LA1000">#REF!</definedName>
    <definedName name="I_A_TIMECAT_IEPEE">#REF!</definedName>
    <definedName name="VOLV02">#REF!</definedName>
    <definedName name="Response_9">#REF!</definedName>
    <definedName name="hWA800WstTot">#REF!</definedName>
    <definedName name="baoct">#REF!</definedName>
    <definedName name="_Cat375">#REF!</definedName>
    <definedName name="_______________________________________wwp2">#REF!</definedName>
    <definedName name="Dec_98">#REF!</definedName>
    <definedName name="____________________________________________________________________________________________________________________________g20616">#REF!</definedName>
    <definedName name="D_B_STATUS_QER">#REF!</definedName>
    <definedName name="Uraian846">#REF!</definedName>
    <definedName name="sawe">#REF!</definedName>
    <definedName name="PLAN_MONTHLY_6_1">#REF!</definedName>
    <definedName name="D_B_STATUS_DQER_ALL">#REF!</definedName>
    <definedName name="FloorDil">#REF!</definedName>
    <definedName name="I_B_STATUS_DE">#REF!</definedName>
    <definedName name="I_B_TIMECAT_QDE_FN">#REF!</definedName>
    <definedName name="Ship_ETA_ETD">#REF!</definedName>
    <definedName name="MENUD6U">#REF!</definedName>
    <definedName name="______________________________DEC98">#REF!</definedName>
    <definedName name="BL_06">#REF!</definedName>
    <definedName name="D_S_QTYDUMPS_X_ALL">#REF!</definedName>
    <definedName name="StandarHours17_9">#REF!</definedName>
    <definedName name="_CAT05">#REF!</definedName>
    <definedName name="APsummary">#REF!</definedName>
    <definedName name="D_B_MATMOVED_QSWE">#REF!</definedName>
    <definedName name="___________________________________b1">#REF!</definedName>
    <definedName name="BUDI33">#REF!</definedName>
    <definedName name="MP_33">#REF!</definedName>
    <definedName name="Fempl900">#REF!</definedName>
    <definedName name="ik">#REF!</definedName>
    <definedName name="wh_style_4">#REF!</definedName>
    <definedName name="Excel_BuiltIn__FilterDatabase_12_1">#REF!</definedName>
    <definedName name="DETAIL_ASSUMSION">#REF!</definedName>
    <definedName name="StandarHours14_9">#REF!</definedName>
    <definedName name="I_B_QTYLOADS_L">#REF!</definedName>
    <definedName name="UPDATE_LAB_ANALYSIS">#REF!</definedName>
    <definedName name="aREA3">#REF!</definedName>
    <definedName name="I_A_TIMECAT_DWPEE">#REF!</definedName>
    <definedName name="InOverheadPrice">#REF!</definedName>
    <definedName name="______________________________________________________________________________________________________________________________________________g20616">#REF!</definedName>
    <definedName name="D_A_TIMECAT_SQWPEE_ALL">#REF!</definedName>
    <definedName name="_MDE11">#REF!</definedName>
    <definedName name="DATA129">#REF!</definedName>
    <definedName name="___BS01">#REF!</definedName>
    <definedName name="I_B_TIMECAT_ESE">#REF!</definedName>
    <definedName name="D_B_STATUS_QDP_ALL">#REF!</definedName>
    <definedName name="Cost">#REF!</definedName>
    <definedName name="LnMgr1">#REF!</definedName>
    <definedName name="I_A_TIMECAT_IQ">#REF!</definedName>
    <definedName name="D_Y2_STATUS__ALL">#REF!</definedName>
    <definedName name="_____________________________________DEP2">#REF!</definedName>
    <definedName name="TUJUHBELAS">#REF!</definedName>
    <definedName name="_g20617">#REF!</definedName>
    <definedName name="Excel_BuiltIn_Print_Area_26">#REF!</definedName>
    <definedName name="_MDE18">#REF!</definedName>
    <definedName name="XRefCopy11Row">#REF!</definedName>
    <definedName name="sek">#REF!</definedName>
    <definedName name="_EEE19">#REF!</definedName>
    <definedName name="Mayy">#REF!</definedName>
    <definedName name="MP_8111">#REF!</definedName>
    <definedName name="___________________wwp1">#REF!</definedName>
    <definedName name="RC_1B">#REF!</definedName>
    <definedName name="judulkolom">#REF!</definedName>
    <definedName name="I_C_QTYLOADS_SQL_FN">#REF!</definedName>
    <definedName name="BI_2001">#REF!</definedName>
    <definedName name="EKA_6">#REF!</definedName>
    <definedName name="OBtruck_opt2">#REF!</definedName>
    <definedName name="transfer_9">#REF!</definedName>
    <definedName name="Excel_BuiltIn_Print_Area_28">#REF!</definedName>
    <definedName name="D_B_MATMOVED_DEQL_ALL">#REF!</definedName>
    <definedName name="I_B_TIMECAT_QPE_FN">#REF!</definedName>
    <definedName name="WEEKLY3">#REF!</definedName>
    <definedName name="jarak">#REF!</definedName>
    <definedName name="May">#REF!</definedName>
    <definedName name="DATA59">#REF!</definedName>
    <definedName name="Sales_5">#REF!</definedName>
    <definedName name="FDP_37_1_aUrv">#REF!</definedName>
    <definedName name="InLTD2">#REF!</definedName>
    <definedName name="InOBRemoval">#REF!</definedName>
    <definedName name="_EEE02">#REF!</definedName>
    <definedName name="XRefActiveRow">#REF!</definedName>
    <definedName name="I_B_MATMOVED_SQLP_FN">#REF!</definedName>
    <definedName name="___RP1">#REF!</definedName>
    <definedName name="PEDESTRIANROLLER">#REF!</definedName>
    <definedName name="Series_Sales_Growth_9">#REF!</definedName>
    <definedName name="Scheduled_Extra_Payments">#REF!</definedName>
    <definedName name="Z_F542B619_54CD_4F64_997A_B89B579C3987_.wvu.PrintArea">#REF!</definedName>
    <definedName name="Payment_Number">#REF!</definedName>
    <definedName name="____SL4">#REF!</definedName>
    <definedName name="DATA46">#REF!</definedName>
    <definedName name="___w4">#REF!</definedName>
    <definedName name="mno">#REF!</definedName>
    <definedName name="제일예금">#REF!</definedName>
    <definedName name="Excel_BuiltIn__FilterDatabase_11_2">#REF!</definedName>
    <definedName name="efisiensiadr">#REF!</definedName>
    <definedName name="ok_9">#REF!</definedName>
    <definedName name="________________________MAY99">#REF!</definedName>
    <definedName name="D_B_QTYLOADS_IKL">#REF!</definedName>
    <definedName name="Scconv">#REF!</definedName>
    <definedName name="D7R">#REF!</definedName>
    <definedName name="I_S_SHIFT_S_FN">#REF!</definedName>
    <definedName name="rera">#REF!</definedName>
    <definedName name="TESTKEYS">#REF!</definedName>
    <definedName name="melu">#REF!</definedName>
    <definedName name="I_Dept_SQL2IMPS_">#REF!</definedName>
    <definedName name="DZ_007">#REF!</definedName>
    <definedName name="D_B_QTYLOADS_DKPL_ALL">#REF!</definedName>
    <definedName name="_REVCH">#REF!</definedName>
    <definedName name="lpg">#REF!</definedName>
    <definedName name="__b1">#REF!</definedName>
    <definedName name="forecast_8">#REF!</definedName>
    <definedName name="D_A_QTYLOADS_DKPL_ALL">#REF!</definedName>
    <definedName name="_752PK">#REF!</definedName>
    <definedName name="NoPer">#REF!</definedName>
    <definedName name="AN_Stocks">#REF!</definedName>
    <definedName name="___DAT2">#REF!</definedName>
    <definedName name="INCOME11">#REF!</definedName>
    <definedName name="D_Panel_SQL2IMPS_">#REF!</definedName>
    <definedName name="__DAT4">#REF!</definedName>
    <definedName name="Shutdown">#REF!</definedName>
    <definedName name="LnDMgr0">#REF!</definedName>
    <definedName name="D_C_SQL2IMPS_">#REF!</definedName>
    <definedName name="Srecov">#REF!</definedName>
    <definedName name="__________________________BS01">#REF!</definedName>
    <definedName name="Equipment_24">#REF!</definedName>
    <definedName name="BookValComm">#REF!</definedName>
    <definedName name="신한원화1">#REF!</definedName>
    <definedName name="Codes_8">#REF!</definedName>
    <definedName name="EqpQty_KeyID">#REF!</definedName>
    <definedName name="H_1">#REF!</definedName>
    <definedName name="__w2">#REF!</definedName>
    <definedName name="DbMining">#REF!</definedName>
    <definedName name="__DEP22">#REF!</definedName>
    <definedName name="ku">#REF!</definedName>
    <definedName name="EX_418">#REF!</definedName>
    <definedName name="Excel_BuiltIn__FilterDatabase_15">#REF!</definedName>
    <definedName name="I_B_LOADER_DQ">#REF!</definedName>
    <definedName name="___________________________________________________________________g20616">#REF!</definedName>
    <definedName name="_MMM46">#REF!</definedName>
    <definedName name="I_B_TIMECAT_QS">#REF!</definedName>
    <definedName name="FDP_15_1_aUrv">#REF!</definedName>
    <definedName name="OPT_GL_13">#REF!</definedName>
    <definedName name="I_Y1_STATUS_">#REF!</definedName>
    <definedName name="_______________________________MGM1">#REF!</definedName>
    <definedName name="I_B_MATMOVED_DEQL">#REF!</definedName>
    <definedName name="Show_NPAUI___Sales">#REF!</definedName>
    <definedName name="D_B_TIMECAT_SEWE_ALL">#REF!</definedName>
    <definedName name="ahg">#REF!</definedName>
    <definedName name="________________________________________DEP22">#REF!</definedName>
    <definedName name="_MDE01">#REF!</definedName>
    <definedName name="XRefCopy5">#REF!</definedName>
    <definedName name="BJI">#REF!</definedName>
    <definedName name="nugee">#REF!</definedName>
    <definedName name="_813FA">#REF!</definedName>
    <definedName name="_________________________DEP11">#REF!</definedName>
    <definedName name="I_B_TIMECAT_QIPE_FN">#REF!</definedName>
    <definedName name="ruri">#REF!</definedName>
    <definedName name="MKP">#REF!</definedName>
    <definedName name="_CAT02">#REF!</definedName>
    <definedName name="URAIAN772c">#REF!</definedName>
    <definedName name="fsfs_lkkjsa">#REF!</definedName>
    <definedName name="_________________________________________________________________________________________________________________________g20616">#REF!</definedName>
    <definedName name="data3">#REF!</definedName>
    <definedName name="I_B_TIMECAT_ESE_FN">#REF!</definedName>
    <definedName name="I_A_TIMECAT_IEPEE_FN">#REF!</definedName>
    <definedName name="Weekly_LT">#REF!</definedName>
    <definedName name="I_B_MATMOVED__FN">#REF!</definedName>
    <definedName name="envs">#REF!</definedName>
    <definedName name="______________________MGM1">#REF!</definedName>
    <definedName name="Rutin_5e">#REF!</definedName>
    <definedName name="_EEE25">#REF!</definedName>
    <definedName name="I_B_STATUS_EER_FN">#REF!</definedName>
    <definedName name="_MU540435">#REF!</definedName>
    <definedName name="EX_416">#REF!</definedName>
    <definedName name="I_B_STATUS_SQWER">#REF!</definedName>
    <definedName name="경남금액">#REF!</definedName>
    <definedName name="_________________MAY99">#REF!</definedName>
    <definedName name="D_A_QTYLOADS_DEQL">#REF!</definedName>
    <definedName name="dfdfd">#REF!</definedName>
    <definedName name="chtYmajor_9">#REF!</definedName>
    <definedName name="D_B_TIMECAT_Q7">#REF!</definedName>
    <definedName name="cetak13">#REF!</definedName>
    <definedName name="gnhl">#REF!</definedName>
    <definedName name="__________________________________________________________wwp1">#REF!</definedName>
    <definedName name="capConMob">#REF!</definedName>
    <definedName name="_______________________________APR99">#REF!</definedName>
    <definedName name="D_A_QTYLOADS_DPL">#REF!</definedName>
    <definedName name="aas">#REF!</definedName>
    <definedName name="_Fci789">#REF!</definedName>
    <definedName name="DESCRIPTION">#REF!</definedName>
    <definedName name="_ME63">#REF!</definedName>
    <definedName name="_421PK">#REF!</definedName>
    <definedName name="_ME53">#REF!</definedName>
    <definedName name="D_S_QTYLOADS_PF">#REF!</definedName>
    <definedName name="pridb">#REF!</definedName>
    <definedName name="prodstart_BL">#REF!</definedName>
    <definedName name="D_B_STATUS_SQWR">#REF!</definedName>
    <definedName name="MP_312">#REF!</definedName>
    <definedName name="_MDE30">#REF!</definedName>
    <definedName name="BGTBnf">#REF!</definedName>
    <definedName name="motor">#REF!</definedName>
    <definedName name="_________________________g20616">#REF!</definedName>
    <definedName name="CBI">#REF!</definedName>
    <definedName name="nmUCL_4">#REF!</definedName>
    <definedName name="________LA2000">#REF!</definedName>
    <definedName name="D_F_SQL2IMPS_">#REF!</definedName>
    <definedName name="_________________________________________________________________________g20616">#REF!</definedName>
    <definedName name="pts">#REF!</definedName>
    <definedName name="________BS01">#REF!</definedName>
    <definedName name="D_B_QTYLOADS_RPTL">#REF!</definedName>
    <definedName name="_ME57">#REF!</definedName>
    <definedName name="STATUS7">#REF!</definedName>
    <definedName name="하나원화금리3">#REF!</definedName>
    <definedName name="FuelRate">#REF!</definedName>
    <definedName name="_____________________________JAN99">#REF!</definedName>
    <definedName name="qTotalRomTS">#REF!</definedName>
    <definedName name="I_B_TIMECAT_QDWE_FN">#REF!</definedName>
    <definedName name="I_B_STATUS_7QER_FN">#REF!</definedName>
    <definedName name="MENUD8U4">#REF!</definedName>
    <definedName name="DATA_ASAL_7_1">#REF!</definedName>
    <definedName name="FDP_41_1_aUrv">#REF!</definedName>
    <definedName name="I_B_LOADER_DQR_FN">#REF!</definedName>
    <definedName name="ActC03">#REF!</definedName>
    <definedName name="__________________________________________________________________________g20616">#REF!</definedName>
    <definedName name="________________________________________DEP11">#REF!</definedName>
    <definedName name="______________________________________DEP11">#REF!</definedName>
    <definedName name="_MDE43">#REF!</definedName>
    <definedName name="GENSET">#REF!</definedName>
    <definedName name="_____FRY4">#REF!</definedName>
    <definedName name="D_B_TIMECAT_E7W">#REF!</definedName>
    <definedName name="Skpcsales">#REF!</definedName>
    <definedName name="Coal3">#REF!</definedName>
    <definedName name="D_A_TIMECAT_DEP">#REF!</definedName>
    <definedName name="경남원화금리3">#REF!</definedName>
    <definedName name="qPinangRomP">#REF!</definedName>
    <definedName name="_________________________________________________________________________________________________________________________________________________________g20616">#REF!</definedName>
    <definedName name="_______________MGM1">#REF!</definedName>
    <definedName name="Series_NPAUI___Sales_4">#REF!</definedName>
    <definedName name="_____DEP22">#REF!</definedName>
    <definedName name="D_W_SQL2IMPS_">#REF!</definedName>
    <definedName name="___________b2">#REF!</definedName>
    <definedName name="D_B_TIMECAT_QIP">#REF!</definedName>
    <definedName name="GOVTYTD">#REF!</definedName>
    <definedName name="D_A_QTYLOADS_DE_ALL">#REF!</definedName>
    <definedName name="____________________________DEP11">#REF!</definedName>
    <definedName name="Uraian842">#REF!</definedName>
    <definedName name="DMCR3">#REF!</definedName>
    <definedName name="D_A_QTYLOADS_QSE_ALL">#REF!</definedName>
    <definedName name="Swvu.KJP_CC.">#REF!</definedName>
    <definedName name="TABELEXC_8">#REF!</definedName>
    <definedName name="I_B_STATUS_7Q">#REF!</definedName>
    <definedName name="othman_99">#REF!</definedName>
    <definedName name="_MDE33">#REF!</definedName>
    <definedName name="I_F_TRUCKCYCLES_SK_FN">#REF!</definedName>
    <definedName name="I_B_MATMOVED_QDE">#REF!</definedName>
    <definedName name="qPCIRomP">#REF!</definedName>
    <definedName name="qAreaDistCon">#REF!</definedName>
    <definedName name="CFG_Period_Selection">#REF!</definedName>
    <definedName name="I_B_TIMECAT_QSE">#REF!</definedName>
    <definedName name="I_S_QTYLOADS_EO">#REF!</definedName>
    <definedName name="I_A_QTYLOADS_DEQL_FN">#REF!</definedName>
    <definedName name="DK25_">#REF!</definedName>
    <definedName name="D_B_MATMOVED_DE">#REF!</definedName>
    <definedName name="RCArea">#REF!</definedName>
    <definedName name="StandarHours22_8">#REF!</definedName>
    <definedName name="ITRate1">#REF!</definedName>
    <definedName name="D_Equipt_SQL2IMPS_">#REF!</definedName>
    <definedName name="feb">#REF!</definedName>
    <definedName name="D_A_QTYLOADS_7QL_ALL">#REF!</definedName>
    <definedName name="tonnes2">#REF!</definedName>
    <definedName name="dozeradr">#REF!</definedName>
    <definedName name="capEnvSup">#REF!</definedName>
    <definedName name="sa">#REF!</definedName>
    <definedName name="외환원화금리1">#REF!</definedName>
    <definedName name="D_A_TIMECAT_QWPEE_ALL">#REF!</definedName>
    <definedName name="datatkk1">#REF!</definedName>
    <definedName name="I_B_STATUS_EDPE_FN">#REF!</definedName>
    <definedName name="I_B_QTYLOADS_IRPL_FN">#REF!</definedName>
    <definedName name="_DEP2">#REF!</definedName>
    <definedName name="Rutin_1f">#REF!</definedName>
    <definedName name="ID_SS">#REF!</definedName>
    <definedName name="___________________________________DEP11">#REF!</definedName>
    <definedName name="__LA500">#REF!</definedName>
    <definedName name="_433FA">#REF!</definedName>
    <definedName name="TUJUAN">#REF!</definedName>
    <definedName name="MENUD6F2">#REF!</definedName>
    <definedName name="D_A_QTYLOADS_QSWE">#REF!</definedName>
    <definedName name="D_A_STATUS_7QR">#REF!</definedName>
    <definedName name="_712FA">#REF!</definedName>
    <definedName name="I_A_QTYLOADS_SQL_FN">#REF!</definedName>
    <definedName name="BlankRange">#REF!</definedName>
    <definedName name="ACwvu.Japan_Capers_Ed_Pub.">#REF!</definedName>
    <definedName name="___________JAN99">#REF!</definedName>
    <definedName name="AVA">#REF!</definedName>
    <definedName name="esa">#REF!</definedName>
    <definedName name="____2_MASTER_SUMMARY_YEARLY">#REF!</definedName>
    <definedName name="I_Y_STATUS_">#REF!</definedName>
    <definedName name="____________________________________MAY99">#REF!</definedName>
    <definedName name="I_S_QTYLOADS_PLE_FN">#REF!</definedName>
    <definedName name="___DAT9">#REF!</definedName>
    <definedName name="___________________APR99">#REF!</definedName>
    <definedName name="Shifts_9">#REF!</definedName>
    <definedName name="D_A_QTYLOADS_QPEL">#REF!</definedName>
    <definedName name="asmo3">#REF!</definedName>
    <definedName name="No_DD05">#REF!</definedName>
    <definedName name="D_S_QTYLOADS_SL">#REF!</definedName>
    <definedName name="Jul_98">#REF!</definedName>
    <definedName name="D_B_STATUS_IE_ALL">#REF!</definedName>
    <definedName name="Rwvu.Japan_Capers_Ed_Pub.">#REF!</definedName>
    <definedName name="I_B_STATUS_7Q_FN">#REF!</definedName>
    <definedName name="COSUBOB3">#REF!</definedName>
    <definedName name="________________wwp1">#REF!</definedName>
    <definedName name="____________________________________b1">#REF!</definedName>
    <definedName name="_ME11">#REF!</definedName>
    <definedName name="FDP_39_1_aUrv">#REF!</definedName>
    <definedName name="SHEET">#REF!</definedName>
    <definedName name="_634FA">#REF!</definedName>
    <definedName name="I_B_TIMECAT_SQW_FN">#REF!</definedName>
    <definedName name="_GO_TO_A_">#REF!</definedName>
    <definedName name="DATA21">#REF!</definedName>
    <definedName name="Prod_Date">#REF!</definedName>
    <definedName name="HiddenRows">#REF!</definedName>
    <definedName name="_________LA1000">#REF!</definedName>
    <definedName name="License_No.">#REF!</definedName>
    <definedName name="______MGM2">#REF!</definedName>
    <definedName name="PICA2">#REF!</definedName>
    <definedName name="_wwp1">#REF!</definedName>
    <definedName name="_Regression_Out">#REF!</definedName>
    <definedName name="D_B_STATUS_IEEE_ALL">#REF!</definedName>
    <definedName name="_MDE28">#REF!</definedName>
    <definedName name="____________g20616">#REF!</definedName>
    <definedName name="backadr">#REF!</definedName>
    <definedName name="URAIAN95">#REF!</definedName>
    <definedName name="StandarHours16">#REF!</definedName>
    <definedName name="Alamat">#REF!</definedName>
    <definedName name="__FRY4">#REF!</definedName>
    <definedName name="Excel_BuiltIn_Print_Area_13">#REF!</definedName>
    <definedName name="_______________________________wwp1">#REF!</definedName>
    <definedName name="I_M_TIMECAT_">#REF!</definedName>
    <definedName name="D_B_TIMECAT_IE_ALL">#REF!</definedName>
    <definedName name="VhcList">#REF!</definedName>
    <definedName name="Dist_C">#REF!</definedName>
    <definedName name="Nr">#REF!</definedName>
    <definedName name="Qry_ForExcell">#REF!</definedName>
    <definedName name="add">#REF!</definedName>
    <definedName name="Excel_BuiltIn__FilterDatabase_10_1">#REF!</definedName>
    <definedName name="I_S_QTYLOADS_M">#REF!</definedName>
    <definedName name="Series_NPAUI___Sales">#REF!</definedName>
    <definedName name="__________________MAR99">#REF!</definedName>
    <definedName name="data0">#REF!</definedName>
    <definedName name="_iueqiwue">#REF!</definedName>
    <definedName name="CFG_Save_Key">#REF!</definedName>
    <definedName name="fullfilment_3">#REF!</definedName>
    <definedName name="TESTDFG">#REF!</definedName>
    <definedName name="I_B_STATUS_Q">#REF!</definedName>
    <definedName name="D_B_LOADER_SE">#REF!</definedName>
    <definedName name="________________g20616">#REF!</definedName>
    <definedName name="_qrewqerq">#REF!</definedName>
    <definedName name="Lastmonth">#REF!</definedName>
    <definedName name="Series_NPAUI___Sales_8">#REF!</definedName>
    <definedName name="FORM97">#REF!</definedName>
    <definedName name="_______________DEP22">#REF!</definedName>
    <definedName name="_______________________wwp1">#REF!</definedName>
    <definedName name="I_S_LOADERCYCLES_">#REF!</definedName>
    <definedName name="D_B_MATMOVED_DEEQL_ALL">#REF!</definedName>
    <definedName name="URAIAN522">#REF!</definedName>
    <definedName name="________________________________DEC98">#REF!</definedName>
    <definedName name="I_B_STATUS_QHPE">#REF!</definedName>
    <definedName name="Hari3">#REF!</definedName>
    <definedName name="DIST_17">#REF!</definedName>
    <definedName name="Series_Leverage_9">#REF!</definedName>
    <definedName name="D_S_LOADERCYCLES__ALL">#REF!</definedName>
    <definedName name="I_A_QTYLOADS_IL">#REF!</definedName>
    <definedName name="D_B_STATUS_QI_ALL">#REF!</definedName>
    <definedName name="Excel_BuiltIn__FilterDatabase_3">#REF!</definedName>
    <definedName name="Fempl400">#REF!</definedName>
    <definedName name="D_Y2_PLANS_">#REF!</definedName>
    <definedName name="ModelList">#REF!</definedName>
    <definedName name="ghghgh">#REF!</definedName>
    <definedName name="HI_1A">#REF!</definedName>
    <definedName name="Exctvr">#REF!</definedName>
    <definedName name="I_B_TIMECAT_EW">#REF!</definedName>
    <definedName name="qDomConv">#REF!</definedName>
    <definedName name="February">#REF!</definedName>
    <definedName name="_753PK">#REF!</definedName>
    <definedName name="PLAN_9_1">#REF!</definedName>
    <definedName name="D_A_STATUS_DEPR">#REF!</definedName>
    <definedName name="hourly_1">#REF!</definedName>
    <definedName name="DATA75">#REF!</definedName>
    <definedName name="AAsfsf">#REF!</definedName>
    <definedName name="I_B_TIMECAT_QSWPE_FN">#REF!</definedName>
    <definedName name="BALANCE07">#REF!</definedName>
    <definedName name="basep">#REF!</definedName>
    <definedName name="D_B_TIMECAT_7EE_ALL">#REF!</definedName>
    <definedName name="_____________MAY99">#REF!</definedName>
    <definedName name="__APR99">#REF!</definedName>
    <definedName name="FDP_22_1_aUrv">#REF!</definedName>
    <definedName name="lt">#REF!</definedName>
    <definedName name="SIRTU">#REF!</definedName>
    <definedName name="CN_UNIT">#REF!</definedName>
    <definedName name="I_B_TIMECAT_SQWPE">#REF!</definedName>
    <definedName name="StandarHours29_8">#REF!</definedName>
    <definedName name="_________________________________JAN99">#REF!</definedName>
    <definedName name="baaug">#REF!</definedName>
    <definedName name="_____________________________wwp2">#REF!</definedName>
    <definedName name="FF">#REF!</definedName>
    <definedName name="DATA118">#REF!</definedName>
    <definedName name="_MMM29">#REF!</definedName>
    <definedName name="_________________________________________b1">#REF!</definedName>
    <definedName name="plandown2">#REF!</definedName>
    <definedName name="______________________2_MASTER_SUMMARY_YEARLY">#REF!</definedName>
    <definedName name="D_S_QTYLOADS_RLT">#REF!</definedName>
    <definedName name="all">#REF!</definedName>
    <definedName name="D_D_TRUCKCYCLES_DRT">#REF!</definedName>
    <definedName name="I_S_QTYLOADS_S">#REF!</definedName>
    <definedName name="Tkpccont">#REF!</definedName>
    <definedName name="_MMM44">#REF!</definedName>
    <definedName name="I_A_QTYLOADS_DPEL_FN">#REF!</definedName>
    <definedName name="DATA131">#REF!</definedName>
    <definedName name="StandarHours10">#REF!</definedName>
    <definedName name="I_A_QTYLOADS_QL">#REF!</definedName>
    <definedName name="Multi_B">#REF!</definedName>
    <definedName name="StandarHours12_8">#REF!</definedName>
    <definedName name="WBS">#REF!</definedName>
    <definedName name="___________________________RP1">#REF!</definedName>
    <definedName name="MP_731">#REF!</definedName>
    <definedName name="MENUD6">#REF!</definedName>
    <definedName name="I_A_QTYLOADS_QSE">#REF!</definedName>
    <definedName name="vol">#REF!</definedName>
    <definedName name="nCat789">#REF!</definedName>
    <definedName name="________________________________________________________________________________________________________________________________________g20616">#REF!</definedName>
    <definedName name="DATA31">#REF!</definedName>
    <definedName name="Print_Area_MI">#REF!</definedName>
    <definedName name="Prod_OB_haul">#REF!</definedName>
    <definedName name="I_B_MATMOVED_DQWPL_FN">#REF!</definedName>
    <definedName name="BAL_5">#REF!</definedName>
    <definedName name="D_B_TIMECAT_QSW_ALL">#REF!</definedName>
    <definedName name="StandarHours18">#REF!</definedName>
    <definedName name="D_A_QTYLOADS_DPEEL_ALL">#REF!</definedName>
    <definedName name="LTT">#REF!</definedName>
    <definedName name="________________________________________________________________________________g20616">#REF!</definedName>
    <definedName name="NAMA_OPT">#REF!</definedName>
    <definedName name="JML_TK11">#REF!</definedName>
    <definedName name="___________________________________wwp1">#REF!</definedName>
    <definedName name="URAIAN542">#REF!</definedName>
    <definedName name="A_6">#REF!</definedName>
    <definedName name="Beg_Bal">#REF!</definedName>
    <definedName name="I_B_TIMECAT_ES">#REF!</definedName>
    <definedName name="D_B_STATUS_7Q_ALL">#REF!</definedName>
    <definedName name="I_B_TIMECAT_7Q_FN">#REF!</definedName>
    <definedName name="qPCIConv">#REF!</definedName>
    <definedName name="_MMM54">#REF!</definedName>
    <definedName name="__g20616">#REF!</definedName>
    <definedName name="D_X_STATUS_">#REF!</definedName>
    <definedName name="Fuel_Provided_8">#REF!</definedName>
    <definedName name="MATERIAL_8">#REF!</definedName>
    <definedName name="D_B_TIMECAT_EE_ALL">#REF!</definedName>
    <definedName name="______________________________BS01">#REF!</definedName>
    <definedName name="_______2_MASTER_SUMMARY_YEARLY">#REF!</definedName>
    <definedName name="_Pb">#REF!</definedName>
    <definedName name="SKW_Modell">#REF!</definedName>
    <definedName name="G_1">#REF!</definedName>
    <definedName name="qMelRomP">#REF!</definedName>
    <definedName name="D_A_QTYLOADS_DQQQQL">#REF!</definedName>
    <definedName name="UPAH10">#REF!</definedName>
    <definedName name="PLAN_LOST_TIME">#REF!</definedName>
    <definedName name="I_B_QTYLOADS_SWPTTL_FN">#REF!</definedName>
    <definedName name="우리원화1">#REF!</definedName>
    <definedName name="Loaders_9">#REF!</definedName>
    <definedName name="YearStart">#REF!</definedName>
    <definedName name="________________________________DEP22">#REF!</definedName>
    <definedName name="________________BS01">#REF!</definedName>
    <definedName name="Writing_down_allowance">#REF!</definedName>
    <definedName name="___________________________________________DEP11">#REF!</definedName>
    <definedName name="D_B_QTYLOADS_DL_ALL">#REF!</definedName>
    <definedName name="padm">#REF!</definedName>
    <definedName name="StandarHours9_8">#REF!</definedName>
    <definedName name="Fkpcob">#REF!</definedName>
    <definedName name="FORM911">#REF!</definedName>
    <definedName name="I_R_TRUCKCYCLES_DR">#REF!</definedName>
    <definedName name="SES">#REF!</definedName>
    <definedName name="I_A_QTYLOADS_DEQL">#REF!</definedName>
    <definedName name="I_B_STATUS_SER">#REF!</definedName>
    <definedName name="D_B_SQL2IMPS__ALL">#REF!</definedName>
    <definedName name="______________________________g20616">#REF!</definedName>
    <definedName name="I_A_SQL2IMPS__FN">#REF!</definedName>
    <definedName name="B15BC">#REF!</definedName>
    <definedName name="__________________________g20616">#REF!</definedName>
    <definedName name="_EUC05">#REF!</definedName>
    <definedName name="Tpitinv">#REF!</definedName>
    <definedName name="_nWA800">#REF!</definedName>
    <definedName name="I_N_PLANS_7">#REF!</definedName>
    <definedName name="weekly_mar">#REF!</definedName>
    <definedName name="prodstart_LH">#REF!</definedName>
    <definedName name="I_A_QTYLOADS_DKPL_FN">#REF!</definedName>
    <definedName name="Excel_BuiltIn_Print_Area_10_20">#REF!</definedName>
    <definedName name="I_B_QTYLOADS_IKL">#REF!</definedName>
    <definedName name="June">#REF!</definedName>
    <definedName name="ADJ">#REF!</definedName>
    <definedName name="ConveyedQuarterly">#REF!</definedName>
    <definedName name="Uraian346">#REF!</definedName>
    <definedName name="_______________________________________________wwp2">#REF!</definedName>
    <definedName name="_______________________________________________________________wwp1">#REF!</definedName>
    <definedName name="dkttktk">#REF!</definedName>
    <definedName name="Forecast45_9">#REF!</definedName>
    <definedName name="____LC2000">#REF!</definedName>
    <definedName name="ITEM_PEMBAYARAN_No.">#REF!</definedName>
    <definedName name="I_B_TIMECAT_QSW_FN">#REF!</definedName>
    <definedName name="__BMA35">#REF!</definedName>
    <definedName name="Sspr996">#REF!</definedName>
    <definedName name="D_B_MATMOVED_L">#REF!</definedName>
    <definedName name="______________________b1">#REF!</definedName>
    <definedName name="_DIV2">#REF!</definedName>
    <definedName name="DATA72">#REF!</definedName>
    <definedName name="_Tax3">#REF!</definedName>
    <definedName name="I_A_QTYLOADS_DQPEL">#REF!</definedName>
    <definedName name="D_B_QTYLOADS_IL_ALL">#REF!</definedName>
    <definedName name="FrmTbrLink2_9">#REF!</definedName>
    <definedName name="_____________________MGM2">#REF!</definedName>
    <definedName name="BTS1FW">#REF!</definedName>
    <definedName name="HAPUS">#REF!</definedName>
    <definedName name="D_B_LOADER_DQ">#REF!</definedName>
    <definedName name="EMPAT">#REF!</definedName>
    <definedName name="excavatorbtbr">#REF!</definedName>
    <definedName name="D_IC_SQL2IMPS_">#REF!</definedName>
    <definedName name="FS2B_Copy">#REF!</definedName>
    <definedName name="I_Owner_SQL2IMPS_">#REF!</definedName>
    <definedName name="RangeOpen">#REF!</definedName>
    <definedName name="_ME10">#REF!</definedName>
    <definedName name="___mid04">#REF!</definedName>
    <definedName name="SheetNumber">#REF!</definedName>
    <definedName name="ANIMATION_MUST_START">#REF!</definedName>
    <definedName name="D_A_QTYLOADS_IEL_ALL">#REF!</definedName>
    <definedName name="I_B_MATMOVED_SQL">#REF!</definedName>
    <definedName name="D_B_QTYLOADS_SWPTTL_ALL">#REF!</definedName>
    <definedName name="_MU540443">#REF!</definedName>
    <definedName name="LTK">#REF!</definedName>
    <definedName name="nmValue_4">#REF!</definedName>
    <definedName name="_MDE54">#REF!</definedName>
    <definedName name="LTCoal">#REF!</definedName>
    <definedName name="WkRevCoalMining">#REF!</definedName>
    <definedName name="May_98">#REF!</definedName>
    <definedName name="D_B_MATMOVED_DEL_ALL">#REF!</definedName>
    <definedName name="_10b2_">#REF!</definedName>
    <definedName name="LIST_11">#REF!</definedName>
    <definedName name="하나금액">#REF!</definedName>
    <definedName name="D_S_QTYLOADS_E">#REF!</definedName>
    <definedName name="D_B_TIMECAT_Q7E_ALL">#REF!</definedName>
    <definedName name="Coal_Haulage_8">#REF!</definedName>
    <definedName name="_______________________________________dep1">#REF!</definedName>
    <definedName name="SD">#REF!</definedName>
    <definedName name="Category_4">#REF!</definedName>
    <definedName name="test3">#REF!</definedName>
    <definedName name="__________________________________________________________________________________________________________g20616">#REF!</definedName>
    <definedName name="D_B_SQL2MMS__ALL">#REF!</definedName>
    <definedName name="D_A_QTYLOADS_7L">#REF!</definedName>
    <definedName name="DATA98">#REF!</definedName>
    <definedName name="Eq_8">#REF!</definedName>
    <definedName name="URAIAN918">#REF!</definedName>
    <definedName name="S_U">#REF!</definedName>
    <definedName name="____________________b1">#REF!</definedName>
    <definedName name="I_B_TIMECAT_QDP_FN">#REF!</definedName>
    <definedName name="FDP_5_1_aDrv">#REF!</definedName>
    <definedName name="_mid04">#REF!</definedName>
    <definedName name="____LC250">#REF!</definedName>
    <definedName name="_SAP02">#REF!</definedName>
    <definedName name="InWasteRemoval">#REF!</definedName>
    <definedName name="_________dep1">#REF!</definedName>
    <definedName name="DATA90">#REF!</definedName>
    <definedName name="capFixPlnt">#REF!</definedName>
    <definedName name="Drills">#REF!</definedName>
    <definedName name="DbHRD">#REF!</definedName>
    <definedName name="PAMA">#REF!</definedName>
    <definedName name="EMPATBELAS">#REF!</definedName>
    <definedName name="I_B_TIMECAT_QDPEE">#REF!</definedName>
    <definedName name="Date_6">#REF!</definedName>
    <definedName name="envl">#REF!</definedName>
    <definedName name="D_B_STATUS_DQ">#REF!</definedName>
    <definedName name="D_S_QTYDumpsQ_EL_ALL">#REF!</definedName>
    <definedName name="nmL2s">#REF!</definedName>
    <definedName name="I_B_TIMECAT_Q7W_FN">#REF!</definedName>
    <definedName name="_MU540450">#REF!</definedName>
    <definedName name="Rutin_5d">#REF!</definedName>
    <definedName name="외환원화1">#REF!</definedName>
    <definedName name="five">#REF!</definedName>
    <definedName name="Vehicles_8">#REF!</definedName>
    <definedName name="series_llllll_5">#REF!</definedName>
    <definedName name="____________DEP11">#REF!</definedName>
    <definedName name="URAIAN323L">#REF!</definedName>
    <definedName name="D_S_IQTYLOADS_E_ALL">#REF!</definedName>
    <definedName name="_MU329631">#REF!</definedName>
    <definedName name="D_A_QTYLOADS_SWL_ALL">#REF!</definedName>
    <definedName name="XREF_COLUMN_6">#REF!</definedName>
    <definedName name="_______________________DEC98">#REF!</definedName>
    <definedName name="_845PK">#REF!</definedName>
    <definedName name="n996_">#REF!</definedName>
    <definedName name="Series_NOPAT___FP">#REF!</definedName>
    <definedName name="_________DEP22">#REF!</definedName>
    <definedName name="Uraian234">#REF!</definedName>
    <definedName name="D_B_STATUS_Q7E">#REF!</definedName>
    <definedName name="____________________BS01">#REF!</definedName>
    <definedName name="D_S_QTYLOADS_S">#REF!</definedName>
    <definedName name="D_Dept_SQL2IMPS__ALL">#REF!</definedName>
    <definedName name="FormsToolbarLink_9">#REF!</definedName>
    <definedName name="I_R_TIMECAT_DE">#REF!</definedName>
    <definedName name="Tsurob">#REF!</definedName>
    <definedName name="I_S_QTYLOADS_FX_FN">#REF!</definedName>
    <definedName name="CFG_Results_Sheets">#REF!</definedName>
    <definedName name="ZD">#REF!</definedName>
    <definedName name="산업이자">#REF!</definedName>
    <definedName name="Web">#REF!</definedName>
    <definedName name="제일원화금리3">#REF!</definedName>
    <definedName name="D_B_LOADER_Q_ALL">#REF!</definedName>
    <definedName name="D_Y_TIMECAT_Q">#REF!</definedName>
    <definedName name="hPC1000WstTot">#REF!</definedName>
    <definedName name="_g20616">#REF!</definedName>
    <definedName name="LAPANBELAS">#REF!</definedName>
    <definedName name="StandarHours5">#REF!</definedName>
    <definedName name="DATA95">#REF!</definedName>
    <definedName name="I_B_TIMECAT_QDW_FN">#REF!</definedName>
    <definedName name="동양원화금리3">#REF!</definedName>
    <definedName name="D_B_TIMECAT_QP_ALL">#REF!</definedName>
    <definedName name="I_B_TIMECAT_EE">#REF!</definedName>
    <definedName name="__________________FEB99">#REF!</definedName>
    <definedName name="D_A_QTYLOADS_QL">#REF!</definedName>
    <definedName name="_2_MASTER_SUMMARY_YEARLY">#REF!</definedName>
    <definedName name="Wh">#REF!</definedName>
    <definedName name="I_S_LOADERCYCLES__FN">#REF!</definedName>
    <definedName name="five1">#REF!</definedName>
    <definedName name="OPT_GL_2">#REF!</definedName>
    <definedName name="MP_7121">#REF!</definedName>
    <definedName name="series_9">#REF!</definedName>
    <definedName name="Fbinob">#REF!</definedName>
    <definedName name="D_S_QTYLOADS_EO_ALL">#REF!</definedName>
    <definedName name="FORM319">#REF!</definedName>
    <definedName name="qsqws">#REF!</definedName>
    <definedName name="lost">#REF!</definedName>
    <definedName name="_________________________b2">#REF!</definedName>
    <definedName name="D_B_TIMECAT_QW">#REF!</definedName>
    <definedName name="Schaufel">#REF!</definedName>
    <definedName name="Areas_9">#REF!</definedName>
    <definedName name="DEDICATED_UNIT">#REF!</definedName>
    <definedName name="D_B_TIMECAT_QI_ALL">#REF!</definedName>
    <definedName name="OBFOR">#REF!</definedName>
    <definedName name="D_B_STATUS_DEER">#REF!</definedName>
    <definedName name="StandarHours11">#REF!</definedName>
    <definedName name="nmL2s_9">#REF!</definedName>
    <definedName name="Rutin_3b">#REF!</definedName>
    <definedName name="_____________JAN99">#REF!</definedName>
    <definedName name="LIST_12">#REF!</definedName>
    <definedName name="Sempl100">#REF!</definedName>
    <definedName name="GHIFAR">#REF!</definedName>
    <definedName name="_______LC1000">#REF!</definedName>
    <definedName name="D_B_TIMECAT_QDW_ALL">#REF!</definedName>
    <definedName name="I_A_QTYLOADS_7EL">#REF!</definedName>
    <definedName name="E_2">#REF!</definedName>
    <definedName name="__________________________MGM1">#REF!</definedName>
    <definedName name="MENUD4U2">#REF!</definedName>
    <definedName name="StandarHours12_9">#REF!</definedName>
    <definedName name="I_B_TRUCKCYCLES_DQ_FN">#REF!</definedName>
    <definedName name="DDDDDDDDDDDDDDDDDDDDDDDDDDDDDDDDDD">#REF!</definedName>
    <definedName name="I_B_STATUS_DER_FN">#REF!</definedName>
    <definedName name="________________________2_MASTER_SUMMARY_YEARLY">#REF!</definedName>
    <definedName name="YTD_8">#REF!</definedName>
    <definedName name="_tk9">#REF!</definedName>
    <definedName name="qa">#REF!</definedName>
    <definedName name="__________________wk45">#REF!</definedName>
    <definedName name="Inventory_ROM">#REF!</definedName>
    <definedName name="_MDE27">#REF!</definedName>
    <definedName name="I_B_QTYLOADS_DTL_FN">#REF!</definedName>
    <definedName name="ExcavatorList">#REF!</definedName>
    <definedName name="_RD2">#REF!</definedName>
    <definedName name="Unit_Model">#REF!</definedName>
    <definedName name="I_S_QTYLOADS_DP">#REF!</definedName>
    <definedName name="I_Y_STATUS_QI_FN">#REF!</definedName>
    <definedName name="I_B_TIMECAT_ESWP">#REF!</definedName>
    <definedName name="D_A_QTYLOADS_IEPL">#REF!</definedName>
    <definedName name="I_B_TIMECAT_DQ">#REF!</definedName>
    <definedName name="URAIAN716">#REF!</definedName>
    <definedName name="Job_Blast_Information">#REF!</definedName>
    <definedName name="Shatob">#REF!</definedName>
    <definedName name="August">#REF!</definedName>
    <definedName name="bcmxdist">#REF!</definedName>
    <definedName name="__________________________________________________________________________________________________________________________________________________g20616">#REF!</definedName>
    <definedName name="____________________________wk45">#REF!</definedName>
    <definedName name="fgre">#REF!</definedName>
    <definedName name="No_of_charts">#REF!</definedName>
    <definedName name="I_B_STATUS_EER">#REF!</definedName>
    <definedName name="D_B_QTYLOADS_7L">#REF!</definedName>
    <definedName name="DATA6">#REF!</definedName>
    <definedName name="________2_MASTER_SUMMARY_YEARLY">#REF!</definedName>
    <definedName name="Seam_C2">#REF!</definedName>
    <definedName name="_l">#REF!</definedName>
    <definedName name="RD_033">#REF!</definedName>
    <definedName name="_tk1">#REF!</definedName>
    <definedName name="________________________________________________________________________________________________g20616">#REF!</definedName>
    <definedName name="nmU1s_8">#REF!</definedName>
    <definedName name="H_2">#REF!</definedName>
    <definedName name="________________MGM1">#REF!</definedName>
    <definedName name="BA_Fuel_Consumtion">#REF!</definedName>
    <definedName name="RD_045">#REF!</definedName>
    <definedName name="LTG">#REF!</definedName>
    <definedName name="nmU2s_6">#REF!</definedName>
    <definedName name="Excel_BuiltIn_Print_Area_11">#REF!</definedName>
    <definedName name="DIST_8">#REF!</definedName>
    <definedName name="I_B_QTYLOADS_IQPL">#REF!</definedName>
    <definedName name="man_ratios">#REF!</definedName>
    <definedName name="Tspr996">#REF!</definedName>
    <definedName name="abd">#REF!</definedName>
    <definedName name="COS">#REF!</definedName>
    <definedName name="우리원화3">#REF!</definedName>
    <definedName name="_MMM40">#REF!</definedName>
    <definedName name="___________________________DEC98">#REF!</definedName>
    <definedName name="WH_C">#REF!</definedName>
    <definedName name="_MMM32">#REF!</definedName>
    <definedName name="myChtNumbers_8">#REF!</definedName>
    <definedName name="N_R">#REF!</definedName>
    <definedName name="I_A_STATUS_QR_FN">#REF!</definedName>
    <definedName hidden="1" localSheetId="4" name="_xlnm._FilterDatabase">'DUMMY DATA'!$B$2:$E$40</definedName>
  </definedNames>
  <calcPr/>
  <extLst>
    <ext uri="GoogleSheetsCustomDataVersion2">
      <go:sheetsCustomData xmlns:go="http://customooxmlschemas.google.com/" r:id="rId238" roundtripDataChecksum="dJ0hK5XqZ+GWUO27RuO4JXTPmJeKUw3g+g8X8TRo7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7">
      <text>
        <t xml:space="preserve">======
ID#AAACE1LXlAM
Arti Kusuma Hidayat    (2026-08-05 00:27:11)
menggunakan fuel cons handbook 2025</t>
      </text>
    </comment>
    <comment authorId="0" ref="E36">
      <text>
        <t xml:space="preserve">======
ID#AAACE1LXlAA
Arti Kusuma Hidayat    (2026-08-05 00:27:11)
menggunakan fuel cons handbook 2025</t>
      </text>
    </comment>
    <comment authorId="0" ref="E35">
      <text>
        <t xml:space="preserve">======
ID#AAACE1NJ_0c
Arti Kusuma Hidayat    (2026-08-05 00:27:11)
menggunakan fuel cons handbook 2025</t>
      </text>
    </comment>
    <comment authorId="0" ref="E34">
      <text>
        <t xml:space="preserve">======
ID#AAACE1LXk_0
Arti Kusuma Hidayat    (2026-08-05 00:27:11)
menggunakan fuel cons handbook 2025</t>
      </text>
    </comment>
    <comment authorId="0" ref="E33">
      <text>
        <t xml:space="preserve">======
ID#AAACE1NJ_0g
Arti Kusuma Hidayat    (2026-08-05 00:27:11)
menggunakan fuel cons handbook 2025</t>
      </text>
    </comment>
    <comment authorId="0" ref="E32">
      <text>
        <t xml:space="preserve">======
ID#AAACE1LXlAI
Arti Kusuma Hidayat    (2026-08-05 00:27:11)
menggunakan fuel cons handbook 2025</t>
      </text>
    </comment>
    <comment authorId="0" ref="E31">
      <text>
        <t xml:space="preserve">======
ID#AAACE1LXk_4
Arti Kusuma Hidayat    (2026-08-05 00:27:11)
menggunakan fuel cons handbook 2025</t>
      </text>
    </comment>
    <comment authorId="0" ref="E30">
      <text>
        <t xml:space="preserve">======
ID#AAACE1LXlAE
Arti Kusuma Hidayat    (2026-08-05 00:27:11)
menggunakan fuel cons handbook 2025</t>
      </text>
    </comment>
    <comment authorId="0" ref="A26">
      <text>
        <t xml:space="preserve">======
ID#AAACE1LXk_o
Boy Parulian Hutapea    (2026-08-05 00:27:11)
Case perbedaan penulisan jenis unit di setiap referensi</t>
      </text>
    </comment>
    <comment authorId="0" ref="E29">
      <text>
        <t xml:space="preserve">======
ID#AAACE1NJ_0o
Arti Kusuma Hidayat    (2026-08-05 00:27:11)
menggunakan fuel cons handbook 2025</t>
      </text>
    </comment>
    <comment authorId="0" ref="E28">
      <text>
        <t xml:space="preserve">======
ID#AAACE1LXk_s
Arti Kusuma Hidayat    (2026-08-05 00:27:11)
menggunakan fuel cons handbook 2025</t>
      </text>
    </comment>
    <comment authorId="0" ref="E27">
      <text>
        <t xml:space="preserve">======
ID#AAACE1NJ_0s
Arti Kusuma Hidayat    (2026-08-05 00:27:11)
menggunakan fuel cons handbook 2025</t>
      </text>
    </comment>
    <comment authorId="0" ref="E26">
      <text>
        <t xml:space="preserve">======
ID#AAACE1NJ_0U
Arti Kusuma Hidayat    (2026-08-05 00:27:11)
menggunakan fuel cons handbook 2025</t>
      </text>
    </comment>
    <comment authorId="0" ref="Q26">
      <text>
        <t xml:space="preserve">======
ID#AAACE1LXk_8
Boy Parulian Hutapea    (2026-08-05 00:27:11)
Case perbedaan penulisan jenis unit antara kontraktor A dan B</t>
      </text>
    </comment>
    <comment authorId="0" ref="E39">
      <text>
        <t xml:space="preserve">======
ID#AAACE1NJ_0Y
Arti Kusuma Hidayat    (2026-08-05 00:27:11)
menggunakan fuel cons handbook 2025</t>
      </text>
    </comment>
    <comment authorId="0" ref="E38">
      <text>
        <t xml:space="preserve">======
ID#AAACE1LXk_w
Arti Kusuma Hidayat    (2026-08-05 00:27:11)
menggunakan fuel cons handbook 2025</t>
      </text>
    </comment>
  </commentList>
  <extLst>
    <ext uri="GoogleSheetsCustomDataVersion2">
      <go:sheetsCustomData xmlns:go="http://customooxmlschemas.google.com/" r:id="rId1" roundtripDataSignature="AMtx7mgyBl6WuBDaG4K4g6QbVF6R7ML/z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67">
      <text>
        <t xml:space="preserve">======
ID#AAACE1NJ_0k
Tedy Satria    (2026-08-05 00:27:11)
Electric</t>
      </text>
    </comment>
  </commentList>
  <extLst>
    <ext uri="GoogleSheetsCustomDataVersion2">
      <go:sheetsCustomData xmlns:go="http://customooxmlschemas.google.com/" r:id="rId1" roundtripDataSignature="AMtx7mhdjWThNfvPdRMOneqyZTeL6DGlcA=="/>
    </ext>
  </extLst>
</comments>
</file>

<file path=xl/sharedStrings.xml><?xml version="1.0" encoding="utf-8"?>
<sst xmlns="http://schemas.openxmlformats.org/spreadsheetml/2006/main" count="4529" uniqueCount="862">
  <si>
    <t>DUMMY</t>
  </si>
  <si>
    <t>Unit type list</t>
  </si>
  <si>
    <t>HD785</t>
  </si>
  <si>
    <t>MERK</t>
  </si>
  <si>
    <t>Item</t>
  </si>
  <si>
    <t>Activity</t>
  </si>
  <si>
    <t>Qty (unit)</t>
  </si>
  <si>
    <t>Productivity (bcm/hr)</t>
  </si>
  <si>
    <t>Minute</t>
  </si>
  <si>
    <t>EX26007</t>
  </si>
  <si>
    <t>Hour</t>
  </si>
  <si>
    <t>Speed</t>
  </si>
  <si>
    <t>200 m</t>
  </si>
  <si>
    <t>Excavator OB</t>
  </si>
  <si>
    <t>Loading</t>
  </si>
  <si>
    <t>Loading FR</t>
  </si>
  <si>
    <t>TYPE</t>
  </si>
  <si>
    <t>ACTIVITY</t>
  </si>
  <si>
    <t>Fuel Tank Cap. L</t>
  </si>
  <si>
    <t>+</t>
  </si>
  <si>
    <t>Average</t>
  </si>
  <si>
    <t>Hauling FR</t>
  </si>
  <si>
    <t>Low</t>
  </si>
  <si>
    <t>Mid</t>
  </si>
  <si>
    <t>High</t>
  </si>
  <si>
    <t>PC125011R</t>
  </si>
  <si>
    <t>Load</t>
  </si>
  <si>
    <t>ZS1EPRD528-4141</t>
  </si>
  <si>
    <t>Supporting FR</t>
  </si>
  <si>
    <t>TRUCK, DUMP, HINO, ZS1EPRD528-4141</t>
  </si>
  <si>
    <t>HAULING</t>
  </si>
  <si>
    <t>PC1250SP8</t>
  </si>
  <si>
    <t>Dewatering</t>
  </si>
  <si>
    <t>ZS1EPPD-4141</t>
  </si>
  <si>
    <t>=</t>
  </si>
  <si>
    <t>PC200011R</t>
  </si>
  <si>
    <t>Total Activity-based FR (l/bcm)</t>
  </si>
  <si>
    <t>TRUCK, DUMP, HINO, ZS1EPPD-4141</t>
  </si>
  <si>
    <t>PC20008</t>
  </si>
  <si>
    <t>Haul</t>
  </si>
  <si>
    <t>XMT 650</t>
  </si>
  <si>
    <t>WELDING MACHINE, ELECTRIC, MILLER, XMT 650, 650A @ 100%</t>
  </si>
  <si>
    <t>PC3400</t>
  </si>
  <si>
    <t>SUPPORT</t>
  </si>
  <si>
    <t>km/hr</t>
  </si>
  <si>
    <t>Western Star</t>
  </si>
  <si>
    <t xml:space="preserve">WS-6900XD </t>
  </si>
  <si>
    <t>PC3400EX11</t>
  </si>
  <si>
    <t>Dump</t>
  </si>
  <si>
    <t>HD7857</t>
  </si>
  <si>
    <t>Dump Truck OB</t>
  </si>
  <si>
    <t>WARMAN</t>
  </si>
  <si>
    <t>Hauling</t>
  </si>
  <si>
    <t>Water Pump</t>
  </si>
  <si>
    <t>Return</t>
  </si>
  <si>
    <t>Dewatering Pump</t>
  </si>
  <si>
    <t>VOLVO TAD1643VE-HD</t>
  </si>
  <si>
    <t>KSB LCC-H200</t>
  </si>
  <si>
    <t>Based on distance</t>
  </si>
  <si>
    <t>HD7858</t>
  </si>
  <si>
    <t>Capacity</t>
  </si>
  <si>
    <t>VOLVO TAD1643VE</t>
  </si>
  <si>
    <t>BCM/trip</t>
  </si>
  <si>
    <t>DNDLSA6X8</t>
  </si>
  <si>
    <t>VOLVO TAD1642VE</t>
  </si>
  <si>
    <t>DREDGER 12/1</t>
  </si>
  <si>
    <t>DREDGERPUMP</t>
  </si>
  <si>
    <t>VOLVO TAD1343VE</t>
  </si>
  <si>
    <t>KSB LCC-H150</t>
  </si>
  <si>
    <t>DRHY85160B</t>
  </si>
  <si>
    <t>Cycle time</t>
  </si>
  <si>
    <t>km</t>
  </si>
  <si>
    <t>Volvo FM440</t>
  </si>
  <si>
    <t>TRUCK, LIGHT, VOLVO , FM440,36T</t>
  </si>
  <si>
    <t>BCM/HR</t>
  </si>
  <si>
    <t>EGS380-6</t>
  </si>
  <si>
    <t>PC2000</t>
  </si>
  <si>
    <t/>
  </si>
  <si>
    <t>EWP420</t>
  </si>
  <si>
    <t>TRUCK, LIGHT, VOLVO , FM440,33T</t>
  </si>
  <si>
    <t>KSB</t>
  </si>
  <si>
    <t>TRUCK, LIGHT, VOLVO , FM440,35T</t>
  </si>
  <si>
    <t>BCM/hr</t>
  </si>
  <si>
    <t>MEB420EXHV</t>
  </si>
  <si>
    <t>TRUCK, LIGHT, VOLVO , FM440,37T</t>
  </si>
  <si>
    <t>MF420E</t>
  </si>
  <si>
    <t>TRUCK, LIGHT, VOLVO , FM440,34T</t>
  </si>
  <si>
    <t>MF-420E</t>
  </si>
  <si>
    <t>Loading &amp; Hauling Formula</t>
  </si>
  <si>
    <t>TRUCK, LIGHT, VOLVO , FM440,42T</t>
  </si>
  <si>
    <t>MF420EX</t>
  </si>
  <si>
    <t>Supporting &amp; Dewatering Formula</t>
  </si>
  <si>
    <t>VOLVO</t>
  </si>
  <si>
    <t>VOLVO FH 16</t>
  </si>
  <si>
    <t>MF420EXHV</t>
  </si>
  <si>
    <t>MFV290</t>
  </si>
  <si>
    <t>VOLVO FH 610</t>
  </si>
  <si>
    <t>MFV290C</t>
  </si>
  <si>
    <t>Volvo</t>
  </si>
  <si>
    <t>FH16-550HP</t>
  </si>
  <si>
    <t>MFV420EXHV</t>
  </si>
  <si>
    <t>FMX 440 66R / (ST)</t>
  </si>
  <si>
    <t>RF85MW</t>
  </si>
  <si>
    <t>PS120</t>
  </si>
  <si>
    <t>RF-85MW</t>
  </si>
  <si>
    <t>FMX440</t>
  </si>
  <si>
    <t>FMX440WT</t>
  </si>
  <si>
    <t>Water truck</t>
  </si>
  <si>
    <t>Supporting</t>
  </si>
  <si>
    <t>FMX440AM</t>
  </si>
  <si>
    <t>Loading &amp; Hauling</t>
  </si>
  <si>
    <t>FM9</t>
  </si>
  <si>
    <t>Fuel truck</t>
  </si>
  <si>
    <t>FM9CT</t>
  </si>
  <si>
    <t xml:space="preserve">FM9 </t>
  </si>
  <si>
    <t>P380CB6X6EHZ</t>
  </si>
  <si>
    <t>FMX440FT</t>
  </si>
  <si>
    <t>FMX370</t>
  </si>
  <si>
    <t>HD7857WT</t>
  </si>
  <si>
    <t>FMX440CT</t>
  </si>
  <si>
    <t>P360CB6X6</t>
  </si>
  <si>
    <t>Unit Type (list)</t>
  </si>
  <si>
    <t>Fuel Cons (ltr/hr)</t>
  </si>
  <si>
    <t>P360CB6X6WT</t>
  </si>
  <si>
    <t>Prodty (BCM/hr)</t>
  </si>
  <si>
    <t>Fuel Ratio (l/BCM)</t>
  </si>
  <si>
    <t>Unit Type</t>
  </si>
  <si>
    <t>P360CB8X4</t>
  </si>
  <si>
    <t>PA</t>
  </si>
  <si>
    <t>UA</t>
  </si>
  <si>
    <t>Fuel Truck</t>
  </si>
  <si>
    <t>EWH (hr)</t>
  </si>
  <si>
    <t>P380CB6X6</t>
  </si>
  <si>
    <t>Prod (BCM)</t>
  </si>
  <si>
    <t>PC200SC</t>
  </si>
  <si>
    <t>Excavator Coal</t>
  </si>
  <si>
    <t>Crane Truck</t>
  </si>
  <si>
    <t>PC300</t>
  </si>
  <si>
    <t>TOYOTA</t>
  </si>
  <si>
    <t>PC400</t>
  </si>
  <si>
    <t>Innova G DIESEL</t>
  </si>
  <si>
    <t>Excavator Mud</t>
  </si>
  <si>
    <t>PC400DF</t>
  </si>
  <si>
    <t>PC800SC</t>
  </si>
  <si>
    <t>Prod (BCM/hr)</t>
  </si>
  <si>
    <t>Hydraulic Excavators</t>
  </si>
  <si>
    <t>EX2600-6</t>
  </si>
  <si>
    <t>PC8508R1</t>
  </si>
  <si>
    <t>Excavator Support</t>
  </si>
  <si>
    <t>PC850SP8</t>
  </si>
  <si>
    <t>Toyota</t>
  </si>
  <si>
    <t>Toyota Hilux Diesel  2.4G Double Cabin 4x4</t>
  </si>
  <si>
    <t>CAT14M3</t>
  </si>
  <si>
    <t>Motor Grader</t>
  </si>
  <si>
    <t>D155-6</t>
  </si>
  <si>
    <t>Bulldozer</t>
  </si>
  <si>
    <t>Towerlamp</t>
  </si>
  <si>
    <t>PL30P</t>
  </si>
  <si>
    <t>D155A6A</t>
  </si>
  <si>
    <t>Bulldozer, Bulldozers</t>
  </si>
  <si>
    <t>D155A6R</t>
  </si>
  <si>
    <t>Bulldozers</t>
  </si>
  <si>
    <t>Telehandler</t>
  </si>
  <si>
    <t>D155A-6R</t>
  </si>
  <si>
    <t>JCB5AF-540-1</t>
  </si>
  <si>
    <t>TD2011L04W</t>
  </si>
  <si>
    <t>D375-6</t>
  </si>
  <si>
    <t>WELDER, DIESEL, MILLER BIG BLUE, AIR PAK</t>
  </si>
  <si>
    <t>D375A6R</t>
  </si>
  <si>
    <t>D85ESS2</t>
  </si>
  <si>
    <t>Tadano</t>
  </si>
  <si>
    <t>ATF50G-3</t>
  </si>
  <si>
    <t>GD825A2</t>
  </si>
  <si>
    <t>Sykes</t>
  </si>
  <si>
    <t>HH150</t>
  </si>
  <si>
    <t>STRADA-TRITON</t>
  </si>
  <si>
    <t>LV, AMBULANCE, MITSUBISHI, TRITON 4X4</t>
  </si>
  <si>
    <t>LV, MITSUBISHI, TRITON-HDX, 4X4 (ERT)</t>
  </si>
  <si>
    <t>MITSUBISHI, PAJERO SPORT-GLX, 4x4 (PM03)</t>
  </si>
  <si>
    <t>MITSUBISHI, TRITON, 4X4, HDX (ADM 01)</t>
  </si>
  <si>
    <t>MITSUBISHI, TRITON, 4X4, HDX (AMG 05)</t>
  </si>
  <si>
    <t>MITSUBISHI, TRITON, 4X4, HDX (AMG02)</t>
  </si>
  <si>
    <t>MITSUBISHI, TRITON, 4X4, HDX (AMG06)</t>
  </si>
  <si>
    <t>MITSUBISHI, TRITON, 4X4, HDX (AMG10)</t>
  </si>
  <si>
    <t>MITSUBISHI, TRITON, 4X4, HDX (AMG11)</t>
  </si>
  <si>
    <t>PUMP, KSB, LSA 6X6-25, CAT C27</t>
  </si>
  <si>
    <t>MITSUBISHI, TRITON, 4X4, HDX (AMG13)</t>
  </si>
  <si>
    <t>MITSUBISHI, TRITON, 4X4, HDX (AMG15)</t>
  </si>
  <si>
    <t>MITSUBISHI, TRITON, 4X4, HDX (D&amp;B02)</t>
  </si>
  <si>
    <t>MITSUBISHI, TRITON, 4X4, HDX (ENG04)</t>
  </si>
  <si>
    <t>MITSUBISHI, TRITON, 4X4, HDX (FMS01)</t>
  </si>
  <si>
    <t>MITSUBISHI, TRITON, 4X4, HDX (MNG01)</t>
  </si>
  <si>
    <t>MITSUBISHI, TRITON, 4X4, HDX (MNG02)</t>
  </si>
  <si>
    <t>PC1250-11R</t>
  </si>
  <si>
    <t>MITSUBISHI, TRITON, 4X4, HDX (MNG03)</t>
  </si>
  <si>
    <t>MITSUBISHI, TRITON, 4X4, HDX (MNG04)</t>
  </si>
  <si>
    <t>MITSUBISHI, TRITON, 4X4, HDX (MNG05)</t>
  </si>
  <si>
    <t>MITSUBISHI, TRITON, 4X4, HDX (MNG06)</t>
  </si>
  <si>
    <t>MITSUBISHI, TRITON, 4X4, HDX (MNG07)</t>
  </si>
  <si>
    <t>MITSUBISHI, TRITON, 4X4, HDX (MNG08)</t>
  </si>
  <si>
    <t>MITSUBISHI, TRITON, 4X4, HDX (MNG09)</t>
  </si>
  <si>
    <t>DREDGER 12/10</t>
  </si>
  <si>
    <t>UNIT</t>
  </si>
  <si>
    <t>MITSUBISHI, TRITON, 4X4, HDX (MNV01)</t>
  </si>
  <si>
    <t>QTY</t>
  </si>
  <si>
    <t>FC (L/H)</t>
  </si>
  <si>
    <t>MITSUBISHI, TRITON, 4X4, HDX (SHE02)</t>
  </si>
  <si>
    <t>HT 2600</t>
  </si>
  <si>
    <t>LOADING</t>
  </si>
  <si>
    <t>MITSUBISHI, TRITON, 4X4, HDX (SHE04)</t>
  </si>
  <si>
    <t>PC 1250</t>
  </si>
  <si>
    <t>MITSUBISHI, TRITON, 4X4, HDX (SVY01)</t>
  </si>
  <si>
    <t>PC 1250_Mud</t>
  </si>
  <si>
    <t>SR700L</t>
  </si>
  <si>
    <t>CRANE, ROUGH TERRAIN,  KATO, SR700L, 70T</t>
  </si>
  <si>
    <t>PC 2000</t>
  </si>
  <si>
    <t>SH11D-R</t>
  </si>
  <si>
    <t>GENSET, ELEMAX, SH11D-R, 8KVA</t>
  </si>
  <si>
    <t>PC 2000_Mud</t>
  </si>
  <si>
    <t>PC 3400</t>
  </si>
  <si>
    <t>SCANIA DC1641A</t>
  </si>
  <si>
    <t>HD785-7</t>
  </si>
  <si>
    <t>SCANIA DC1640A</t>
  </si>
  <si>
    <t>HD785-7MUD</t>
  </si>
  <si>
    <t>SCANIA DC16074A</t>
  </si>
  <si>
    <t>MID DRILLING</t>
  </si>
  <si>
    <t>SCANIA DC13074A</t>
  </si>
  <si>
    <t>SMALL DRILLING</t>
  </si>
  <si>
    <t>Booster Pump</t>
  </si>
  <si>
    <t>DEWATERING</t>
  </si>
  <si>
    <t>Dragflow</t>
  </si>
  <si>
    <t>Scania</t>
  </si>
  <si>
    <t>P420CB-6x4</t>
  </si>
  <si>
    <t>PC2000-11R</t>
  </si>
  <si>
    <t>Dredger</t>
  </si>
  <si>
    <t>SCANIA</t>
  </si>
  <si>
    <t>P410CB8x4</t>
  </si>
  <si>
    <t>Small Pump</t>
  </si>
  <si>
    <t>P380CB6X6AM</t>
  </si>
  <si>
    <t>Dozer155</t>
  </si>
  <si>
    <t>P124GB6X6CT</t>
  </si>
  <si>
    <t>Dozer375</t>
  </si>
  <si>
    <t>Dozer85ES</t>
  </si>
  <si>
    <t>Grader16M</t>
  </si>
  <si>
    <t>P410B 6X6 DC</t>
  </si>
  <si>
    <t>DRHY85/160B</t>
  </si>
  <si>
    <t>Grader535</t>
  </si>
  <si>
    <t>Water Truck</t>
  </si>
  <si>
    <t>Grader705</t>
  </si>
  <si>
    <t>BUS</t>
  </si>
  <si>
    <t>PC2000-8</t>
  </si>
  <si>
    <t>Compactor</t>
  </si>
  <si>
    <t>Compressor</t>
  </si>
  <si>
    <t>CraneTruck</t>
  </si>
  <si>
    <t>Service Truck</t>
  </si>
  <si>
    <t>DT OTHER</t>
  </si>
  <si>
    <t>Steeming Truck</t>
  </si>
  <si>
    <t>Forklift</t>
  </si>
  <si>
    <t>FuelTruck</t>
  </si>
  <si>
    <t>Lubrication Truck</t>
  </si>
  <si>
    <t>Genset</t>
  </si>
  <si>
    <t>GENSET, KOMATSU, EGS380-6</t>
  </si>
  <si>
    <t>LubeTruck</t>
  </si>
  <si>
    <t>P380CB6X6WT</t>
  </si>
  <si>
    <t>LV</t>
  </si>
  <si>
    <t>SANY</t>
  </si>
  <si>
    <t>EXCAVATOR,  SANY, SY500, 50T</t>
  </si>
  <si>
    <t>MMU</t>
  </si>
  <si>
    <t>PC 200-8</t>
  </si>
  <si>
    <t>Otherunit</t>
  </si>
  <si>
    <t>EXCAVATOR, SANY, SY500H 40T CLASS</t>
  </si>
  <si>
    <t>PC200</t>
  </si>
  <si>
    <t>STG230C-10S</t>
  </si>
  <si>
    <t>WTDT</t>
  </si>
  <si>
    <t>WTHD</t>
  </si>
  <si>
    <t>EXCAVATOR,  SANY, SY365, 30T</t>
  </si>
  <si>
    <t>EXCAVATOR,  SANY, SY365, 36T</t>
  </si>
  <si>
    <t>R-YM13SZ</t>
  </si>
  <si>
    <t>GENSET, YANMAR, R-YM13SZ</t>
  </si>
  <si>
    <t>GENSET, YANMAR,R-YM13SZ, 13KVA</t>
  </si>
  <si>
    <t>PC300-8</t>
  </si>
  <si>
    <t>R9350</t>
  </si>
  <si>
    <t>EXCAVATOR, LIEBHERR, R9350</t>
  </si>
  <si>
    <t>PL100P - 100 Kva</t>
  </si>
  <si>
    <t>GENSET, HARTECH, HT100P, 100KVA</t>
  </si>
  <si>
    <t>PDP</t>
  </si>
  <si>
    <t>Tower Lamp</t>
  </si>
  <si>
    <t>D85ESS-2</t>
  </si>
  <si>
    <t>EXCAVATOR, BACKHOE, KOMATSU, PC2000-8</t>
  </si>
  <si>
    <t>EXCAVATOR, KOMATSU, PC2000-8</t>
  </si>
  <si>
    <t>PATRIA</t>
  </si>
  <si>
    <t>LS4-1400</t>
  </si>
  <si>
    <t>Mega Tower</t>
  </si>
  <si>
    <t>PANASONIC</t>
  </si>
  <si>
    <t>Welder, AC ARC</t>
  </si>
  <si>
    <t>PAJERO SPORT,GLX</t>
  </si>
  <si>
    <t>MITSUBISHI, PAJERO SPORT-GLX, 4x4 (PM04)</t>
  </si>
  <si>
    <t>MITSUBISHI, TRITON, 4X4, HDX (SVY03)</t>
  </si>
  <si>
    <t>P360B</t>
  </si>
  <si>
    <t xml:space="preserve">TRUCK, SHUTDOWN, SCANIA, P360B, 6X6 </t>
  </si>
  <si>
    <t>NISSAN</t>
  </si>
  <si>
    <t>CWB450LDN / ST</t>
  </si>
  <si>
    <t>CWB45ALDN / ST</t>
  </si>
  <si>
    <t>CWB520LDN / ST</t>
  </si>
  <si>
    <t>TZA52PPNCT</t>
  </si>
  <si>
    <t>PC400LCSE-8R</t>
  </si>
  <si>
    <t>TZA520PPN</t>
  </si>
  <si>
    <t>CWB45A</t>
  </si>
  <si>
    <t>MULTIFLO</t>
  </si>
  <si>
    <t>MITSUBISHI</t>
  </si>
  <si>
    <t>All New Triton GLS 4X4</t>
  </si>
  <si>
    <t>HD7857OTD</t>
  </si>
  <si>
    <t>All New Triton HDX 4X4</t>
  </si>
  <si>
    <t>Pajero Sport2,5L Exceed (4X27, 5M/1)</t>
  </si>
  <si>
    <t>COLT DIESEL FE71L BC NC (4X2) M/T</t>
  </si>
  <si>
    <t>FE 84 BC</t>
  </si>
  <si>
    <t>FE 84G BC</t>
  </si>
  <si>
    <t>Colt Diesel FE-74 HDV</t>
  </si>
  <si>
    <t>COLT DIESEL PS110</t>
  </si>
  <si>
    <t xml:space="preserve">FE74 HD </t>
  </si>
  <si>
    <t>HD125 CANTER</t>
  </si>
  <si>
    <t>PS120 (8246LR)</t>
  </si>
  <si>
    <t>Pajero Sport</t>
  </si>
  <si>
    <t>Mitsubishi Pajero</t>
  </si>
  <si>
    <t>MILLER</t>
  </si>
  <si>
    <t>BIG BLUE 500 X</t>
  </si>
  <si>
    <t>D 2011 L 04 I</t>
  </si>
  <si>
    <t>Welder, CO1</t>
  </si>
  <si>
    <t>Welding Travo</t>
  </si>
  <si>
    <t>Welder, Machine</t>
  </si>
  <si>
    <t>Hi-Pressure Pump</t>
  </si>
  <si>
    <t>Welder, CO2</t>
  </si>
  <si>
    <t>Sump Pump</t>
  </si>
  <si>
    <t>PUMP, MULTIFLO, MF420EXHV, CAT C27</t>
  </si>
  <si>
    <t>MF420A05Y-IMP</t>
  </si>
  <si>
    <t>WATER PUMP, Multiflo, MF420A05Y-IMP</t>
  </si>
  <si>
    <t>MF420</t>
  </si>
  <si>
    <t>PUMP, MULTIFLO, MF420[c/w16MA0110]</t>
  </si>
  <si>
    <t>MF385HP</t>
  </si>
  <si>
    <t>PUMP, DEWATERING, WEIR, MF385HP, CAT C13</t>
  </si>
  <si>
    <t>MF290</t>
  </si>
  <si>
    <t>PUMP, MULTIFLO, MF290[c/w16MA0120]</t>
  </si>
  <si>
    <t>Mercy</t>
  </si>
  <si>
    <t>Arocs 4040K</t>
  </si>
  <si>
    <t>Arocs 4042K</t>
  </si>
  <si>
    <t>Arocs 4845K</t>
  </si>
  <si>
    <t>MERCEDES BENZ</t>
  </si>
  <si>
    <t>ACTROSS 3939</t>
  </si>
  <si>
    <t>AROCS 4042</t>
  </si>
  <si>
    <t xml:space="preserve">Loading FR (l/BCM) = </t>
  </si>
  <si>
    <t>ACTROSS 4843</t>
  </si>
  <si>
    <t>AROCS 4845</t>
  </si>
  <si>
    <t>MD6290</t>
  </si>
  <si>
    <t>DRILLING, CRAWLER, CATERPILLAR, MD6290</t>
  </si>
  <si>
    <t xml:space="preserve">Supporting FR (l/BCM) = </t>
  </si>
  <si>
    <t>MB2528CH-FT</t>
  </si>
  <si>
    <t>FUEL TRUCK, MERCEDES-BENZ, MB2528CH-FT</t>
  </si>
  <si>
    <t xml:space="preserve">Dewatering KJA &amp; Contractor FR (l/BCM) = </t>
  </si>
  <si>
    <t>MB AXOR 2528CX</t>
  </si>
  <si>
    <t>WATER TRUCK, MERCEDES BENZ, MB AXOR 2528CX</t>
  </si>
  <si>
    <t>Manitou</t>
  </si>
  <si>
    <t>MT 1740 SLT</t>
  </si>
  <si>
    <r>
      <rPr>
        <rFont val="Aptos Narrow"/>
        <b/>
        <color theme="1"/>
        <sz val="11.0"/>
      </rPr>
      <t>Hauling</t>
    </r>
    <r>
      <rPr>
        <rFont val="Aptos Narrow"/>
        <b/>
        <color rgb="FFFF0000"/>
        <sz val="11.0"/>
      </rPr>
      <t xml:space="preserve"> (distance 3900 mtr)</t>
    </r>
  </si>
  <si>
    <t>MT-X1840 E3</t>
  </si>
  <si>
    <t>MT1440</t>
  </si>
  <si>
    <t>MANITOU</t>
  </si>
  <si>
    <t>Maniscopic (New)</t>
  </si>
  <si>
    <t>LTM 1055-3.2</t>
  </si>
  <si>
    <t>CRANE, WHEEL, LIEBHERR, LTM 1055-3.2 55T</t>
  </si>
  <si>
    <t>LSA 6X8-25</t>
  </si>
  <si>
    <t>PUMP, KSB, LSA 6X8-25, CAT C27</t>
  </si>
  <si>
    <t>LOWBOY ,80T</t>
  </si>
  <si>
    <t>TRAILER, LOWBOY, SSB</t>
  </si>
  <si>
    <t>LCC-H200-610.5K AB M1</t>
  </si>
  <si>
    <t>WATER PUMP, Volvo Penta KSB, LCC-H200-610.5K AB M1</t>
  </si>
  <si>
    <t>KUBOTA</t>
  </si>
  <si>
    <t>Mini Tower</t>
  </si>
  <si>
    <t>KOMATSU</t>
  </si>
  <si>
    <t>D 85 E-SS DZ</t>
  </si>
  <si>
    <t xml:space="preserve">Hauling FR (l/BCM) = </t>
  </si>
  <si>
    <t>D155A-6</t>
  </si>
  <si>
    <t>How the Operation Fuel Ratio (FR) can help Management analyze</t>
  </si>
  <si>
    <t>1. If variable Productivity UP, Then FR will be DOWN, this reflect contractor performance</t>
  </si>
  <si>
    <t>2. If variable Population UP, Then FR will be UP, this reflect infrastructur performance</t>
  </si>
  <si>
    <t>GD535-5 MG</t>
  </si>
  <si>
    <t>3. If variable Fuel Consumption UP, Then FR will be UP, this reflect equipment condition/age</t>
  </si>
  <si>
    <t>GD825A-2</t>
  </si>
  <si>
    <t>PC200-8MO</t>
  </si>
  <si>
    <t>Komatsu</t>
  </si>
  <si>
    <t>GD 535</t>
  </si>
  <si>
    <t>PC-200-10</t>
  </si>
  <si>
    <t>HD4657RPM</t>
  </si>
  <si>
    <t>HD7857MUD</t>
  </si>
  <si>
    <t>D375A-6R</t>
  </si>
  <si>
    <t>EX12006</t>
  </si>
  <si>
    <t>PC400SE8</t>
  </si>
  <si>
    <t>PC1250-11</t>
  </si>
  <si>
    <t>HD7857FLEXY</t>
  </si>
  <si>
    <t>WA380</t>
  </si>
  <si>
    <t>DZ85-SS</t>
  </si>
  <si>
    <t>PC 210</t>
  </si>
  <si>
    <t>PC 300-8</t>
  </si>
  <si>
    <t>Tyre Handler</t>
  </si>
  <si>
    <t>ANFO Truck</t>
  </si>
  <si>
    <t>Prime Mover</t>
  </si>
  <si>
    <t>KIA</t>
  </si>
  <si>
    <t>KAESER</t>
  </si>
  <si>
    <t>COMPRESSOR, DIESEL, KAESER, M100, 180CFM, 10 BAR</t>
  </si>
  <si>
    <t>COMPRESSOR, DSL, KAESER, M100</t>
  </si>
  <si>
    <t>COMPRESSOR, DSL,KAESER, M31</t>
  </si>
  <si>
    <t>COMPRESSOR, ELC, KAESER, BSD75T/10</t>
  </si>
  <si>
    <t>COMPRESSOR, ELECTRIC,KAESER, BSD75T/10, 175FCM</t>
  </si>
  <si>
    <t>COMPRESSOR, KAESER, M31, PORTABLE</t>
  </si>
  <si>
    <t>Air Compressor</t>
  </si>
  <si>
    <t>ISUZU FVZ 285</t>
  </si>
  <si>
    <t>FCR34L 285PS FT</t>
  </si>
  <si>
    <t>FCR34L 285PS WT</t>
  </si>
  <si>
    <t>ISUZU</t>
  </si>
  <si>
    <t>NMR 71</t>
  </si>
  <si>
    <t>FVZ34NHP61011L2S</t>
  </si>
  <si>
    <t>NQR71ECE2-1 - ISUZU MBBIS</t>
  </si>
  <si>
    <t>NQR 71 EC</t>
  </si>
  <si>
    <t>FVR 245</t>
  </si>
  <si>
    <t>FVR 285</t>
  </si>
  <si>
    <t>ING - RAND</t>
  </si>
  <si>
    <t>HYUNDAI</t>
  </si>
  <si>
    <t>EXCAVATOR, HYUNDAI, HX500L, 50T (77EX0121)</t>
  </si>
  <si>
    <t>EXCAVATOR, HYUNDAI, HX500L, 50T (77EX0122)</t>
  </si>
  <si>
    <t>EXCAVATOR,HYUNDAI, HX500L,50T (77EX0123)</t>
  </si>
  <si>
    <t>EXCAVATOR,HYUNDAI, HX500L,50T (77EX0124)</t>
  </si>
  <si>
    <t>Hyundai</t>
  </si>
  <si>
    <t>Robex 210W-9S</t>
  </si>
  <si>
    <t>WHEEL, HYUNDAI, ROBLOX210W-9S</t>
  </si>
  <si>
    <t>HYDROVANE</t>
  </si>
  <si>
    <t>HT60P</t>
  </si>
  <si>
    <t>GENSET, HARTECH, HT60P, 60KVA</t>
  </si>
  <si>
    <t>HT60</t>
  </si>
  <si>
    <t>GENSET, HARTECH, HT35 Y</t>
  </si>
  <si>
    <t>HT45P</t>
  </si>
  <si>
    <t>GENSET, HARTECH, HT45P</t>
  </si>
  <si>
    <t>HT20Y</t>
  </si>
  <si>
    <t>GENSET, HARTECH, HT20Y</t>
  </si>
  <si>
    <t>HT10Y</t>
  </si>
  <si>
    <t>GENSET, HARTECH, HT10Y</t>
  </si>
  <si>
    <t>HT 13.5P</t>
  </si>
  <si>
    <t>GENSET, HARTECH, HT13.5P, 13.5KVA</t>
  </si>
  <si>
    <t>HT 10 Y</t>
  </si>
  <si>
    <t>HITACHI</t>
  </si>
  <si>
    <t>ZX470LC-5G</t>
  </si>
  <si>
    <t>ZX890LCH-79</t>
  </si>
  <si>
    <t>EXCAVATOR,  HITACHI, ZX470LC-5G, 40T</t>
  </si>
  <si>
    <t>EXCAVATOR, HITACHI, ZX470LC-5G</t>
  </si>
  <si>
    <t>EXCAVATOR,  HITACHI, ZX490LC-7G</t>
  </si>
  <si>
    <t>EX1200-6C</t>
  </si>
  <si>
    <t>EX1900-6</t>
  </si>
  <si>
    <t>EX2500-5</t>
  </si>
  <si>
    <t>EX2500-6</t>
  </si>
  <si>
    <t>ZX 470 LC-5G</t>
  </si>
  <si>
    <t>EXCAVATOR, HITACHI, ZX470LC-5G, 40T</t>
  </si>
  <si>
    <t>ZX210F-5G</t>
  </si>
  <si>
    <t>EXCAVATOR, BACKHOE, HITACHI, ZX350H-7G,</t>
  </si>
  <si>
    <t>EXCAVATOR, HITACHI, ZX350H-5G, 30T</t>
  </si>
  <si>
    <t>EXCAVATOR, HITACHI, ZX350H-5G, 30T (77EX0112)</t>
  </si>
  <si>
    <t>EXCAVATOR, HITACHI, ZX350H-5G, 30T (77EX0113)</t>
  </si>
  <si>
    <t>EXCAVATOR, HITACHI, ZX350H-5G, 30T (77EX0114)</t>
  </si>
  <si>
    <t>EXCAVATOR, HITACHI, ZX350H-5G, 30T (77EX0115)</t>
  </si>
  <si>
    <t>EXCAVATOR, HITACHI, ZX350H-5G, 30T (77EX0116)</t>
  </si>
  <si>
    <t>Hitachi</t>
  </si>
  <si>
    <t>ZX-470-LC</t>
  </si>
  <si>
    <t>ZX-490-LC</t>
  </si>
  <si>
    <t>ZX-350</t>
  </si>
  <si>
    <t>EX2600</t>
  </si>
  <si>
    <t>Hino FM360</t>
  </si>
  <si>
    <t>Hino</t>
  </si>
  <si>
    <t>Hino FM260JD</t>
  </si>
  <si>
    <t>HINO</t>
  </si>
  <si>
    <t>FM8JNKD-MGJ MT</t>
  </si>
  <si>
    <t>260 TI</t>
  </si>
  <si>
    <t>HILUX</t>
  </si>
  <si>
    <t>LV, TOYOTA HILUX, 4X4, Type E (ADM02)</t>
  </si>
  <si>
    <t>LV, TOYOTA HILUX, 4X4, Type E (ADM04)</t>
  </si>
  <si>
    <t>LV, TOYOTA HILUX, 4X4, Type E (AMG01)</t>
  </si>
  <si>
    <t>LV, TOYOTA HILUX, 4X4, Type E (AMG07)</t>
  </si>
  <si>
    <t>LV, TOYOTA HILUX, 4X4, Type E (AMG09)</t>
  </si>
  <si>
    <t>LV, TOYOTA HILUX, 4X4, Type G (AMG12)</t>
  </si>
  <si>
    <t>TOYOTA HILUX, 4X4, Type E (AMG05)</t>
  </si>
  <si>
    <t>TOYOTA HILUX, 4X4, Type E (SCM01)</t>
  </si>
  <si>
    <t>TOYOTA HILUX, 4X4, Type G (ENG03)</t>
  </si>
  <si>
    <t>HD9 4442 80</t>
  </si>
  <si>
    <t>TRUCK, MANHAUL, IVECO, ASTRA HD9420, 4X4</t>
  </si>
  <si>
    <t>TRUCK, MANHAUL, IVECO, HD94442, 4X4</t>
  </si>
  <si>
    <t>TRUCK, SERVICE, IVECO, ASTRA HD9420, 4X4</t>
  </si>
  <si>
    <t>TRUCK, DUMP, KOMATSU, HD785-7</t>
  </si>
  <si>
    <t>HCR1200-EDII</t>
  </si>
  <si>
    <t>DRILLING MACHINE, FRD, HCR1200-EDII</t>
  </si>
  <si>
    <t>HARTECH</t>
  </si>
  <si>
    <t>HT 150 P</t>
  </si>
  <si>
    <t>HT 80 P</t>
  </si>
  <si>
    <t>J320</t>
  </si>
  <si>
    <t>KJT130</t>
  </si>
  <si>
    <t>GDP60YS</t>
  </si>
  <si>
    <t>GENSET, YANMAR,GDP60YS, 60KVA</t>
  </si>
  <si>
    <t>GD705A-5</t>
  </si>
  <si>
    <t>GRADER, KOMATSU, GD705A-5</t>
  </si>
  <si>
    <t>FUSHENG</t>
  </si>
  <si>
    <t>FORTUNER 2.4 VRZ</t>
  </si>
  <si>
    <t>LV, Fortuner, 2.4 VRZ, 4x4 , PM 01</t>
  </si>
  <si>
    <t>FD50T-8</t>
  </si>
  <si>
    <t>FD30C</t>
  </si>
  <si>
    <t>FD30T</t>
  </si>
  <si>
    <t>FMX480</t>
  </si>
  <si>
    <t>LOWBOY, VOLVO, FMX480</t>
  </si>
  <si>
    <t>FMX-440 8X4</t>
  </si>
  <si>
    <t>TRUCK, DUMP, VOLVO, FMX-440 8X4</t>
  </si>
  <si>
    <t>TRUCK, CRANE, VOLVO, FMX440, 6X6, 15T</t>
  </si>
  <si>
    <t>TRUCK, FUEL, VOLVO, FMX440, 6X6 25KL</t>
  </si>
  <si>
    <t>TRUCK, FUEL, VOLVO, FMX440, 6X6, 25KL</t>
  </si>
  <si>
    <t>TRUCK, P-MOVER, VOLVO, FMX440, 6X6</t>
  </si>
  <si>
    <t>TRUCK, SERVICE, VOLVO, FMX440, 6X6</t>
  </si>
  <si>
    <t>TRUCK, WASH, VOLVO, FMX440, 6X6, 20KL</t>
  </si>
  <si>
    <t>TRUCK, WELDING, VOLVO, FMX440, 6X6</t>
  </si>
  <si>
    <t>FMX-400 6x4</t>
  </si>
  <si>
    <t>TRUCK, DUMP, VOLVO, FMX-400 6x4</t>
  </si>
  <si>
    <t>FMX330</t>
  </si>
  <si>
    <t>TRUCK, MANHAUL, VOLVO, FMX330, 4X4, 40 SEAT</t>
  </si>
  <si>
    <t>FM66R</t>
  </si>
  <si>
    <t>TRUCK, CRANE, VOLVO, FM66R, 6X6</t>
  </si>
  <si>
    <t>FM260JD</t>
  </si>
  <si>
    <t>LUBE TRUCK, HINO, FM260JD</t>
  </si>
  <si>
    <t>FM 66 R</t>
  </si>
  <si>
    <t>TRUCK, TIRE, VOLVO, FMX440, 6X6</t>
  </si>
  <si>
    <t>FB 30- - 12</t>
  </si>
  <si>
    <t>FORKLIFT KOMATSU FB30-12</t>
  </si>
  <si>
    <t>EXCAVATOR, HITACHI, EX2600-6</t>
  </si>
  <si>
    <t>EXCAVATOR, HITACHI, EX2600-7</t>
  </si>
  <si>
    <t>EX2500</t>
  </si>
  <si>
    <t>EXCAVATOR, BACKHOE, HITACHI, EX2500-6</t>
  </si>
  <si>
    <t>EK1343-150 SS</t>
  </si>
  <si>
    <t>WATER PUMP, Volvo Penta KSB, EK1343-150 SS</t>
  </si>
  <si>
    <t>EGS380-6, 350kVA</t>
  </si>
  <si>
    <t>GENSET, KOMATSU, EGS380-6, 350KVA</t>
  </si>
  <si>
    <t>GENSET, KOMATSU, EGS380-6,350KVA</t>
  </si>
  <si>
    <t>EGS300-6</t>
  </si>
  <si>
    <t>GENSET, KOMATSU, EGS300-6, PRIME, SILENT, 275KVA</t>
  </si>
  <si>
    <t>EGS 380-6</t>
  </si>
  <si>
    <t>GENSET, KOMATSU, EGS380-6, PRIME, SILENT, 350KVA</t>
  </si>
  <si>
    <t>DT95</t>
  </si>
  <si>
    <t>TRUCK, DUMP, DEVELON, DT95</t>
  </si>
  <si>
    <t>Drilling Machine Komatsu</t>
  </si>
  <si>
    <t>D50KS</t>
  </si>
  <si>
    <t>D245X</t>
  </si>
  <si>
    <t>Drilling</t>
  </si>
  <si>
    <t>SKF11</t>
  </si>
  <si>
    <t>SKF50</t>
  </si>
  <si>
    <t>DREDGERPUMP12/10</t>
  </si>
  <si>
    <t>Mud Pump</t>
  </si>
  <si>
    <t>DRAGFLOW 1204B</t>
  </si>
  <si>
    <t>1X PUMP, SLURRY, ELECTRIC, REL, DRAGFLOW 1204B</t>
  </si>
  <si>
    <t>PUMP, SLURRY, ELC, REL, DRAGFLOW 1204B</t>
  </si>
  <si>
    <t>DRAGFLOW</t>
  </si>
  <si>
    <t>DRAGFLOW HY300</t>
  </si>
  <si>
    <t>DRAGFLOW HY85/160B</t>
  </si>
  <si>
    <t>DOOSAN</t>
  </si>
  <si>
    <t>DX500LCA</t>
  </si>
  <si>
    <t>DX520LCA</t>
  </si>
  <si>
    <t>DX520LCA-K</t>
  </si>
  <si>
    <t>Doosan</t>
  </si>
  <si>
    <t>D160S-5</t>
  </si>
  <si>
    <t>DX300LCA</t>
  </si>
  <si>
    <t>LSCWKUB-60HZ-T4F</t>
  </si>
  <si>
    <t>DND200-MHX</t>
  </si>
  <si>
    <t>PUMP, KSB, DND200-MHX, CAT C27</t>
  </si>
  <si>
    <t>DND200</t>
  </si>
  <si>
    <t>PUMP, DEWATERING, KSB, DND200-5HX</t>
  </si>
  <si>
    <t>PUMP, DND200 c/w PONTOON 16MA0101</t>
  </si>
  <si>
    <t>PUMP, DND200 c/w PONTOON 16MA0108</t>
  </si>
  <si>
    <t>DND 150</t>
  </si>
  <si>
    <t>PUMP, BOOSTER, KSB, DND 150, CAT C15</t>
  </si>
  <si>
    <t>PUMP, DEWATERING, KSB, DND 150, CAT C15</t>
  </si>
  <si>
    <t>PUMP, KSB, DND150, BOOSTER, CAT C15</t>
  </si>
  <si>
    <t>DM30XC</t>
  </si>
  <si>
    <t>DRILLING, ROTARY, EPIROC, DM30 XC</t>
  </si>
  <si>
    <t>DM30 II LP</t>
  </si>
  <si>
    <t>DRILLING MACHINE, EPIROC, DM30 II LP</t>
  </si>
  <si>
    <t>DE220E0</t>
  </si>
  <si>
    <t>GENSET, CAT, DE220, PRIME, SILENT, 200Kva</t>
  </si>
  <si>
    <t>DE110</t>
  </si>
  <si>
    <t>GENSET, CAT, DE110, PRIME, 100KVA</t>
  </si>
  <si>
    <t>DAEWOO</t>
  </si>
  <si>
    <t>Daewoo</t>
  </si>
  <si>
    <t>D-100</t>
  </si>
  <si>
    <t>K6D6F (CT)</t>
  </si>
  <si>
    <t>DAEWO</t>
  </si>
  <si>
    <t>D9T</t>
  </si>
  <si>
    <t>DOZER, TRACK, CAT, D9T</t>
  </si>
  <si>
    <t>DOZER, TRACK, CATERPILLAR, D9T, RIPPER</t>
  </si>
  <si>
    <t>D8R</t>
  </si>
  <si>
    <t>DOZER, TRACK, CAT, D8R</t>
  </si>
  <si>
    <t>DOZER, TRACK, CATERPILLAR, D8R, RIPPER</t>
  </si>
  <si>
    <t>DOZER, KOMATSU, D85ESS-2</t>
  </si>
  <si>
    <t>D245S</t>
  </si>
  <si>
    <t>DRILLING, ROTARY, SANDVIK, D245S, 9M</t>
  </si>
  <si>
    <t>DOZER, KOMATSU, D155A-6</t>
  </si>
  <si>
    <t>CWB6BLLDN2</t>
  </si>
  <si>
    <t>WATER TRUCK, NISSAN QUON, CWB6BLLDN2</t>
  </si>
  <si>
    <t>CUMMINS</t>
  </si>
  <si>
    <t xml:space="preserve">WS-6900XD 6X4 </t>
  </si>
  <si>
    <t>WS-6964SX</t>
  </si>
  <si>
    <t>Crusher</t>
  </si>
  <si>
    <t>C125B</t>
  </si>
  <si>
    <t>Crawler Hitachi</t>
  </si>
  <si>
    <t>TR500EX</t>
  </si>
  <si>
    <t>CLGLD36D</t>
  </si>
  <si>
    <t>DOZER, LIU GONG, CLGLD36D</t>
  </si>
  <si>
    <t>CLG835HM</t>
  </si>
  <si>
    <t>TYRE HANDLER, LIU GONG, CLG835HM</t>
  </si>
  <si>
    <t>CLG4260D-R</t>
  </si>
  <si>
    <t>GRADER, LIU GONG, CLG4260D-R</t>
  </si>
  <si>
    <t>CLG4140D</t>
  </si>
  <si>
    <t>GRADER, LIU GONG, CLG4140D</t>
  </si>
  <si>
    <t>CATTERPILAR</t>
  </si>
  <si>
    <t>CATERPILLAR C-12</t>
  </si>
  <si>
    <t>SYKES XH-150</t>
  </si>
  <si>
    <t>Caterpillar</t>
  </si>
  <si>
    <t>773E</t>
  </si>
  <si>
    <t>777D</t>
  </si>
  <si>
    <t>777E</t>
  </si>
  <si>
    <t>14H</t>
  </si>
  <si>
    <t>14M</t>
  </si>
  <si>
    <t>16H</t>
  </si>
  <si>
    <t>16M</t>
  </si>
  <si>
    <t>340D2L</t>
  </si>
  <si>
    <t>CAT-3306</t>
  </si>
  <si>
    <t>D10R</t>
  </si>
  <si>
    <t>D6R2 XL</t>
  </si>
  <si>
    <t>D7G2</t>
  </si>
  <si>
    <t>D9R</t>
  </si>
  <si>
    <t>CAT  C - 16</t>
  </si>
  <si>
    <t>C38D5</t>
  </si>
  <si>
    <t>GENSET, CUMMINS, C38D5, 35 KVA</t>
  </si>
  <si>
    <t>BW211D-40 9</t>
  </si>
  <si>
    <t>COMPACTOR, KOMATSU, BW211D-40 9</t>
  </si>
  <si>
    <t>BIG BUS MERCEDES BENZ, CAPACITY 59 SEAT 4X2 (B.01)</t>
  </si>
  <si>
    <t>BIG BUS MERCEDES BENZ, CAPACITY 59 SEAT 4X2 (B.02)</t>
  </si>
  <si>
    <t>Minibus,Mitsubishi,4x4,Cap. 29 seats</t>
  </si>
  <si>
    <t>Bomag212</t>
  </si>
  <si>
    <t>Bomag</t>
  </si>
  <si>
    <t>BW211D-40</t>
  </si>
  <si>
    <t>BERCA POWER</t>
  </si>
  <si>
    <t>BF-C110S</t>
  </si>
  <si>
    <t>AXOR MB2528CX-E4</t>
  </si>
  <si>
    <t>CRANE TRUCK, MERCEDES-BENZ, AXOR MB2528CX-E4</t>
  </si>
  <si>
    <t>AXOR 2528CH 6X4</t>
  </si>
  <si>
    <t>FUEL TRUCK, MERCEDES-BENZ, AXOR 2528CH 6X4</t>
  </si>
  <si>
    <t>ATLAS COPCO</t>
  </si>
  <si>
    <t>COMPRESSOR, ATLAS COPCO, GA 30FF-10</t>
  </si>
  <si>
    <t>COMPRESSOR, ATLAS COPCO, XAS 300 DD7</t>
  </si>
  <si>
    <t>COMPRESSOR, ATLAS COPCO, XAS 300 KD7</t>
  </si>
  <si>
    <t>COMPRESSOR, ATLAS COPCO, XAS 47 DD</t>
  </si>
  <si>
    <t>COMPRESSOR, ATLAS COPCO, XAS 90 DD</t>
  </si>
  <si>
    <t>COMPRESSOR, ATLAS COPCP, XAS 300 DD7</t>
  </si>
  <si>
    <t>COMPRESSOR, DSL, ATLAS COPCO, XAS137KD7</t>
  </si>
  <si>
    <t>COMPRESSOR, DSL, ATLAS COPCO, XAS300DD7</t>
  </si>
  <si>
    <t>COMPRESSOR, DSL, ATLAS COPCO, XAS48KD</t>
  </si>
  <si>
    <t>COMPRESSOR, DSL, ATLAS COPCO, XAS90DD7</t>
  </si>
  <si>
    <t>G15-22P FM</t>
  </si>
  <si>
    <t>G15P A 10 FM</t>
  </si>
  <si>
    <t>TOWER LAMP. QLT M10</t>
  </si>
  <si>
    <t>XAHS38 Kd</t>
  </si>
  <si>
    <t>ALLMAKES</t>
  </si>
  <si>
    <t>LIGHTING TOWER, ALLMAKES, LED, TL4</t>
  </si>
  <si>
    <t>AM-LTM-4000KS</t>
  </si>
  <si>
    <t>AD410T44H</t>
  </si>
  <si>
    <t>TRUCK, WATER, IVECO, TRAKKER 440, 8X4</t>
  </si>
  <si>
    <t>AD380T44W</t>
  </si>
  <si>
    <t>TRUCK, CRANE, IVECO, TRAKKER, AD380T44W,</t>
  </si>
  <si>
    <t>TRUCK, FUEL, IVECO, TRAKKER 440, 6X6 25KL</t>
  </si>
  <si>
    <t>TRUCK, WASH, IVECO, AD380T44W, 6X6, 20KL</t>
  </si>
  <si>
    <t>AD240T38W</t>
  </si>
  <si>
    <t>TRUCK, MANHAUL, IVECO, AD240T38W, 4X4, C</t>
  </si>
  <si>
    <t>TRUCK, MANHAUL, IVECO, TRAKKER 380, 4X4</t>
  </si>
  <si>
    <t>ACTROS MB3939K</t>
  </si>
  <si>
    <t>FUEL TRUCK, MERCEDES-BENZ, ACTROS MB3939K</t>
  </si>
  <si>
    <t>966H</t>
  </si>
  <si>
    <t>LOADER, WHEEL, CAT, 966H</t>
  </si>
  <si>
    <t>LOADER, WHEEL, CATERPILLAR, 966H</t>
  </si>
  <si>
    <t>966F</t>
  </si>
  <si>
    <t>LOADER, WHEEL, CAT, 966F</t>
  </si>
  <si>
    <t>TRUCK, DUMP, CAT, 777E</t>
  </si>
  <si>
    <t>TRUCK, DUMP, CATERPILLAR, 777E, 100T</t>
  </si>
  <si>
    <t>TRUCK, DUMP, CAT, 777D</t>
  </si>
  <si>
    <t>TRUCK, WATER, CATERPILLAR, 777D, 80KL</t>
  </si>
  <si>
    <t>600X</t>
  </si>
  <si>
    <t>WELDER, DIESEL, MILLER, BIG BLUE, 600X</t>
  </si>
  <si>
    <t>WELDING, DIESEL, MILLER, BIG BLUE, 600X</t>
  </si>
  <si>
    <t>405-S</t>
  </si>
  <si>
    <t>WELDING, ELECTRIC, MILLER, 405-S</t>
  </si>
  <si>
    <t>401DX</t>
  </si>
  <si>
    <t>WELDING, DIESEL, MILLER, BIG BLUE, 401DX</t>
  </si>
  <si>
    <t>160K</t>
  </si>
  <si>
    <t>GRADER, CATERPILLAR, 160K</t>
  </si>
  <si>
    <t>GRADER, CAT, 14, 16FT</t>
  </si>
  <si>
    <t>GRADER, CAT, 14M3</t>
  </si>
  <si>
    <t>GRADER, CATERPILLAR, 14M3</t>
  </si>
  <si>
    <t>XH 200</t>
  </si>
  <si>
    <t>WATER PUMP, Coates,  XH 200</t>
  </si>
  <si>
    <t>TWM06367</t>
  </si>
  <si>
    <t>PUMP, KSB, LSA 6X8-25, CAT C27, 16PU2382</t>
  </si>
  <si>
    <t>TRUCK, DUMP, CAT, 777, 100T</t>
  </si>
  <si>
    <t>Excavator-Hitachi-ZX470LC-5G</t>
  </si>
  <si>
    <t>MERCEDES-BENZ</t>
  </si>
  <si>
    <t>Dump Truck 10 Roda - Mercedes-benz - AROCS 4040K</t>
  </si>
  <si>
    <t xml:space="preserve">VOLVO </t>
  </si>
  <si>
    <t>Dump Truck 10 Roda - Volvo - FMX-400 6x4</t>
  </si>
  <si>
    <t>Motor Grader - Komatsu - GD705-4</t>
  </si>
  <si>
    <t>Bulldozer- Bulldozer - D85ESS</t>
  </si>
  <si>
    <t>Dump Truck 12 Roda - Volvo - FMX440</t>
  </si>
  <si>
    <t>Excavator-Volvo-EC210D</t>
  </si>
  <si>
    <t>Excavator-Doosan-DX300LCA</t>
  </si>
  <si>
    <t>LV PAMA</t>
  </si>
  <si>
    <t>PC 800</t>
  </si>
  <si>
    <t>JCB</t>
  </si>
  <si>
    <t>JCB540-170</t>
  </si>
  <si>
    <t>Dozer36D</t>
  </si>
  <si>
    <t>Dozer8R</t>
  </si>
  <si>
    <t>Dozer9R</t>
  </si>
  <si>
    <t>Dozer10R</t>
  </si>
  <si>
    <t>Dozer6R</t>
  </si>
  <si>
    <t>Dozer7R</t>
  </si>
  <si>
    <t>CAT</t>
  </si>
  <si>
    <t>LIU GONG</t>
  </si>
  <si>
    <t>Dozer160</t>
  </si>
  <si>
    <t>Support</t>
  </si>
  <si>
    <t>D85ESS-BMC</t>
  </si>
  <si>
    <t>D85ESS-EBS</t>
  </si>
  <si>
    <t>D85ESS-PJPN</t>
  </si>
  <si>
    <t>D85ESS-REP</t>
  </si>
  <si>
    <t>Grader14M</t>
  </si>
  <si>
    <t>GraderLiugong</t>
  </si>
  <si>
    <t>Grader825</t>
  </si>
  <si>
    <t>GraderSunny</t>
  </si>
  <si>
    <t>DT COAL</t>
  </si>
  <si>
    <t>Welding</t>
  </si>
  <si>
    <t>Lowboy</t>
  </si>
  <si>
    <t>DT Other</t>
  </si>
  <si>
    <t>GA18FF-10FM</t>
  </si>
  <si>
    <t>Fueltruck</t>
  </si>
  <si>
    <t>Other DT</t>
  </si>
  <si>
    <t>DT</t>
  </si>
  <si>
    <t>FM9LO</t>
  </si>
  <si>
    <t>FM370CT</t>
  </si>
  <si>
    <t>FM440LT</t>
  </si>
  <si>
    <t>FM9FT</t>
  </si>
  <si>
    <t>FM440,36T</t>
  </si>
  <si>
    <t xml:space="preserve"> FM440,33T</t>
  </si>
  <si>
    <t>FM440,35T</t>
  </si>
  <si>
    <t>FM440,37T</t>
  </si>
  <si>
    <t>FM440,34T</t>
  </si>
  <si>
    <t>FM440,42T</t>
  </si>
  <si>
    <t>TRUCK, LIGHT, VOLVO , FM440,41T</t>
  </si>
  <si>
    <t>DT Coal</t>
  </si>
  <si>
    <t>FM440,33T</t>
  </si>
  <si>
    <t>RCU</t>
  </si>
  <si>
    <t>Fuel Skid 20KL</t>
  </si>
  <si>
    <t>Fuel Tank / Skidding</t>
  </si>
  <si>
    <t>Fuel Tank 1000L</t>
  </si>
  <si>
    <t>Fuel Skid 40KL</t>
  </si>
  <si>
    <t>Fuel Skid 35KL</t>
  </si>
  <si>
    <t>towerlamp</t>
  </si>
  <si>
    <t>LS42000</t>
  </si>
  <si>
    <t>LS46000</t>
  </si>
  <si>
    <t>COATES HIRE</t>
  </si>
  <si>
    <t>Lighting Tower - Coates - ALT3500-L</t>
  </si>
  <si>
    <t>YANMAR TF85</t>
  </si>
  <si>
    <t>TF85</t>
  </si>
  <si>
    <t>YANMAR TF105</t>
  </si>
  <si>
    <t>TF105</t>
  </si>
  <si>
    <t>YANMAR TF65</t>
  </si>
  <si>
    <t>TF65</t>
  </si>
  <si>
    <t>Coates Service</t>
  </si>
  <si>
    <t>PLT3500N-EL</t>
  </si>
  <si>
    <t>GENERAC</t>
  </si>
  <si>
    <t>VT8K-LED</t>
  </si>
  <si>
    <t>KIRLOSKAR</t>
  </si>
  <si>
    <t>KG15WS</t>
  </si>
  <si>
    <t>Perkins</t>
  </si>
  <si>
    <t>IngersollRand</t>
  </si>
  <si>
    <t>ALT3500M-EL</t>
  </si>
  <si>
    <t>P380CB6X6CT</t>
  </si>
  <si>
    <t>Nissan</t>
  </si>
  <si>
    <t>P380CB6X6LO</t>
  </si>
  <si>
    <t>P380CB6X6FT</t>
  </si>
  <si>
    <t>P360CB6X6FT</t>
  </si>
  <si>
    <t>WA3803</t>
  </si>
  <si>
    <t>WA6003TY</t>
  </si>
  <si>
    <t>MEB-420EXHV</t>
  </si>
  <si>
    <t>LSA6x8</t>
  </si>
  <si>
    <t>LEGRA140</t>
  </si>
  <si>
    <t>MFV-W420B</t>
  </si>
  <si>
    <t>WD6003</t>
  </si>
  <si>
    <t>Wheel Loader</t>
  </si>
  <si>
    <t>BIGPUMP</t>
  </si>
  <si>
    <t>DREDGER 10/8</t>
  </si>
  <si>
    <t>GA22</t>
  </si>
  <si>
    <t xml:space="preserve">GA22 </t>
  </si>
  <si>
    <t>XAS</t>
  </si>
  <si>
    <t>HTA80A</t>
  </si>
  <si>
    <t>TA120</t>
  </si>
  <si>
    <t>830SERIES</t>
  </si>
  <si>
    <t>IRSS-T30</t>
  </si>
  <si>
    <t>M51</t>
  </si>
  <si>
    <t>pc200</t>
  </si>
  <si>
    <t>PC210-10 MO-PJPN</t>
  </si>
  <si>
    <t>PC210-10 MO-REP</t>
  </si>
  <si>
    <t>PC300-8 MO-BMC</t>
  </si>
  <si>
    <t>pc300</t>
  </si>
  <si>
    <t>PC300-8 MO-EBS</t>
  </si>
  <si>
    <t>PC300-8 MO-PJPN</t>
  </si>
  <si>
    <t>PC300-8 MO-REP</t>
  </si>
  <si>
    <t>EC210D</t>
  </si>
  <si>
    <t>KOBELCO</t>
  </si>
  <si>
    <t>SK 200-10</t>
  </si>
  <si>
    <t>PC210-10 MO-BMC</t>
  </si>
  <si>
    <t>SAKAI 700D-BMC</t>
  </si>
  <si>
    <t>SAKAI 700D-EBS</t>
  </si>
  <si>
    <t>SAKAI 700D-PJPN</t>
  </si>
  <si>
    <t>bus</t>
  </si>
  <si>
    <t>CWB45 LDN-EBS</t>
  </si>
  <si>
    <t>Bus</t>
  </si>
  <si>
    <t>MERCEDES</t>
  </si>
  <si>
    <t>PB-Bagong</t>
  </si>
  <si>
    <t>FVZ34N-BMC</t>
  </si>
  <si>
    <t>TZA520YHNLT</t>
  </si>
  <si>
    <t>FVZ</t>
  </si>
  <si>
    <t>ELF NQR</t>
  </si>
  <si>
    <t>D-MAX</t>
  </si>
  <si>
    <t>COLT Diesel FE 84G BC MT</t>
  </si>
  <si>
    <t>WE205D-BMC</t>
  </si>
  <si>
    <t>PB-Pamandiri</t>
  </si>
  <si>
    <t>PB-Gatra</t>
  </si>
  <si>
    <t>LV-Adelian</t>
  </si>
  <si>
    <t>LV-Gatra</t>
  </si>
  <si>
    <t>LV-KT</t>
  </si>
  <si>
    <t>LV-Adelian-Ambulance</t>
  </si>
  <si>
    <t>SUZUKI</t>
  </si>
  <si>
    <t>LV-Serasi</t>
  </si>
  <si>
    <t>TRITON</t>
  </si>
  <si>
    <t>INOVA</t>
  </si>
  <si>
    <t>KIJANG</t>
  </si>
  <si>
    <t>FORTUNER 2.4 VRZ 4X2 AT (GUN165R-SDTMHD)</t>
  </si>
  <si>
    <t>KIJANG INNOVA2.4V AT</t>
  </si>
  <si>
    <t>P410CB6X6LO</t>
  </si>
  <si>
    <t>TADANO</t>
  </si>
  <si>
    <t>ATF110G-5</t>
  </si>
  <si>
    <t>405FL4</t>
  </si>
  <si>
    <t>R620PM</t>
  </si>
  <si>
    <t>FD506</t>
  </si>
  <si>
    <t>MT1440SLT</t>
  </si>
  <si>
    <t>830SERIESOFF</t>
  </si>
  <si>
    <t>BIG BLUE AIR</t>
  </si>
  <si>
    <t>BIGBLUE500X</t>
  </si>
  <si>
    <t>P124CB4X4ST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</si>
</sst>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_(* #,##0.0_);_(* \(#,##0.0\);_(* &quot;-&quot;??_);_(@_)"/>
    <numFmt numFmtId="167" formatCode="0.0%"/>
    <numFmt numFmtId="168" formatCode="0.000"/>
  </numFmts>
  <fonts count="29">
    <font>
      <sz val="11.0"/>
      <color theme="1"/>
      <name val="Aptos Narrow"/>
      <scheme val="minor"/>
    </font>
    <font>
      <b/>
      <sz val="11.0"/>
      <color rgb="FFFF0000"/>
      <name val="Aptos Narrow"/>
    </font>
    <font>
      <sz val="11.0"/>
      <color theme="1"/>
      <name val="Aptos Narrow"/>
    </font>
    <font>
      <sz val="10.0"/>
      <color rgb="FFFF0000"/>
      <name val="Tahoma"/>
    </font>
    <font>
      <sz val="10.0"/>
      <color theme="1"/>
      <name val="Tahoma"/>
    </font>
    <font>
      <b/>
      <sz val="11.0"/>
      <color theme="1"/>
      <name val="Aptos Narrow"/>
    </font>
    <font>
      <b/>
      <sz val="11.0"/>
      <color theme="0"/>
      <name val="Aptos Narrow"/>
    </font>
    <font>
      <i/>
      <sz val="14.0"/>
      <color theme="1"/>
      <name val="Aptos Narrow"/>
    </font>
    <font>
      <sz val="28.0"/>
      <color theme="1"/>
      <name val="Aptos Narrow"/>
    </font>
    <font>
      <b/>
      <sz val="10.0"/>
      <color theme="1"/>
      <name val="Tahoma"/>
    </font>
    <font>
      <b/>
      <sz val="18.0"/>
      <color theme="0"/>
      <name val="Aptos Narrow"/>
    </font>
    <font/>
    <font>
      <b/>
      <sz val="20.0"/>
      <color theme="1"/>
      <name val="Aptos Narrow"/>
    </font>
    <font>
      <sz val="20.0"/>
      <color theme="1"/>
      <name val="Aptos Narrow"/>
    </font>
    <font>
      <sz val="16.0"/>
      <color theme="1"/>
      <name val="Aptos Narrow"/>
    </font>
    <font>
      <sz val="11.0"/>
      <color rgb="FF7F7F7F"/>
      <name val="Aptos Narrow"/>
    </font>
    <font>
      <b/>
      <sz val="22.0"/>
      <color rgb="FF215E99"/>
      <name val="Aptos Narrow"/>
    </font>
    <font>
      <sz val="11.0"/>
      <color theme="0"/>
      <name val="Aptos Narrow"/>
    </font>
    <font>
      <b/>
      <sz val="22.0"/>
      <color theme="0"/>
      <name val="Aptos Narrow"/>
    </font>
    <font>
      <b/>
      <sz val="11.0"/>
      <color rgb="FF153D64"/>
      <name val="Aptos Narrow"/>
    </font>
    <font>
      <b/>
      <sz val="11.0"/>
      <color rgb="FFC00000"/>
      <name val="Aptos Narrow"/>
    </font>
    <font>
      <sz val="11.0"/>
      <color rgb="FFFF0000"/>
      <name val="Aptos Narrow"/>
    </font>
    <font>
      <sz val="11.0"/>
      <color theme="1"/>
      <name val="Arial"/>
    </font>
    <font>
      <color theme="1"/>
      <name val="Aptos Narrow"/>
      <scheme val="minor"/>
    </font>
    <font>
      <b/>
      <sz val="14.0"/>
      <color theme="1"/>
      <name val="Aptos Narrow"/>
    </font>
    <font>
      <sz val="10.0"/>
      <color rgb="FF000000"/>
      <name val="Tahoma"/>
    </font>
    <font>
      <sz val="10.0"/>
      <color theme="1"/>
      <name val="Play"/>
    </font>
    <font>
      <sz val="11.0"/>
      <color rgb="FF000000"/>
      <name val="Tahoma"/>
    </font>
    <font>
      <sz val="10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0F4861"/>
        <bgColor rgb="FF0F4861"/>
      </patternFill>
    </fill>
    <fill>
      <patternFill patternType="solid">
        <fgColor rgb="FF153D64"/>
        <bgColor rgb="FF153D64"/>
      </patternFill>
    </fill>
    <fill>
      <patternFill patternType="solid">
        <fgColor rgb="FF60CBF3"/>
        <bgColor rgb="FF60CBF3"/>
      </patternFill>
    </fill>
    <fill>
      <patternFill patternType="solid">
        <fgColor rgb="FFDBE9F7"/>
        <bgColor rgb="FFDBE9F7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38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top style="thin">
        <color rgb="FF000000"/>
      </top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/>
      <bottom/>
    </border>
    <border>
      <top/>
      <bottom/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A6C9EB"/>
      </left>
      <right style="thin">
        <color rgb="FFA6C9EB"/>
      </right>
      <top style="thin">
        <color rgb="FFA6C9EB"/>
      </top>
      <bottom/>
    </border>
    <border>
      <left style="thin">
        <color rgb="FFA6C9EB"/>
      </left>
      <right style="thin">
        <color rgb="FFA6C9EB"/>
      </right>
      <top style="thin">
        <color rgb="FFA6C9EB"/>
      </top>
      <bottom style="thin">
        <color rgb="FFA6C9EB"/>
      </bottom>
    </border>
    <border>
      <left style="thin">
        <color rgb="FFC1E4F5"/>
      </left>
      <right style="thin">
        <color rgb="FFC1E4F5"/>
      </right>
      <top style="thin">
        <color rgb="FFC1E4F5"/>
      </top>
    </border>
    <border>
      <right style="thin">
        <color rgb="FFA6C9EB"/>
      </right>
      <top style="thin">
        <color rgb="FFA6C9EB"/>
      </top>
      <bottom style="thin">
        <color rgb="FFA6C9EB"/>
      </bottom>
    </border>
    <border>
      <left style="thin">
        <color rgb="FFA6C9EB"/>
      </left>
      <right style="thin">
        <color rgb="FFA6C9EB"/>
      </right>
      <top style="thin">
        <color rgb="FFA6C9EB"/>
      </top>
    </border>
    <border>
      <left style="thin">
        <color rgb="FFC1E4F5"/>
      </left>
      <right style="thin">
        <color rgb="FFC1E4F5"/>
      </right>
    </border>
    <border>
      <left style="thin">
        <color rgb="FFA6C9EB"/>
      </left>
      <right style="thin">
        <color rgb="FFA6C9EB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A6C9EB"/>
      </right>
      <top style="thin">
        <color rgb="FFA6C9EB"/>
      </top>
    </border>
    <border>
      <right style="thin">
        <color rgb="FF83CAEB"/>
      </right>
      <top style="thin">
        <color rgb="FFA6C9EB"/>
      </top>
      <bottom style="thin">
        <color rgb="FFA6C9EB"/>
      </bottom>
    </border>
    <border>
      <left style="thin">
        <color rgb="FFC1E4F5"/>
      </left>
      <right style="thin">
        <color rgb="FFC1E4F5"/>
      </right>
      <bottom style="thin">
        <color rgb="FFC1E4F5"/>
      </bottom>
    </border>
    <border>
      <left style="thin">
        <color rgb="FFA6C9EB"/>
      </left>
      <right style="thin">
        <color rgb="FFA6C9EB"/>
      </right>
      <bottom style="thin">
        <color rgb="FFA6C9EB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0" fontId="2" numFmtId="0" xfId="0" applyBorder="1" applyFont="1"/>
    <xf borderId="0" fillId="0" fontId="4" numFmtId="0" xfId="0" applyAlignment="1" applyFont="1">
      <alignment horizontal="center" vertical="center"/>
    </xf>
    <xf borderId="2" fillId="2" fontId="5" numFmtId="0" xfId="0" applyAlignment="1" applyBorder="1" applyFill="1" applyFont="1">
      <alignment horizontal="center"/>
    </xf>
    <xf borderId="3" fillId="3" fontId="6" numFmtId="0" xfId="0" applyBorder="1" applyFill="1" applyFont="1"/>
    <xf borderId="0" fillId="0" fontId="7" numFmtId="0" xfId="0" applyFont="1"/>
    <xf borderId="4" fillId="0" fontId="2" numFmtId="0" xfId="0" applyBorder="1" applyFont="1"/>
    <xf borderId="0" fillId="0" fontId="8" numFmtId="0" xfId="0" applyFont="1"/>
    <xf borderId="2" fillId="0" fontId="2" numFmtId="0" xfId="0" applyBorder="1" applyFont="1"/>
    <xf borderId="4" fillId="0" fontId="2" numFmtId="0" xfId="0" applyAlignment="1" applyBorder="1" applyFont="1">
      <alignment horizontal="right"/>
    </xf>
    <xf borderId="0" fillId="0" fontId="6" numFmtId="0" xfId="0" applyAlignment="1" applyFont="1">
      <alignment horizontal="center"/>
    </xf>
    <xf borderId="2" fillId="0" fontId="9" numFmtId="0" xfId="0" applyAlignment="1" applyBorder="1" applyFont="1">
      <alignment horizontal="center" vertical="center"/>
    </xf>
    <xf borderId="5" fillId="0" fontId="2" numFmtId="0" xfId="0" applyBorder="1" applyFont="1"/>
    <xf borderId="6" fillId="4" fontId="10" numFmtId="0" xfId="0" applyAlignment="1" applyBorder="1" applyFill="1" applyFont="1">
      <alignment horizontal="center"/>
    </xf>
    <xf borderId="2" fillId="0" fontId="2" numFmtId="2" xfId="0" applyBorder="1" applyFont="1" applyNumberFormat="1"/>
    <xf borderId="2" fillId="0" fontId="9" numFmtId="164" xfId="0" applyAlignment="1" applyBorder="1" applyFont="1" applyNumberFormat="1">
      <alignment horizontal="center" vertical="center"/>
    </xf>
    <xf borderId="7" fillId="0" fontId="2" numFmtId="0" xfId="0" applyBorder="1" applyFont="1"/>
    <xf borderId="0" fillId="0" fontId="2" numFmtId="2" xfId="0" applyFont="1" applyNumberFormat="1"/>
    <xf borderId="8" fillId="0" fontId="2" numFmtId="0" xfId="0" applyBorder="1" applyFont="1"/>
    <xf borderId="9" fillId="4" fontId="10" numFmtId="0" xfId="0" applyAlignment="1" applyBorder="1" applyFont="1">
      <alignment horizontal="center"/>
    </xf>
    <xf borderId="10" fillId="0" fontId="2" numFmtId="0" xfId="0" applyBorder="1" applyFont="1"/>
    <xf borderId="11" fillId="0" fontId="11" numFmtId="0" xfId="0" applyBorder="1" applyFont="1"/>
    <xf borderId="2" fillId="0" fontId="4" numFmtId="0" xfId="0" applyAlignment="1" applyBorder="1" applyFont="1">
      <alignment horizontal="left" vertical="center"/>
    </xf>
    <xf borderId="10" fillId="5" fontId="2" numFmtId="0" xfId="0" applyBorder="1" applyFill="1" applyFont="1"/>
    <xf borderId="2" fillId="0" fontId="4" numFmtId="0" xfId="0" applyAlignment="1" applyBorder="1" applyFont="1">
      <alignment horizontal="center" vertical="center"/>
    </xf>
    <xf borderId="12" fillId="0" fontId="11" numFmtId="0" xfId="0" applyBorder="1" applyFont="1"/>
    <xf borderId="2" fillId="0" fontId="4" numFmtId="0" xfId="0" applyAlignment="1" applyBorder="1" applyFont="1">
      <alignment vertical="center"/>
    </xf>
    <xf borderId="2" fillId="0" fontId="4" numFmtId="164" xfId="0" applyAlignment="1" applyBorder="1" applyFont="1" applyNumberFormat="1">
      <alignment vertical="center"/>
    </xf>
    <xf borderId="6" fillId="4" fontId="10" numFmtId="0" xfId="0" applyBorder="1" applyFont="1"/>
    <xf quotePrefix="1" borderId="6" fillId="4" fontId="6" numFmtId="0" xfId="0" applyAlignment="1" applyBorder="1" applyFont="1">
      <alignment horizontal="center"/>
    </xf>
    <xf borderId="10" fillId="0" fontId="2" numFmtId="165" xfId="0" applyBorder="1" applyFont="1" applyNumberFormat="1"/>
    <xf borderId="6" fillId="6" fontId="2" numFmtId="0" xfId="0" applyBorder="1" applyFill="1" applyFont="1"/>
    <xf borderId="10" fillId="0" fontId="2" numFmtId="0" xfId="0" applyAlignment="1" applyBorder="1" applyFont="1">
      <alignment horizontal="right"/>
    </xf>
    <xf borderId="10" fillId="5" fontId="2" numFmtId="0" xfId="0" applyAlignment="1" applyBorder="1" applyFont="1">
      <alignment horizontal="right"/>
    </xf>
    <xf borderId="0" fillId="0" fontId="2" numFmtId="165" xfId="0" applyFont="1" applyNumberFormat="1"/>
    <xf borderId="13" fillId="0" fontId="2" numFmtId="0" xfId="0" applyBorder="1" applyFont="1"/>
    <xf borderId="6" fillId="6" fontId="12" numFmtId="2" xfId="0" applyAlignment="1" applyBorder="1" applyFont="1" applyNumberFormat="1">
      <alignment horizontal="center"/>
    </xf>
    <xf quotePrefix="1" borderId="6" fillId="6" fontId="13" numFmtId="0" xfId="0" applyAlignment="1" applyBorder="1" applyFont="1">
      <alignment horizontal="center"/>
    </xf>
    <xf borderId="0" fillId="0" fontId="5" numFmtId="165" xfId="0" applyFont="1" applyNumberFormat="1"/>
    <xf borderId="2" fillId="7" fontId="2" numFmtId="2" xfId="0" applyBorder="1" applyFill="1" applyFont="1" applyNumberFormat="1"/>
    <xf borderId="0" fillId="0" fontId="1" numFmtId="2" xfId="0" applyFont="1" applyNumberFormat="1"/>
    <xf quotePrefix="1" borderId="9" fillId="6" fontId="13" numFmtId="0" xfId="0" applyAlignment="1" applyBorder="1" applyFont="1">
      <alignment horizontal="center"/>
    </xf>
    <xf borderId="0" fillId="0" fontId="5" numFmtId="0" xfId="0" applyFont="1"/>
    <xf borderId="13" fillId="0" fontId="5" numFmtId="0" xfId="0" applyBorder="1" applyFont="1"/>
    <xf borderId="9" fillId="6" fontId="12" numFmtId="2" xfId="0" applyAlignment="1" applyBorder="1" applyFont="1" applyNumberFormat="1">
      <alignment horizontal="center"/>
    </xf>
    <xf borderId="6" fillId="6" fontId="13" numFmtId="0" xfId="0" applyAlignment="1" applyBorder="1" applyFont="1">
      <alignment horizontal="center"/>
    </xf>
    <xf borderId="10" fillId="8" fontId="6" numFmtId="0" xfId="0" applyAlignment="1" applyBorder="1" applyFill="1" applyFont="1">
      <alignment horizontal="right"/>
    </xf>
    <xf borderId="6" fillId="6" fontId="13" numFmtId="0" xfId="0" applyBorder="1" applyFont="1"/>
    <xf borderId="10" fillId="8" fontId="6" numFmtId="0" xfId="0" applyBorder="1" applyFont="1"/>
    <xf borderId="8" fillId="0" fontId="2" numFmtId="164" xfId="0" applyBorder="1" applyFont="1" applyNumberFormat="1"/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6" fillId="6" fontId="14" numFmtId="0" xfId="0" applyBorder="1" applyFont="1"/>
    <xf borderId="10" fillId="0" fontId="2" numFmtId="164" xfId="0" applyBorder="1" applyFont="1" applyNumberFormat="1"/>
    <xf borderId="10" fillId="9" fontId="15" numFmtId="165" xfId="0" applyBorder="1" applyFill="1" applyFont="1" applyNumberFormat="1"/>
    <xf borderId="10" fillId="0" fontId="15" numFmtId="165" xfId="0" applyBorder="1" applyFont="1" applyNumberFormat="1"/>
    <xf borderId="14" fillId="6" fontId="16" numFmtId="0" xfId="0" applyAlignment="1" applyBorder="1" applyFont="1">
      <alignment horizontal="center"/>
    </xf>
    <xf borderId="15" fillId="0" fontId="11" numFmtId="0" xfId="0" applyBorder="1" applyFont="1"/>
    <xf borderId="16" fillId="0" fontId="11" numFmtId="0" xfId="0" applyBorder="1" applyFont="1"/>
    <xf borderId="17" fillId="0" fontId="2" numFmtId="0" xfId="0" applyBorder="1" applyFont="1"/>
    <xf borderId="18" fillId="0" fontId="2" numFmtId="0" xfId="0" applyBorder="1" applyFont="1"/>
    <xf borderId="10" fillId="10" fontId="2" numFmtId="165" xfId="0" applyBorder="1" applyFill="1" applyFont="1" applyNumberFormat="1"/>
    <xf borderId="19" fillId="0" fontId="2" numFmtId="0" xfId="0" applyBorder="1" applyFont="1"/>
    <xf borderId="10" fillId="10" fontId="2" numFmtId="164" xfId="0" applyBorder="1" applyFont="1" applyNumberFormat="1"/>
    <xf borderId="20" fillId="0" fontId="2" numFmtId="0" xfId="0" applyBorder="1" applyFont="1"/>
    <xf borderId="21" fillId="0" fontId="2" numFmtId="0" xfId="0" applyBorder="1" applyFont="1"/>
    <xf borderId="13" fillId="0" fontId="2" numFmtId="9" xfId="0" applyBorder="1" applyFont="1" applyNumberFormat="1"/>
    <xf borderId="6" fillId="4" fontId="6" numFmtId="0" xfId="0" applyBorder="1" applyFont="1"/>
    <xf borderId="6" fillId="4" fontId="17" numFmtId="0" xfId="0" applyBorder="1" applyFont="1"/>
    <xf borderId="9" fillId="4" fontId="6" numFmtId="0" xfId="0" applyAlignment="1" applyBorder="1" applyFont="1">
      <alignment horizontal="left"/>
    </xf>
    <xf borderId="9" fillId="4" fontId="18" numFmtId="0" xfId="0" applyAlignment="1" applyBorder="1" applyFont="1">
      <alignment horizontal="left"/>
    </xf>
    <xf borderId="0" fillId="0" fontId="19" numFmtId="0" xfId="0" applyAlignment="1" applyFont="1">
      <alignment horizontal="left"/>
    </xf>
    <xf borderId="0" fillId="0" fontId="20" numFmtId="0" xfId="0" applyFont="1"/>
    <xf borderId="0" fillId="0" fontId="17" numFmtId="0" xfId="0" applyFont="1"/>
    <xf borderId="22" fillId="6" fontId="5" numFmtId="0" xfId="0" applyAlignment="1" applyBorder="1" applyFont="1">
      <alignment horizontal="center" vertical="center"/>
    </xf>
    <xf borderId="23" fillId="6" fontId="5" numFmtId="0" xfId="0" applyAlignment="1" applyBorder="1" applyFont="1">
      <alignment horizontal="center" vertical="center"/>
    </xf>
    <xf borderId="23" fillId="6" fontId="5" numFmtId="0" xfId="0" applyBorder="1" applyFont="1"/>
    <xf borderId="23" fillId="6" fontId="5" numFmtId="0" xfId="0" applyAlignment="1" applyBorder="1" applyFont="1">
      <alignment horizontal="center"/>
    </xf>
    <xf borderId="0" fillId="0" fontId="21" numFmtId="0" xfId="0" applyFont="1"/>
    <xf borderId="24" fillId="0" fontId="2" numFmtId="0" xfId="0" applyAlignment="1" applyBorder="1" applyFont="1">
      <alignment horizontal="center" vertical="top"/>
    </xf>
    <xf borderId="25" fillId="0" fontId="22" numFmtId="0" xfId="0" applyAlignment="1" applyBorder="1" applyFont="1">
      <alignment readingOrder="0"/>
    </xf>
    <xf borderId="23" fillId="0" fontId="2" numFmtId="0" xfId="0" applyAlignment="1" applyBorder="1" applyFont="1">
      <alignment horizontal="center"/>
    </xf>
    <xf borderId="23" fillId="0" fontId="2" numFmtId="164" xfId="0" applyAlignment="1" applyBorder="1" applyFont="1" applyNumberFormat="1">
      <alignment horizontal="center"/>
    </xf>
    <xf borderId="23" fillId="0" fontId="2" numFmtId="164" xfId="0" applyAlignment="1" applyBorder="1" applyFont="1" applyNumberFormat="1">
      <alignment horizontal="right"/>
    </xf>
    <xf borderId="26" fillId="0" fontId="5" numFmtId="2" xfId="0" applyAlignment="1" applyBorder="1" applyFont="1" applyNumberFormat="1">
      <alignment horizontal="center" vertical="center"/>
    </xf>
    <xf borderId="23" fillId="0" fontId="2" numFmtId="0" xfId="0" applyBorder="1" applyFont="1"/>
    <xf borderId="23" fillId="0" fontId="2" numFmtId="1" xfId="0" applyAlignment="1" applyBorder="1" applyFont="1" applyNumberFormat="1">
      <alignment horizontal="center"/>
    </xf>
    <xf borderId="23" fillId="0" fontId="2" numFmtId="166" xfId="0" applyAlignment="1" applyBorder="1" applyFont="1" applyNumberFormat="1">
      <alignment horizontal="center"/>
    </xf>
    <xf borderId="26" fillId="0" fontId="2" numFmtId="164" xfId="0" applyAlignment="1" applyBorder="1" applyFont="1" applyNumberFormat="1">
      <alignment horizontal="center" vertical="center"/>
    </xf>
    <xf borderId="26" fillId="0" fontId="2" numFmtId="164" xfId="0" applyAlignment="1" applyBorder="1" applyFont="1" applyNumberFormat="1">
      <alignment horizontal="center" shrinkToFit="0" vertical="center" wrapText="1"/>
    </xf>
    <xf borderId="26" fillId="0" fontId="5" numFmtId="2" xfId="0" applyAlignment="1" applyBorder="1" applyFont="1" applyNumberFormat="1">
      <alignment horizontal="center" shrinkToFit="0" vertical="center" wrapText="1"/>
    </xf>
    <xf borderId="27" fillId="0" fontId="11" numFmtId="0" xfId="0" applyBorder="1" applyFont="1"/>
    <xf borderId="25" fillId="0" fontId="2" numFmtId="0" xfId="0" applyBorder="1" applyFont="1"/>
    <xf borderId="28" fillId="0" fontId="11" numFmtId="0" xfId="0" applyBorder="1" applyFont="1"/>
    <xf borderId="0" fillId="0" fontId="2" numFmtId="0" xfId="0" applyAlignment="1" applyFont="1">
      <alignment horizontal="center"/>
    </xf>
    <xf borderId="13" fillId="0" fontId="2" numFmtId="167" xfId="0" applyBorder="1" applyFont="1" applyNumberFormat="1"/>
    <xf borderId="29" fillId="8" fontId="6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29" fillId="0" fontId="2" numFmtId="1" xfId="0" applyAlignment="1" applyBorder="1" applyFont="1" applyNumberFormat="1">
      <alignment horizontal="center"/>
    </xf>
    <xf borderId="30" fillId="0" fontId="2" numFmtId="0" xfId="0" applyBorder="1" applyFont="1"/>
    <xf borderId="31" fillId="0" fontId="2" numFmtId="0" xfId="0" applyBorder="1" applyFont="1"/>
    <xf borderId="10" fillId="11" fontId="5" numFmtId="165" xfId="0" applyBorder="1" applyFill="1" applyFont="1" applyNumberFormat="1"/>
    <xf borderId="10" fillId="11" fontId="5" numFmtId="164" xfId="0" applyBorder="1" applyFont="1" applyNumberFormat="1"/>
    <xf borderId="32" fillId="0" fontId="11" numFmtId="0" xfId="0" applyBorder="1" applyFont="1"/>
    <xf borderId="33" fillId="0" fontId="11" numFmtId="0" xfId="0" applyBorder="1" applyFont="1"/>
    <xf borderId="0" fillId="0" fontId="23" numFmtId="0" xfId="0" applyFont="1"/>
    <xf borderId="9" fillId="6" fontId="5" numFmtId="0" xfId="0" applyAlignment="1" applyBorder="1" applyFont="1">
      <alignment horizontal="center"/>
    </xf>
    <xf borderId="6" fillId="6" fontId="24" numFmtId="2" xfId="0" applyAlignment="1" applyBorder="1" applyFont="1" applyNumberFormat="1">
      <alignment horizontal="center"/>
    </xf>
    <xf borderId="0" fillId="0" fontId="5" numFmtId="0" xfId="0" applyAlignment="1" applyFont="1">
      <alignment horizontal="left"/>
    </xf>
    <xf borderId="23" fillId="0" fontId="5" numFmtId="164" xfId="0" applyAlignment="1" applyBorder="1" applyFont="1" applyNumberFormat="1">
      <alignment horizontal="center"/>
    </xf>
    <xf borderId="23" fillId="0" fontId="2" numFmtId="2" xfId="0" applyAlignment="1" applyBorder="1" applyFont="1" applyNumberFormat="1">
      <alignment horizontal="right"/>
    </xf>
    <xf borderId="24" fillId="0" fontId="5" numFmtId="2" xfId="0" applyAlignment="1" applyBorder="1" applyFont="1" applyNumberFormat="1">
      <alignment horizontal="center" vertical="center"/>
    </xf>
    <xf borderId="25" fillId="0" fontId="2" numFmtId="0" xfId="0" applyAlignment="1" applyBorder="1" applyFont="1">
      <alignment horizontal="center"/>
    </xf>
    <xf borderId="23" fillId="0" fontId="5" numFmtId="166" xfId="0" applyAlignment="1" applyBorder="1" applyFont="1" applyNumberFormat="1">
      <alignment horizontal="center"/>
    </xf>
    <xf borderId="23" fillId="0" fontId="5" numFmtId="0" xfId="0" applyAlignment="1" applyBorder="1" applyFont="1">
      <alignment horizontal="center"/>
    </xf>
    <xf borderId="0" fillId="0" fontId="2" numFmtId="168" xfId="0" applyFont="1" applyNumberFormat="1"/>
    <xf borderId="0" fillId="0" fontId="2" numFmtId="0" xfId="0" applyAlignment="1" applyFont="1">
      <alignment horizontal="center" vertical="top"/>
    </xf>
    <xf borderId="0" fillId="0" fontId="14" numFmtId="0" xfId="0" applyFont="1"/>
    <xf borderId="2" fillId="0" fontId="4" numFmtId="165" xfId="0" applyAlignment="1" applyBorder="1" applyFont="1" applyNumberFormat="1">
      <alignment vertical="center"/>
    </xf>
    <xf borderId="0" fillId="0" fontId="2" numFmtId="0" xfId="0" applyAlignment="1" applyFont="1">
      <alignment horizontal="left"/>
    </xf>
    <xf borderId="2" fillId="0" fontId="4" numFmtId="165" xfId="0" applyAlignment="1" applyBorder="1" applyFont="1" applyNumberFormat="1">
      <alignment horizontal="left" vertical="center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2" fillId="0" fontId="2" numFmtId="164" xfId="0" applyBorder="1" applyFont="1" applyNumberFormat="1"/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vertical="center"/>
    </xf>
    <xf borderId="2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vertical="center"/>
    </xf>
    <xf borderId="34" fillId="0" fontId="4" numFmtId="0" xfId="0" applyAlignment="1" applyBorder="1" applyFont="1">
      <alignment horizontal="center" vertical="center"/>
    </xf>
    <xf borderId="35" fillId="0" fontId="4" numFmtId="164" xfId="0" applyAlignment="1" applyBorder="1" applyFont="1" applyNumberFormat="1">
      <alignment vertical="center"/>
    </xf>
    <xf borderId="36" fillId="0" fontId="4" numFmtId="164" xfId="0" applyAlignment="1" applyBorder="1" applyFont="1" applyNumberFormat="1">
      <alignment vertical="center"/>
    </xf>
    <xf borderId="34" fillId="0" fontId="4" numFmtId="164" xfId="0" applyAlignment="1" applyBorder="1" applyFont="1" applyNumberFormat="1">
      <alignment vertical="center"/>
    </xf>
    <xf borderId="8" fillId="0" fontId="4" numFmtId="164" xfId="0" applyAlignment="1" applyBorder="1" applyFont="1" applyNumberFormat="1">
      <alignment vertical="center"/>
    </xf>
    <xf borderId="37" fillId="0" fontId="26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2" fillId="0" fontId="27" numFmtId="0" xfId="0" applyAlignment="1" applyBorder="1" applyFont="1">
      <alignment horizontal="center" vertical="center"/>
    </xf>
    <xf borderId="29" fillId="0" fontId="2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2.xml"/><Relationship Id="rId190" Type="http://schemas.openxmlformats.org/officeDocument/2006/relationships/externalLink" Target="externalLinks/externalLink182.xml"/><Relationship Id="rId42" Type="http://schemas.openxmlformats.org/officeDocument/2006/relationships/externalLink" Target="externalLinks/externalLink34.xml"/><Relationship Id="rId41" Type="http://schemas.openxmlformats.org/officeDocument/2006/relationships/externalLink" Target="externalLinks/externalLink33.xml"/><Relationship Id="rId44" Type="http://schemas.openxmlformats.org/officeDocument/2006/relationships/externalLink" Target="externalLinks/externalLink36.xml"/><Relationship Id="rId194" Type="http://schemas.openxmlformats.org/officeDocument/2006/relationships/externalLink" Target="externalLinks/externalLink186.xml"/><Relationship Id="rId43" Type="http://schemas.openxmlformats.org/officeDocument/2006/relationships/externalLink" Target="externalLinks/externalLink35.xml"/><Relationship Id="rId193" Type="http://schemas.openxmlformats.org/officeDocument/2006/relationships/externalLink" Target="externalLinks/externalLink185.xml"/><Relationship Id="rId46" Type="http://schemas.openxmlformats.org/officeDocument/2006/relationships/externalLink" Target="externalLinks/externalLink38.xml"/><Relationship Id="rId192" Type="http://schemas.openxmlformats.org/officeDocument/2006/relationships/externalLink" Target="externalLinks/externalLink184.xml"/><Relationship Id="rId45" Type="http://schemas.openxmlformats.org/officeDocument/2006/relationships/externalLink" Target="externalLinks/externalLink37.xml"/><Relationship Id="rId191" Type="http://schemas.openxmlformats.org/officeDocument/2006/relationships/externalLink" Target="externalLinks/externalLink183.xml"/><Relationship Id="rId48" Type="http://schemas.openxmlformats.org/officeDocument/2006/relationships/externalLink" Target="externalLinks/externalLink40.xml"/><Relationship Id="rId187" Type="http://schemas.openxmlformats.org/officeDocument/2006/relationships/externalLink" Target="externalLinks/externalLink179.xml"/><Relationship Id="rId47" Type="http://schemas.openxmlformats.org/officeDocument/2006/relationships/externalLink" Target="externalLinks/externalLink39.xml"/><Relationship Id="rId186" Type="http://schemas.openxmlformats.org/officeDocument/2006/relationships/externalLink" Target="externalLinks/externalLink178.xml"/><Relationship Id="rId185" Type="http://schemas.openxmlformats.org/officeDocument/2006/relationships/externalLink" Target="externalLinks/externalLink177.xml"/><Relationship Id="rId49" Type="http://schemas.openxmlformats.org/officeDocument/2006/relationships/externalLink" Target="externalLinks/externalLink41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188" Type="http://schemas.openxmlformats.org/officeDocument/2006/relationships/externalLink" Target="externalLinks/externalLink180.xml"/><Relationship Id="rId31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25.xml"/><Relationship Id="rId183" Type="http://schemas.openxmlformats.org/officeDocument/2006/relationships/externalLink" Target="externalLinks/externalLink175.xml"/><Relationship Id="rId32" Type="http://schemas.openxmlformats.org/officeDocument/2006/relationships/externalLink" Target="externalLinks/externalLink24.xml"/><Relationship Id="rId182" Type="http://schemas.openxmlformats.org/officeDocument/2006/relationships/externalLink" Target="externalLinks/externalLink174.xml"/><Relationship Id="rId35" Type="http://schemas.openxmlformats.org/officeDocument/2006/relationships/externalLink" Target="externalLinks/externalLink27.xml"/><Relationship Id="rId181" Type="http://schemas.openxmlformats.org/officeDocument/2006/relationships/externalLink" Target="externalLinks/externalLink173.xml"/><Relationship Id="rId34" Type="http://schemas.openxmlformats.org/officeDocument/2006/relationships/externalLink" Target="externalLinks/externalLink26.xml"/><Relationship Id="rId180" Type="http://schemas.openxmlformats.org/officeDocument/2006/relationships/externalLink" Target="externalLinks/externalLink172.xml"/><Relationship Id="rId37" Type="http://schemas.openxmlformats.org/officeDocument/2006/relationships/externalLink" Target="externalLinks/externalLink29.xml"/><Relationship Id="rId176" Type="http://schemas.openxmlformats.org/officeDocument/2006/relationships/externalLink" Target="externalLinks/externalLink168.xml"/><Relationship Id="rId36" Type="http://schemas.openxmlformats.org/officeDocument/2006/relationships/externalLink" Target="externalLinks/externalLink28.xml"/><Relationship Id="rId175" Type="http://schemas.openxmlformats.org/officeDocument/2006/relationships/externalLink" Target="externalLinks/externalLink167.xml"/><Relationship Id="rId39" Type="http://schemas.openxmlformats.org/officeDocument/2006/relationships/externalLink" Target="externalLinks/externalLink31.xml"/><Relationship Id="rId174" Type="http://schemas.openxmlformats.org/officeDocument/2006/relationships/externalLink" Target="externalLinks/externalLink166.xml"/><Relationship Id="rId38" Type="http://schemas.openxmlformats.org/officeDocument/2006/relationships/externalLink" Target="externalLinks/externalLink30.xml"/><Relationship Id="rId173" Type="http://schemas.openxmlformats.org/officeDocument/2006/relationships/externalLink" Target="externalLinks/externalLink165.xml"/><Relationship Id="rId179" Type="http://schemas.openxmlformats.org/officeDocument/2006/relationships/externalLink" Target="externalLinks/externalLink171.xml"/><Relationship Id="rId178" Type="http://schemas.openxmlformats.org/officeDocument/2006/relationships/externalLink" Target="externalLinks/externalLink170.xml"/><Relationship Id="rId177" Type="http://schemas.openxmlformats.org/officeDocument/2006/relationships/externalLink" Target="externalLinks/externalLink169.xml"/><Relationship Id="rId20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5" Type="http://schemas.openxmlformats.org/officeDocument/2006/relationships/externalLink" Target="externalLinks/externalLink7.xml"/><Relationship Id="rId198" Type="http://schemas.openxmlformats.org/officeDocument/2006/relationships/externalLink" Target="externalLinks/externalLink190.xml"/><Relationship Id="rId14" Type="http://schemas.openxmlformats.org/officeDocument/2006/relationships/externalLink" Target="externalLinks/externalLink6.xml"/><Relationship Id="rId197" Type="http://schemas.openxmlformats.org/officeDocument/2006/relationships/externalLink" Target="externalLinks/externalLink189.xml"/><Relationship Id="rId17" Type="http://schemas.openxmlformats.org/officeDocument/2006/relationships/externalLink" Target="externalLinks/externalLink9.xml"/><Relationship Id="rId196" Type="http://schemas.openxmlformats.org/officeDocument/2006/relationships/externalLink" Target="externalLinks/externalLink188.xml"/><Relationship Id="rId16" Type="http://schemas.openxmlformats.org/officeDocument/2006/relationships/externalLink" Target="externalLinks/externalLink8.xml"/><Relationship Id="rId195" Type="http://schemas.openxmlformats.org/officeDocument/2006/relationships/externalLink" Target="externalLinks/externalLink187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99" Type="http://schemas.openxmlformats.org/officeDocument/2006/relationships/externalLink" Target="externalLinks/externalLink191.xml"/><Relationship Id="rId84" Type="http://schemas.openxmlformats.org/officeDocument/2006/relationships/externalLink" Target="externalLinks/externalLink76.xml"/><Relationship Id="rId83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0.xml"/><Relationship Id="rId150" Type="http://schemas.openxmlformats.org/officeDocument/2006/relationships/externalLink" Target="externalLinks/externalLink142.xml"/><Relationship Id="rId87" Type="http://schemas.openxmlformats.org/officeDocument/2006/relationships/externalLink" Target="externalLinks/externalLink79.xml"/><Relationship Id="rId89" Type="http://schemas.openxmlformats.org/officeDocument/2006/relationships/externalLink" Target="externalLinks/externalLink81.xml"/><Relationship Id="rId80" Type="http://schemas.openxmlformats.org/officeDocument/2006/relationships/externalLink" Target="externalLinks/externalLink72.xml"/><Relationship Id="rId82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externalLink" Target="externalLinks/externalLink141.xml"/><Relationship Id="rId4" Type="http://schemas.openxmlformats.org/officeDocument/2006/relationships/worksheet" Target="worksheets/sheet1.xml"/><Relationship Id="rId148" Type="http://schemas.openxmlformats.org/officeDocument/2006/relationships/externalLink" Target="externalLinks/externalLink140.xml"/><Relationship Id="rId9" Type="http://schemas.openxmlformats.org/officeDocument/2006/relationships/externalLink" Target="externalLinks/externalLink1.xml"/><Relationship Id="rId143" Type="http://schemas.openxmlformats.org/officeDocument/2006/relationships/externalLink" Target="externalLinks/externalLink135.xml"/><Relationship Id="rId142" Type="http://schemas.openxmlformats.org/officeDocument/2006/relationships/externalLink" Target="externalLinks/externalLink134.xml"/><Relationship Id="rId141" Type="http://schemas.openxmlformats.org/officeDocument/2006/relationships/externalLink" Target="externalLinks/externalLink133.xml"/><Relationship Id="rId140" Type="http://schemas.openxmlformats.org/officeDocument/2006/relationships/externalLink" Target="externalLinks/externalLink132.xml"/><Relationship Id="rId5" Type="http://schemas.openxmlformats.org/officeDocument/2006/relationships/worksheet" Target="worksheets/sheet2.xml"/><Relationship Id="rId147" Type="http://schemas.openxmlformats.org/officeDocument/2006/relationships/externalLink" Target="externalLinks/externalLink139.xml"/><Relationship Id="rId6" Type="http://schemas.openxmlformats.org/officeDocument/2006/relationships/worksheet" Target="worksheets/sheet3.xml"/><Relationship Id="rId146" Type="http://schemas.openxmlformats.org/officeDocument/2006/relationships/externalLink" Target="externalLinks/externalLink138.xml"/><Relationship Id="rId7" Type="http://schemas.openxmlformats.org/officeDocument/2006/relationships/worksheet" Target="worksheets/sheet4.xml"/><Relationship Id="rId145" Type="http://schemas.openxmlformats.org/officeDocument/2006/relationships/externalLink" Target="externalLinks/externalLink137.xml"/><Relationship Id="rId8" Type="http://schemas.openxmlformats.org/officeDocument/2006/relationships/worksheet" Target="worksheets/sheet5.xml"/><Relationship Id="rId144" Type="http://schemas.openxmlformats.org/officeDocument/2006/relationships/externalLink" Target="externalLinks/externalLink136.xml"/><Relationship Id="rId73" Type="http://schemas.openxmlformats.org/officeDocument/2006/relationships/externalLink" Target="externalLinks/externalLink65.xml"/><Relationship Id="rId72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7.xml"/><Relationship Id="rId74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69.xml"/><Relationship Id="rId76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0.xml"/><Relationship Id="rId71" Type="http://schemas.openxmlformats.org/officeDocument/2006/relationships/externalLink" Target="externalLinks/externalLink63.xml"/><Relationship Id="rId70" Type="http://schemas.openxmlformats.org/officeDocument/2006/relationships/externalLink" Target="externalLinks/externalLink62.xml"/><Relationship Id="rId139" Type="http://schemas.openxmlformats.org/officeDocument/2006/relationships/externalLink" Target="externalLinks/externalLink131.xml"/><Relationship Id="rId138" Type="http://schemas.openxmlformats.org/officeDocument/2006/relationships/externalLink" Target="externalLinks/externalLink130.xml"/><Relationship Id="rId137" Type="http://schemas.openxmlformats.org/officeDocument/2006/relationships/externalLink" Target="externalLinks/externalLink129.xml"/><Relationship Id="rId132" Type="http://schemas.openxmlformats.org/officeDocument/2006/relationships/externalLink" Target="externalLinks/externalLink124.xml"/><Relationship Id="rId131" Type="http://schemas.openxmlformats.org/officeDocument/2006/relationships/externalLink" Target="externalLinks/externalLink123.xml"/><Relationship Id="rId130" Type="http://schemas.openxmlformats.org/officeDocument/2006/relationships/externalLink" Target="externalLinks/externalLink122.xml"/><Relationship Id="rId136" Type="http://schemas.openxmlformats.org/officeDocument/2006/relationships/externalLink" Target="externalLinks/externalLink128.xml"/><Relationship Id="rId135" Type="http://schemas.openxmlformats.org/officeDocument/2006/relationships/externalLink" Target="externalLinks/externalLink127.xml"/><Relationship Id="rId134" Type="http://schemas.openxmlformats.org/officeDocument/2006/relationships/externalLink" Target="externalLinks/externalLink126.xml"/><Relationship Id="rId133" Type="http://schemas.openxmlformats.org/officeDocument/2006/relationships/externalLink" Target="externalLinks/externalLink125.xml"/><Relationship Id="rId62" Type="http://schemas.openxmlformats.org/officeDocument/2006/relationships/externalLink" Target="externalLinks/externalLink54.xml"/><Relationship Id="rId61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56.xml"/><Relationship Id="rId63" Type="http://schemas.openxmlformats.org/officeDocument/2006/relationships/externalLink" Target="externalLinks/externalLink55.xml"/><Relationship Id="rId66" Type="http://schemas.openxmlformats.org/officeDocument/2006/relationships/externalLink" Target="externalLinks/externalLink58.xml"/><Relationship Id="rId172" Type="http://schemas.openxmlformats.org/officeDocument/2006/relationships/externalLink" Target="externalLinks/externalLink164.xml"/><Relationship Id="rId65" Type="http://schemas.openxmlformats.org/officeDocument/2006/relationships/externalLink" Target="externalLinks/externalLink57.xml"/><Relationship Id="rId171" Type="http://schemas.openxmlformats.org/officeDocument/2006/relationships/externalLink" Target="externalLinks/externalLink163.xml"/><Relationship Id="rId68" Type="http://schemas.openxmlformats.org/officeDocument/2006/relationships/externalLink" Target="externalLinks/externalLink60.xml"/><Relationship Id="rId170" Type="http://schemas.openxmlformats.org/officeDocument/2006/relationships/externalLink" Target="externalLinks/externalLink162.xml"/><Relationship Id="rId67" Type="http://schemas.openxmlformats.org/officeDocument/2006/relationships/externalLink" Target="externalLinks/externalLink59.xml"/><Relationship Id="rId60" Type="http://schemas.openxmlformats.org/officeDocument/2006/relationships/externalLink" Target="externalLinks/externalLink52.xml"/><Relationship Id="rId165" Type="http://schemas.openxmlformats.org/officeDocument/2006/relationships/externalLink" Target="externalLinks/externalLink157.xml"/><Relationship Id="rId69" Type="http://schemas.openxmlformats.org/officeDocument/2006/relationships/externalLink" Target="externalLinks/externalLink61.xml"/><Relationship Id="rId164" Type="http://schemas.openxmlformats.org/officeDocument/2006/relationships/externalLink" Target="externalLinks/externalLink156.xml"/><Relationship Id="rId163" Type="http://schemas.openxmlformats.org/officeDocument/2006/relationships/externalLink" Target="externalLinks/externalLink155.xml"/><Relationship Id="rId162" Type="http://schemas.openxmlformats.org/officeDocument/2006/relationships/externalLink" Target="externalLinks/externalLink154.xml"/><Relationship Id="rId169" Type="http://schemas.openxmlformats.org/officeDocument/2006/relationships/externalLink" Target="externalLinks/externalLink161.xml"/><Relationship Id="rId168" Type="http://schemas.openxmlformats.org/officeDocument/2006/relationships/externalLink" Target="externalLinks/externalLink160.xml"/><Relationship Id="rId167" Type="http://schemas.openxmlformats.org/officeDocument/2006/relationships/externalLink" Target="externalLinks/externalLink159.xml"/><Relationship Id="rId166" Type="http://schemas.openxmlformats.org/officeDocument/2006/relationships/externalLink" Target="externalLinks/externalLink158.xml"/><Relationship Id="rId51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45.xml"/><Relationship Id="rId52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7.xml"/><Relationship Id="rId161" Type="http://schemas.openxmlformats.org/officeDocument/2006/relationships/externalLink" Target="externalLinks/externalLink153.xml"/><Relationship Id="rId54" Type="http://schemas.openxmlformats.org/officeDocument/2006/relationships/externalLink" Target="externalLinks/externalLink46.xml"/><Relationship Id="rId160" Type="http://schemas.openxmlformats.org/officeDocument/2006/relationships/externalLink" Target="externalLinks/externalLink152.xml"/><Relationship Id="rId57" Type="http://schemas.openxmlformats.org/officeDocument/2006/relationships/externalLink" Target="externalLinks/externalLink49.xml"/><Relationship Id="rId56" Type="http://schemas.openxmlformats.org/officeDocument/2006/relationships/externalLink" Target="externalLinks/externalLink48.xml"/><Relationship Id="rId159" Type="http://schemas.openxmlformats.org/officeDocument/2006/relationships/externalLink" Target="externalLinks/externalLink151.xml"/><Relationship Id="rId59" Type="http://schemas.openxmlformats.org/officeDocument/2006/relationships/externalLink" Target="externalLinks/externalLink51.xml"/><Relationship Id="rId154" Type="http://schemas.openxmlformats.org/officeDocument/2006/relationships/externalLink" Target="externalLinks/externalLink146.xml"/><Relationship Id="rId58" Type="http://schemas.openxmlformats.org/officeDocument/2006/relationships/externalLink" Target="externalLinks/externalLink50.xml"/><Relationship Id="rId153" Type="http://schemas.openxmlformats.org/officeDocument/2006/relationships/externalLink" Target="externalLinks/externalLink145.xml"/><Relationship Id="rId152" Type="http://schemas.openxmlformats.org/officeDocument/2006/relationships/externalLink" Target="externalLinks/externalLink144.xml"/><Relationship Id="rId151" Type="http://schemas.openxmlformats.org/officeDocument/2006/relationships/externalLink" Target="externalLinks/externalLink143.xml"/><Relationship Id="rId158" Type="http://schemas.openxmlformats.org/officeDocument/2006/relationships/externalLink" Target="externalLinks/externalLink150.xml"/><Relationship Id="rId157" Type="http://schemas.openxmlformats.org/officeDocument/2006/relationships/externalLink" Target="externalLinks/externalLink149.xml"/><Relationship Id="rId156" Type="http://schemas.openxmlformats.org/officeDocument/2006/relationships/externalLink" Target="externalLinks/externalLink148.xml"/><Relationship Id="rId155" Type="http://schemas.openxmlformats.org/officeDocument/2006/relationships/externalLink" Target="externalLinks/externalLink147.xml"/><Relationship Id="rId107" Type="http://schemas.openxmlformats.org/officeDocument/2006/relationships/externalLink" Target="externalLinks/externalLink99.xml"/><Relationship Id="rId228" Type="http://schemas.openxmlformats.org/officeDocument/2006/relationships/externalLink" Target="externalLinks/externalLink220.xml"/><Relationship Id="rId106" Type="http://schemas.openxmlformats.org/officeDocument/2006/relationships/externalLink" Target="externalLinks/externalLink98.xml"/><Relationship Id="rId227" Type="http://schemas.openxmlformats.org/officeDocument/2006/relationships/externalLink" Target="externalLinks/externalLink219.xml"/><Relationship Id="rId105" Type="http://schemas.openxmlformats.org/officeDocument/2006/relationships/externalLink" Target="externalLinks/externalLink97.xml"/><Relationship Id="rId226" Type="http://schemas.openxmlformats.org/officeDocument/2006/relationships/externalLink" Target="externalLinks/externalLink218.xml"/><Relationship Id="rId104" Type="http://schemas.openxmlformats.org/officeDocument/2006/relationships/externalLink" Target="externalLinks/externalLink96.xml"/><Relationship Id="rId225" Type="http://schemas.openxmlformats.org/officeDocument/2006/relationships/externalLink" Target="externalLinks/externalLink217.xml"/><Relationship Id="rId109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0.xml"/><Relationship Id="rId229" Type="http://schemas.openxmlformats.org/officeDocument/2006/relationships/externalLink" Target="externalLinks/externalLink221.xml"/><Relationship Id="rId220" Type="http://schemas.openxmlformats.org/officeDocument/2006/relationships/externalLink" Target="externalLinks/externalLink212.xml"/><Relationship Id="rId103" Type="http://schemas.openxmlformats.org/officeDocument/2006/relationships/externalLink" Target="externalLinks/externalLink95.xml"/><Relationship Id="rId224" Type="http://schemas.openxmlformats.org/officeDocument/2006/relationships/externalLink" Target="externalLinks/externalLink216.xml"/><Relationship Id="rId102" Type="http://schemas.openxmlformats.org/officeDocument/2006/relationships/externalLink" Target="externalLinks/externalLink94.xml"/><Relationship Id="rId223" Type="http://schemas.openxmlformats.org/officeDocument/2006/relationships/externalLink" Target="externalLinks/externalLink215.xml"/><Relationship Id="rId101" Type="http://schemas.openxmlformats.org/officeDocument/2006/relationships/externalLink" Target="externalLinks/externalLink93.xml"/><Relationship Id="rId222" Type="http://schemas.openxmlformats.org/officeDocument/2006/relationships/externalLink" Target="externalLinks/externalLink214.xml"/><Relationship Id="rId100" Type="http://schemas.openxmlformats.org/officeDocument/2006/relationships/externalLink" Target="externalLinks/externalLink92.xml"/><Relationship Id="rId221" Type="http://schemas.openxmlformats.org/officeDocument/2006/relationships/externalLink" Target="externalLinks/externalLink213.xml"/><Relationship Id="rId217" Type="http://schemas.openxmlformats.org/officeDocument/2006/relationships/externalLink" Target="externalLinks/externalLink209.xml"/><Relationship Id="rId216" Type="http://schemas.openxmlformats.org/officeDocument/2006/relationships/externalLink" Target="externalLinks/externalLink208.xml"/><Relationship Id="rId215" Type="http://schemas.openxmlformats.org/officeDocument/2006/relationships/externalLink" Target="externalLinks/externalLink207.xml"/><Relationship Id="rId214" Type="http://schemas.openxmlformats.org/officeDocument/2006/relationships/externalLink" Target="externalLinks/externalLink206.xml"/><Relationship Id="rId219" Type="http://schemas.openxmlformats.org/officeDocument/2006/relationships/externalLink" Target="externalLinks/externalLink211.xml"/><Relationship Id="rId218" Type="http://schemas.openxmlformats.org/officeDocument/2006/relationships/externalLink" Target="externalLinks/externalLink210.xml"/><Relationship Id="rId213" Type="http://schemas.openxmlformats.org/officeDocument/2006/relationships/externalLink" Target="externalLinks/externalLink205.xml"/><Relationship Id="rId212" Type="http://schemas.openxmlformats.org/officeDocument/2006/relationships/externalLink" Target="externalLinks/externalLink204.xml"/><Relationship Id="rId211" Type="http://schemas.openxmlformats.org/officeDocument/2006/relationships/externalLink" Target="externalLinks/externalLink203.xml"/><Relationship Id="rId210" Type="http://schemas.openxmlformats.org/officeDocument/2006/relationships/externalLink" Target="externalLinks/externalLink202.xml"/><Relationship Id="rId129" Type="http://schemas.openxmlformats.org/officeDocument/2006/relationships/externalLink" Target="externalLinks/externalLink121.xml"/><Relationship Id="rId128" Type="http://schemas.openxmlformats.org/officeDocument/2006/relationships/externalLink" Target="externalLinks/externalLink120.xml"/><Relationship Id="rId127" Type="http://schemas.openxmlformats.org/officeDocument/2006/relationships/externalLink" Target="externalLinks/externalLink119.xml"/><Relationship Id="rId126" Type="http://schemas.openxmlformats.org/officeDocument/2006/relationships/externalLink" Target="externalLinks/externalLink118.xml"/><Relationship Id="rId121" Type="http://schemas.openxmlformats.org/officeDocument/2006/relationships/externalLink" Target="externalLinks/externalLink113.xml"/><Relationship Id="rId120" Type="http://schemas.openxmlformats.org/officeDocument/2006/relationships/externalLink" Target="externalLinks/externalLink112.xml"/><Relationship Id="rId125" Type="http://schemas.openxmlformats.org/officeDocument/2006/relationships/externalLink" Target="externalLinks/externalLink117.xml"/><Relationship Id="rId124" Type="http://schemas.openxmlformats.org/officeDocument/2006/relationships/externalLink" Target="externalLinks/externalLink116.xml"/><Relationship Id="rId123" Type="http://schemas.openxmlformats.org/officeDocument/2006/relationships/externalLink" Target="externalLinks/externalLink115.xml"/><Relationship Id="rId122" Type="http://schemas.openxmlformats.org/officeDocument/2006/relationships/externalLink" Target="externalLinks/externalLink114.xml"/><Relationship Id="rId95" Type="http://schemas.openxmlformats.org/officeDocument/2006/relationships/externalLink" Target="externalLinks/externalLink87.xml"/><Relationship Id="rId94" Type="http://schemas.openxmlformats.org/officeDocument/2006/relationships/externalLink" Target="externalLinks/externalLink86.xml"/><Relationship Id="rId97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0.xml"/><Relationship Id="rId91" Type="http://schemas.openxmlformats.org/officeDocument/2006/relationships/externalLink" Target="externalLinks/externalLink83.xml"/><Relationship Id="rId90" Type="http://schemas.openxmlformats.org/officeDocument/2006/relationships/externalLink" Target="externalLinks/externalLink82.xml"/><Relationship Id="rId93" Type="http://schemas.openxmlformats.org/officeDocument/2006/relationships/externalLink" Target="externalLinks/externalLink85.xml"/><Relationship Id="rId92" Type="http://schemas.openxmlformats.org/officeDocument/2006/relationships/externalLink" Target="externalLinks/externalLink84.xml"/><Relationship Id="rId118" Type="http://schemas.openxmlformats.org/officeDocument/2006/relationships/externalLink" Target="externalLinks/externalLink110.xml"/><Relationship Id="rId117" Type="http://schemas.openxmlformats.org/officeDocument/2006/relationships/externalLink" Target="externalLinks/externalLink109.xml"/><Relationship Id="rId238" Type="http://customschemas.google.com/relationships/workbookmetadata" Target="metadata"/><Relationship Id="rId116" Type="http://schemas.openxmlformats.org/officeDocument/2006/relationships/externalLink" Target="externalLinks/externalLink108.xml"/><Relationship Id="rId237" Type="http://schemas.openxmlformats.org/officeDocument/2006/relationships/externalLink" Target="externalLinks/externalLink229.xml"/><Relationship Id="rId115" Type="http://schemas.openxmlformats.org/officeDocument/2006/relationships/externalLink" Target="externalLinks/externalLink107.xml"/><Relationship Id="rId236" Type="http://schemas.openxmlformats.org/officeDocument/2006/relationships/externalLink" Target="externalLinks/externalLink228.xml"/><Relationship Id="rId119" Type="http://schemas.openxmlformats.org/officeDocument/2006/relationships/externalLink" Target="externalLinks/externalLink111.xml"/><Relationship Id="rId110" Type="http://schemas.openxmlformats.org/officeDocument/2006/relationships/externalLink" Target="externalLinks/externalLink102.xml"/><Relationship Id="rId231" Type="http://schemas.openxmlformats.org/officeDocument/2006/relationships/externalLink" Target="externalLinks/externalLink223.xml"/><Relationship Id="rId230" Type="http://schemas.openxmlformats.org/officeDocument/2006/relationships/externalLink" Target="externalLinks/externalLink222.xml"/><Relationship Id="rId114" Type="http://schemas.openxmlformats.org/officeDocument/2006/relationships/externalLink" Target="externalLinks/externalLink106.xml"/><Relationship Id="rId235" Type="http://schemas.openxmlformats.org/officeDocument/2006/relationships/externalLink" Target="externalLinks/externalLink227.xml"/><Relationship Id="rId113" Type="http://schemas.openxmlformats.org/officeDocument/2006/relationships/externalLink" Target="externalLinks/externalLink105.xml"/><Relationship Id="rId234" Type="http://schemas.openxmlformats.org/officeDocument/2006/relationships/externalLink" Target="externalLinks/externalLink226.xml"/><Relationship Id="rId112" Type="http://schemas.openxmlformats.org/officeDocument/2006/relationships/externalLink" Target="externalLinks/externalLink104.xml"/><Relationship Id="rId233" Type="http://schemas.openxmlformats.org/officeDocument/2006/relationships/externalLink" Target="externalLinks/externalLink225.xml"/><Relationship Id="rId111" Type="http://schemas.openxmlformats.org/officeDocument/2006/relationships/externalLink" Target="externalLinks/externalLink103.xml"/><Relationship Id="rId232" Type="http://schemas.openxmlformats.org/officeDocument/2006/relationships/externalLink" Target="externalLinks/externalLink224.xml"/><Relationship Id="rId206" Type="http://schemas.openxmlformats.org/officeDocument/2006/relationships/externalLink" Target="externalLinks/externalLink198.xml"/><Relationship Id="rId205" Type="http://schemas.openxmlformats.org/officeDocument/2006/relationships/externalLink" Target="externalLinks/externalLink197.xml"/><Relationship Id="rId204" Type="http://schemas.openxmlformats.org/officeDocument/2006/relationships/externalLink" Target="externalLinks/externalLink196.xml"/><Relationship Id="rId203" Type="http://schemas.openxmlformats.org/officeDocument/2006/relationships/externalLink" Target="externalLinks/externalLink195.xml"/><Relationship Id="rId209" Type="http://schemas.openxmlformats.org/officeDocument/2006/relationships/externalLink" Target="externalLinks/externalLink201.xml"/><Relationship Id="rId208" Type="http://schemas.openxmlformats.org/officeDocument/2006/relationships/externalLink" Target="externalLinks/externalLink200.xml"/><Relationship Id="rId207" Type="http://schemas.openxmlformats.org/officeDocument/2006/relationships/externalLink" Target="externalLinks/externalLink199.xml"/><Relationship Id="rId202" Type="http://schemas.openxmlformats.org/officeDocument/2006/relationships/externalLink" Target="externalLinks/externalLink194.xml"/><Relationship Id="rId201" Type="http://schemas.openxmlformats.org/officeDocument/2006/relationships/externalLink" Target="externalLinks/externalLink193.xml"/><Relationship Id="rId200" Type="http://schemas.openxmlformats.org/officeDocument/2006/relationships/externalLink" Target="externalLinks/externalLink19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11</xdr:row>
      <xdr:rowOff>133350</xdr:rowOff>
    </xdr:from>
    <xdr:ext cx="2162175" cy="600075"/>
    <xdr:sp>
      <xdr:nvSpPr>
        <xdr:cNvPr id="3" name="Shape 3"/>
        <xdr:cNvSpPr txBox="1"/>
      </xdr:nvSpPr>
      <xdr:spPr>
        <a:xfrm>
          <a:off x="4266501" y="3483284"/>
          <a:ext cx="2158999" cy="59343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800"/>
        </a:p>
      </xdr:txBody>
    </xdr:sp>
    <xdr:clientData fLocksWithSheet="0"/>
  </xdr:oneCellAnchor>
  <xdr:oneCellAnchor>
    <xdr:from>
      <xdr:col>6</xdr:col>
      <xdr:colOff>838200</xdr:colOff>
      <xdr:row>11</xdr:row>
      <xdr:rowOff>114300</xdr:rowOff>
    </xdr:from>
    <xdr:ext cx="1095375" cy="609600"/>
    <xdr:sp>
      <xdr:nvSpPr>
        <xdr:cNvPr id="4" name="Shape 4"/>
        <xdr:cNvSpPr txBox="1"/>
      </xdr:nvSpPr>
      <xdr:spPr>
        <a:xfrm>
          <a:off x="4800210" y="3479180"/>
          <a:ext cx="1091581" cy="60164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= </a:t>
          </a:r>
          <a:r>
            <a:rPr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Qty unit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Arial"/>
            <a:buNone/>
          </a:pPr>
          <a:r>
            <a:rPr i="1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</a:t>
          </a:r>
          <a:r>
            <a:rPr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Fuel cons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Arial"/>
            <a:buNone/>
          </a:pPr>
          <a:r>
            <a:rPr i="1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Productivity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542925</xdr:colOff>
      <xdr:row>10</xdr:row>
      <xdr:rowOff>57150</xdr:rowOff>
    </xdr:from>
    <xdr:ext cx="3333750" cy="1123950"/>
    <xdr:sp>
      <xdr:nvSpPr>
        <xdr:cNvPr id="5" name="Shape 5"/>
        <xdr:cNvSpPr txBox="1"/>
      </xdr:nvSpPr>
      <xdr:spPr>
        <a:xfrm>
          <a:off x="3681846" y="3220969"/>
          <a:ext cx="3328309" cy="1118063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1" lang="en-US" sz="180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  x  x </a:t>
          </a:r>
          <a:br>
            <a:rPr b="0" i="1" lang="en-US" sz="180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</a:br>
          <a:br>
            <a:rPr b="0" i="1" lang="en-US" sz="180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</a:br>
          <a:endParaRPr sz="1800"/>
        </a:p>
      </xdr:txBody>
    </xdr:sp>
    <xdr:clientData fLocksWithSheet="0"/>
  </xdr:oneCellAnchor>
  <xdr:oneCellAnchor>
    <xdr:from>
      <xdr:col>15</xdr:col>
      <xdr:colOff>504825</xdr:colOff>
      <xdr:row>11</xdr:row>
      <xdr:rowOff>19050</xdr:rowOff>
    </xdr:from>
    <xdr:ext cx="1257300" cy="771525"/>
    <xdr:sp>
      <xdr:nvSpPr>
        <xdr:cNvPr id="6" name="Shape 6"/>
        <xdr:cNvSpPr txBox="1"/>
      </xdr:nvSpPr>
      <xdr:spPr>
        <a:xfrm>
          <a:off x="4718841" y="3396498"/>
          <a:ext cx="1254318" cy="76700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= </a:t>
          </a:r>
          <a:r>
            <a:rPr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Qty unit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Arial"/>
            <a:buNone/>
          </a:pPr>
          <a:r>
            <a:rPr i="1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</a:t>
          </a:r>
          <a:r>
            <a:rPr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Fuel cons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Arial"/>
            <a:buNone/>
          </a:pPr>
          <a:r>
            <a:rPr i="1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Productivity</a:t>
          </a:r>
          <a:br>
            <a:rPr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</a:br>
          <a:r>
            <a:rPr b="0" i="1" lang="en-US" sz="110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 </a:t>
          </a:r>
          <a:r>
            <a:rPr b="0" i="0" lang="en-US" sz="110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Fuel consume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SKIM\&#44592;&#54925;02\DJ\HN\EXCEL\97PLAN\98PLAN\98PLAN.XLW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034.136\c\unzipped\kpi%20petangis\kpi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r/CElliott/mining/Open%20Pit/Fairyland/work_march01/Economics/Lev_anl385b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kgs1001\accounts$\EXCEL\IBIINV\INVB51A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Documents%20and%20Settings\Administrator\Local%20Settings\Temporary%20Internet%20Files\OLK7\Darma%20Henwa\AUDIT\WAYNBA\Darm0001\Audit%20June%202002\ACRJun2002\Client's%20Package\DHJune_02Forex%20after%20journal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User\d\TEMPO\lintec-sumicon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SBS/2019/JUNI/PRELIM/SBS/2019/april/renja/WINDOWS/TEMP/shmeeting/baru3B2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0F4CB752\Data%20Curah%20Hujan%20Sambarata%201990-2007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OPREPORT\Forecasts\2003\Oct_FC\to%20Bumi\Release\FC%20Oct%20ver15%20Internal_fin_updated%20prod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It-37qu1t3rxc8m\D\Planning%20Data\Raker\Report%20To%20Jkt\Lap%20Monthly%202005\February\Production\Prod_Coal-03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kerjaan\TENDER%20DOKUMEN\final-smo-bwest-tender-doc\final%20completed%20document\support%20document\Data%20Curah%20Hujan%20Sambarata%201990-2007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SBS/2019/JUNI/PRELIM/SBS/2019/april/renja/ATI%20NURAINI/All%20Aging%20Tagihan%20SBS_Final%20R5_FA.xlsx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tornado\admin\Reporting\Emily%20Ann\Emily%20Ann\a.%20Working\End%20of%20Month%20-%20%20Budget%20200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ARKETINGCIVILMARINE&amp;COALCONST/NEWCOALHANDLING,MSJ(TANITO)/PT.MSJ.COALLOADOUT,LAST/DATA-6/PETUNG-IBRD/APBN-2002/KRS/ANA-PTG-KRS-NEGO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Banko%20Barat\Grafik\Grafik%202004\Copy%20of%20Grafik%20Sept-01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EDP\Daily\DPR\excel\MSJ-SPR%20update%20020813\2014-BGT-MSJ%20020813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Produksi3/Local%20Settings/Temporary%20Internet%20Files/Content.IE5/FU501P0J/FORECAST/Maret/Forecast_Mar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PLAN_PKN%20BULUNGAN\Schedule%20Service%20&amp;Backlog%20January%202013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F84BB1B\res_ghkp_1203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HP/Planner%20I/3.%20Monthly/10.%20Key%20Performance%20Indicator/KPI/2010/Maret/Monthly%20Report%20Plant%20HO%20Maret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produksi11/AppData/Local/Microsoft/Windows/Temporary%20Internet%20Files/Content.IE5/IYP9F8B2/2_Anief/File%20Manager/Backup%20Files/Monthly%20Report/Report%2002-IX-97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NNN\back-up%20me\ABSEN\produksi\aBSENSI\TIME%20SHEET\NOV-DES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Finance/Accounting%20Department/Statutory%20Accounts%20Project/2000/Subsidiary%20Accounts/Support/GH%20Report%2098-00%20by%20NAT%20(pol,fnl&amp;sml)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50.244\ppc\FILE%20AGUS\pt%20sis\Data%20Trans\PLAN%20BUDGET2006r3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D%20Temp%20Files/Administration%20&amp;%20Personnel/In-Country%20Expat%202003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ocuments%20and%20Settings/abas/Local%20Settings/Temp/test%20depre%202b.xls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Jhpark\samindo2\Documents%20and%20Settings\&#51109;&#50689;&#48276;\Local%20Settings\Temporary%20Internet%20Files\Content.IE5\TUKNZDKL\2003-03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My%20Documents\&#48120;&#51648;&#44553;&#44552;&#44288;&#47532;\2002\A_P12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Ridha/My%20Job/Reclamation/Report/EKSTERNAL/RKL%20RPL/2014/Q3/final/Documents%20and%20Settings/hskim/Local%20Settings/Temporary%20Internet%20Files/Content.IE5/0P23S1IZ/FIX-2005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MSJ\12.%20PAYROLL%20DESEMBER%202010\PAYROLL%20DESEMBER%202010%2002.xlsx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80-ACCT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3.%20Aneka%20Tender\Tender%20Ucoal\Feasibility%20Study%20UCOAL%20v4.xlsx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L:\Data%20IAC\Plan%202013\02.%20Monthly%20Plan%202013\03.%20Mar'13\MONTHLY%20PLAN%20MAR'13_rev1.xlsx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Finance/Accounting%20Department/HGAL/MonthEnd/2004/KCGM/KCGM%20Inventory%20Models/0104%202004%20KCGM%20Inventory%20Models%20rev5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PRO-ADM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ata/&#49552;&#51061;/2006/2006&#45380;%2002&#50900;&#44228;&#54925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52014-ccr01\upload%20mims\01.%20Others\Ban%20Monthly%20Okt%2006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RICKY\09.%20SEP'21\09.%20DATA%20ENTRY\MHU\01%20MHU\2020\01%20Januari%202020\Daily%20Entry%20MHU%20Januari%202020.xlsb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ARKETINGCIVILMARINE&amp;COALCONST/NEWCOALHANDLING,MSJ(TANITO)/PT.MSJ.COALLOADOUT,LAST/DATA-6/PETUNG-IBRD/APBN-2002/ALAT-PTG-KRS.xls" TargetMode="External"/></Relationships>
</file>

<file path=xl/externalLinks/_rels/externalLink4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01.%20Daily%20Entry%20Site%20BBP%20September%202021.xlsb" TargetMode="External"/></Relationships>
</file>

<file path=xl/externalLinks/_rels/externalLink4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OMEX%2001\AppData\Local\Microsoft\Windows\Temporary%20Internet%20Files\Content.Outlook\RSZVQ67G\MEMEI\Daily%20RM%20Mey%202013\Master%20New%202011.xlsx" TargetMode="External"/></Relationships>
</file>

<file path=xl/externalLinks/_rels/externalLink4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u0548\Moco\Moco\Rudy%20file's\05.%20Lain\Fpi%2008\Bantuan%20Coal\08.%20Bantuan%20Fpi%20Coal%20Haul%20Agst%2007.xls" TargetMode="External"/></Relationships>
</file>

<file path=xl/externalLinks/_rels/externalLink4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u0548\Moco\Moco\Rudy%20file's\05.%20Lain\Fpi%2008\Bantuan%20Coal\07.%20Bantuan%20FPI%20CC%20EX%20Juli%2007.xls" TargetMode="External"/></Relationships>
</file>

<file path=xl/externalLinks/_rels/externalLink4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u0548\Moco\Moco\Rudy%20file's\05.%20Lain\Fpi%2008\Bantuan%20Coal\07.%20Bantuan%20Fpi%20Coal%20Haul%20Juli%2007.xls" TargetMode="External"/></Relationships>
</file>

<file path=xl/externalLinks/_rels/externalLink4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ti_bdc\adm%20cpp\STOCK%20STATUS%20CPP%202004\Status_cpp_JULY_04.xls" TargetMode="External"/></Relationships>
</file>

<file path=xl/externalLinks/_rels/externalLink4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04.%20MCR%20File\C.%202015\02.%20Daily%20Report\03.%20Maret\02.%20Daily%20Breakdown%20Maret%202015.xlsx" TargetMode="External"/></Relationships>
</file>

<file path=xl/externalLinks/_rels/externalLink4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80-BUDGET.XLS" TargetMode="External"/></Relationships>
</file>

<file path=xl/externalLinks/_rels/externalLink4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Product/claim-2018/st-18%20feb.xlsx" TargetMode="External"/></Relationships>
</file>

<file path=xl/externalLinks/_rels/externalLink5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TSP-BINUNGAN-MINE.XLS" TargetMode="External"/></Relationships>
</file>

<file path=xl/externalLinks/_rels/externalLink5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Owner.PTSUK2/Local%20Settings/Temporary%20Internet%20Files/Content.IE5/ODNU1TR7/Bank%20Manager(0704)-Monthly.xls" TargetMode="External"/></Relationships>
</file>

<file path=xl/externalLinks/_rels/externalLink5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10-BOD.xls" TargetMode="External"/></Relationships>
</file>

<file path=xl/externalLinks/_rels/externalLink5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0.15\PRODUKSI\InPuT%20September\Produksi%20September%20%202011.xlsx" TargetMode="External"/></Relationships>
</file>

<file path=xl/externalLinks/_rels/externalLink5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wlers\sys\DATA\ACCOUNTS\1997\MONTHLY\NOV\FYFCNOV.XLS" TargetMode="External"/></Relationships>
</file>

<file path=xl/externalLinks/_rels/externalLink5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Register\Th_2009\Reg_Fuel%20Consumption%202009.xls" TargetMode="External"/></Relationships>
</file>

<file path=xl/externalLinks/_rels/externalLink5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Finance/Accounting%20Department/US%20Information/2002/USD%20Trial%20Balances/AUG-02/Oracle%20Report%20-%20Plutonic%20-%20Aug-02.xls" TargetMode="External"/></Relationships>
</file>

<file path=xl/externalLinks/_rels/externalLink5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p011\06%20Operation\Production%202004\June\Daily%20Production%20KSM%20%200604.xls" TargetMode="External"/></Relationships>
</file>

<file path=xl/externalLinks/_rels/externalLink5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lanning_4\DATA%202006\DATA%202006\Montly\WH%20Unit%20Rec\WH%20Unit_Sept.xls" TargetMode="External"/></Relationships>
</file>

<file path=xl/externalLinks/_rels/externalLink5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80.21.25\Users\0301MHA-IT-03\Downloads\LAPORAN%20%20MHA-PROD%20PER%20%201-%2015%20%20JANUARI%20%202021%20JKT.xlsx" TargetMode="External"/></Relationships>
</file>

<file path=xl/externalLinks/_rels/externalLink6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File%20XPAC%20ADVJA03942%20-%20SKS%20-%20DZPUSH_SC%2014/SKS%20EcoMod%20Sc14/Reports_SKS/SKS_Short%20EcMod_Ver02.xlsx" TargetMode="External"/></Relationships>
</file>

<file path=xl/externalLinks/_rels/externalLink6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Product/claim-2022/st-22%20mar.xlsx" TargetMode="External"/></Relationships>
</file>

<file path=xl/externalLinks/_rels/externalLink6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K:\Users\Alienware\Desktop\ILMU\RBA\Monthly%20Plan%20February%202014\MP_LAT1_JAN2014.xlsb" TargetMode="External"/></Relationships>
</file>

<file path=xl/externalLinks/_rels/externalLink6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drtpftp01\Users\namelia\Desktop\HANDOVER\03.%20RKTTL\DATA%20MENTAH\KLM_QHSE%20PRODUCTION_2015_user.xlsx" TargetMode="External"/></Relationships>
</file>

<file path=xl/externalLinks/_rels/externalLink6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cc\Data%20MCC\Produksi%20'05\Oktober\productivity.xls" TargetMode="External"/></Relationships>
</file>

<file path=xl/externalLinks/_rels/externalLink6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cc\Jan\DOCUME~1\ADMINI~1\LOCALS~1\Temp\DAILY%20REPORT%20IMM_DEC_2002.xls" TargetMode="External"/></Relationships>
</file>

<file path=xl/externalLinks/_rels/externalLink6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70-COMDEV.XLS" TargetMode="External"/></Relationships>
</file>

<file path=xl/externalLinks/_rels/externalLink6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dc\2014%20TDM\PLANNING%20TD\1.Weekly\COMPANY\01.%20MAINTENANCE\03.%20DATA%20MANAGEMENT\Oil_Consumption_AGM_201306.xlsx" TargetMode="External"/></Relationships>
</file>

<file path=xl/externalLinks/_rels/externalLink68.xml.rels><?xml version="1.0" encoding="UTF-8" standalone="yes"?><Relationships xmlns="http://schemas.openxmlformats.org/package/2006/relationships"><Relationship Id="rId1" Type="http://schemas.openxmlformats.org/officeDocument/2006/relationships/externalLinkPath" Target="/Ecep_Data/Minescape/adro_plo_2005.xls" TargetMode="External"/></Relationships>
</file>

<file path=xl/externalLinks/_rels/externalLink6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lan\tony%20data\DOCUME~1\ADMINI~1\LOCALS~1\Temp\Rar$DI00.032\PROJECT\Jakarta\9.%20Forms\Database%20Report.xls" TargetMode="External"/></Relationships>
</file>

<file path=xl/externalLinks/_rels/externalLink7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CPP-BINUNGAN.XLS" TargetMode="External"/></Relationships>
</file>

<file path=xl/externalLinks/_rels/externalLink7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CPP-LATI.XLS" TargetMode="External"/></Relationships>
</file>

<file path=xl/externalLinks/_rels/externalLink7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CPP-SAMBARATA.XLS" TargetMode="External"/></Relationships>
</file>

<file path=xl/externalLinks/_rels/externalLink7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ti_shipping_a\data\SHIPPING\REPORTING\WEEKLY\rep-week46.xls" TargetMode="External"/></Relationships>
</file>

<file path=xl/externalLinks/_rels/externalLink7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K:\Backup%20Data\01.%20PMSS%20File\01.%20Engineering\04.%20Yearly\02.%20Yearly%20Review\2018\08.%20Year%20To%20Date%20Review%20180101-180930\Users\ENGINE~1\AppData\Local\Temp\Rar$DI00.904\FUEL%20REPORT%20APRIL%202014.xlsx" TargetMode="External"/></Relationships>
</file>

<file path=xl/externalLinks/_rels/externalLink7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ti-bdc-svr\qa_data\05%20Blending%20plan\Job%20Pending%202004.xls" TargetMode="External"/></Relationships>
</file>

<file path=xl/externalLinks/_rels/externalLink7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owner/AppData/Roaming/Microsoft/Excel/MASTER%20DATA%20PROTO/MASTER%20REPORT%20PROTO.xlsx" TargetMode="External"/></Relationships>
</file>

<file path=xl/externalLinks/_rels/externalLink7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drtpftp01\NUGERAHA\01.%20BUDGET%20&amp;%20PROGRAM\budget%202014%20revisi.xlsx" TargetMode="External"/></Relationships>
</file>

<file path=xl/externalLinks/_rels/externalLink7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\Backup%20Data\01.%20PMSS%20File\02.%20Produksi\01.%20Summary%20Produksi\11.%20Summary%20Production%20Site%20PMSS%20Nov%202016.xlsx" TargetMode="External"/></Relationships>
</file>

<file path=xl/externalLinks/_rels/externalLink7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ocuments%20and%20Settings/hskim/Local%20Settings/Temporary%20Internet%20Files/Content.IE5/0P23S1IZ/FIX-2005.xls" TargetMode="External"/></Relationships>
</file>

<file path=xl/externalLinks/_rels/externalLink8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&#52636;&#51109;/&#49892;&#51201;&#44288;&#47532;(&#44288;&#47532;&#50896;&#44032;)/2001Plan_YearTotal.xls" TargetMode="External"/></Relationships>
</file>

<file path=xl/externalLinks/_rels/externalLink8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X:\06%20MCR\01%20Daily\2018\03.%20Maret\Jam%20160318.xlsb" TargetMode="External"/></Relationships>
</file>

<file path=xl/externalLinks/_rels/externalLink8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ining/Data/Planning/Forecast/ECCONO~1/ecanal_final_design_mh_contcost_continuous_forecast.xls" TargetMode="External"/></Relationships>
</file>

<file path=xl/externalLinks/_rels/externalLink8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Hadi%20S\Gaji%20April%202011%20MSJ%20april.xlsx" TargetMode="External"/></Relationships>
</file>

<file path=xl/externalLinks/_rels/externalLink8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RICKY\09.%20SEP'21\09.%20DATA%20ENTRY\MPAS\ADM_ENG-PROD\KERJAAN%20%202016\Desember\yymmdd%20Desember%202016_MPAS_.xlsx" TargetMode="External"/></Relationships>
</file>

<file path=xl/externalLinks/_rels/externalLink8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USER\AppData\Roaming\Microsoft\Excel\ISSUED%20(version%201).xlsb" TargetMode="External"/></Relationships>
</file>

<file path=xl/externalLinks/_rels/externalLink8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dik%20Choiron/Budget%20Penaatan%20Section%202012/HS&amp;E_2011_FINAL2.xls" TargetMode="External"/></Relationships>
</file>

<file path=xl/externalLinks/_rels/externalLink8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X:\01%20Database\01%20Damai\01%20Daily\2017\11%20Nopember\Jam%2003112017.xlsb" TargetMode="External"/></Relationships>
</file>

<file path=xl/externalLinks/_rels/externalLink8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KUNN/Cont_SMandiri/Oil%20Report/R2007-09_Lub.xls" TargetMode="External"/></Relationships>
</file>

<file path=xl/externalLinks/_rels/externalLink8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01.%20Data%20Control%20Eng/DC%20Engineering%20PYU/04.%20Report%20Engineering/REPORT%202011/01.%20Report%20Monthly/Monthly%20Report%20Eng/Monthly%20Report%20FPM%20Mech/3.%20FPM%20Mech.%20SRN/01-11%20Data%20Base%20FPM%20SRN.xlsx" TargetMode="External"/></Relationships>
</file>

<file path=xl/externalLinks/_rels/externalLink9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01.%20Data%20Control%20Eng/DC%20Engineering%20PYU/04.%20Report%20Engineering/REPORT%202011/01.%20Report%20Monthly/Monthly%20Report%20Eng/Monthly%20Report%20FPM%20Mech/1.%20FPM%20Mech.%20LMO/01-11%20Data%20Base%20FPM%20LMO.xls" TargetMode="External"/></Relationships>
</file>

<file path=xl/externalLinks/_rels/externalLink9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Produksi\Copy%20of%20Input%20Mei%202012%20Update.xlsx" TargetMode="External"/></Relationships>
</file>

<file path=xl/externalLinks/_rels/externalLink9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lanning_4\Data%202008\DATA%202007\Daily\Rec%20_DT%2006.xls" TargetMode="External"/></Relationships>
</file>

<file path=xl/externalLinks/_rels/externalLink9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ata%20C/My%20Documents/&#54224;&#49437;&#50896;&#44032;/O&amp;O/'06&#45380;%20o&amp;o%20cost/&#51088;&#51116;&#48708;%20sheet/Yearly_2006(Sims).xls" TargetMode="External"/></Relationships>
</file>

<file path=xl/externalLinks/_rels/externalLink9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enovo/Downloads/data%20sentuk%20MHU/SENTUK-Daily%20Entry%20MHU%20Sept%202021.xlsb" TargetMode="External"/></Relationships>
</file>

<file path=xl/externalLinks/_rels/externalLink9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ata%20C/My%20Documents/&#54224;&#49437;&#50896;&#44032;/O&amp;O/'06&#45380;%20o&amp;o%20cost/&#51088;&#51116;&#48708;%20sheet/Yearly_2006(Kideco).xls" TargetMode="External"/></Relationships>
</file>

<file path=xl/externalLinks/_rels/externalLink9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ocuments%20and%20Settings/gypark/Local%20Settings/Temporary%20Internet%20Files/Content.IE5/ATZL8D00/2004&#45380;%2012&#50900;&#44228;&#54925;.xls" TargetMode="External"/></Relationships>
</file>

<file path=xl/externalLinks/_rels/externalLink9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EHS.XLS" TargetMode="External"/></Relationships>
</file>

<file path=xl/externalLinks/_rels/externalLink9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User\AppData\Roaming\Microsoft\Excel\Copy%20of%20Feasibility%20Study%20PT%20TD.xlsx" TargetMode="External"/></Relationships>
</file>

<file path=xl/externalLinks/_rels/externalLink9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00.%20Project%20Engineering\01%20Water%20Management%20Plan\02%20BMB\daily%20report\Draft%20Daily%20Dewatering%20Report.xlsx" TargetMode="External"/></Relationships>
</file>

<file path=xl/externalLinks/_rels/externalLink10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ataC1/MTL/CPP%20Blok%207/Rental%20Cost%20Estimate%20CPP%20-%20Bobby%20rev.11%2027%20July%202012.xlsx" TargetMode="External"/></Relationships>
</file>

<file path=xl/externalLinks/_rels/externalLink10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ENGINEERING.XLS" TargetMode="External"/></Relationships>
</file>

<file path=xl/externalLinks/_rels/externalLink10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Finance/Accounting%20Department/HMCA/2001/Dec%20Monthend/Final%20Reports/FGR%20Nat&amp;Sub%20Dec01.xls" TargetMode="External"/></Relationships>
</file>

<file path=xl/externalLinks/_rels/externalLink10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80.21.25\Users\owner\AppData\Roaming\Microsoft\Excel\DAFTAR%20LAPORAN%20CCR%20V3%20NEW.xlsx" TargetMode="External"/></Relationships>
</file>

<file path=xl/externalLinks/_rels/externalLink10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L:\REZA\RETURN\SEP97\WSRT.XLS" TargetMode="External"/></Relationships>
</file>

<file path=xl/externalLinks/_rels/externalLink10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70-ERS.XLS" TargetMode="External"/></Relationships>
</file>

<file path=xl/externalLinks/_rels/externalLink10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RICKY\09.%20SEP'21\09.%20DATA%20ENTRY\_\DATA%20ENG%20PSG\@master%20Daily%20Desember%2018.xlsx" TargetMode="External"/></Relationships>
</file>

<file path=xl/externalLinks/_rels/externalLink10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My%20Documents/&#54924;&#51032;&#51088;&#47308;/&#51221;&#49885;&#51060;&#49324;&#54924;/2005_&#49324;&#50629;&#44228;&#54925;(&#44397;&#47928;).xls" TargetMode="External"/></Relationships>
</file>

<file path=xl/externalLinks/_rels/externalLink10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WNW01\VOL1\Data\Administration\ACCOUNTS\Budget%202001\ModelV2001.xls" TargetMode="External"/></Relationships>
</file>

<file path=xl/externalLinks/_rels/externalLink10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80-FA-DIV.XLS" TargetMode="External"/></Relationships>
</file>

<file path=xl/externalLinks/_rels/externalLink1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ti_qa02\MONITORING%20S\Documents%20and%20Settings\Pit%20Control%20Lati\Local%20Settings\Temp\NB065%20&amp;%20NB061.xls" TargetMode="External"/></Relationships>
</file>

<file path=xl/externalLinks/_rels/externalLink11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produksi5/Local%20Settings/Temporary%20Internet%20Files/Content.IE5/06ZNAIY1/Data%20C/My%20Documents/&#54224;&#49437;&#50896;&#44032;/O&amp;O/'06&#45380;%20o&amp;o%20cost/&#51088;&#51116;&#48708;%20sheet/Yearly_2006(Sims).xls" TargetMode="External"/></Relationships>
</file>

<file path=xl/externalLinks/_rels/externalLink11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KUNN/Cont_SMandiri/Oil%20Report/Report2007-04_Lubrication.xls" TargetMode="External"/></Relationships>
</file>

<file path=xl/externalLinks/_rels/externalLink11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LENOVO%20THINKPAD/AppData/Local/Microsoft/Windows/INetCache/Content.Outlook/3EW7W2BL/Monthly%20Plan%20Mei%202016%20-%20OPSI%20BIG%20HAULER%20875rb%20REV%20MANPOWER.xlsx" TargetMode="External"/></Relationships>
</file>

<file path=xl/externalLinks/_rels/externalLink11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APratyaksa/AppData/Local/Microsoft/Windows/INetCache/Content.Outlook/GPLSOO2R/&#9733;%202023%20Sales%20plan_ABP_(BLU_profit).xlsx" TargetMode="External"/></Relationships>
</file>

<file path=xl/externalLinks/_rels/externalLink11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CWoo/OneDrive/&#48148;&#53461;%20&#54868;&#47732;/Work/02.%20Sales%20plan/2021/10.%20Oct/2021%20Sales%20plan_211025.xlsx" TargetMode="External"/></Relationships>
</file>

<file path=xl/externalLinks/_rels/externalLink1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2011\AGM\GAJI%20Formula%20Gaji%20JULI%202011%20BSS-AGM.xlsx" TargetMode="External"/></Relationships>
</file>

<file path=xl/externalLinks/_rels/externalLink1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1.%20Adaro\Template%202013\Budget%202013%202nd%20rev\Budget%202013\GEOTECH_2013.xlsx" TargetMode="External"/></Relationships>
</file>

<file path=xl/externalLinks/_rels/externalLink11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70-GA.XLS" TargetMode="External"/></Relationships>
</file>

<file path=xl/externalLinks/_rels/externalLink119.xml.rels><?xml version="1.0" encoding="UTF-8" standalone="yes"?>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2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GEOLOGY.XLS" TargetMode="External"/></Relationships>
</file>

<file path=xl/externalLinks/_rels/externalLink1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Documents%20and%20Settings\Administrator\Local%20Settings\Temporary%20Internet%20Files\Content.Outlook\JHQXZKN4\SCHED_PROD_SITE%20AGM%202013_BAS.xlsx" TargetMode="External"/></Relationships>
</file>

<file path=xl/externalLinks/_rels/externalLink1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User\AppData\Local\Microsoft\Windows\Temporary%20Internet%20Files\Content.Outlook\CZO1P9D1\Job%20Site%20PKN\Report%20Budget%20vs%20Actual\Juni\Payroll\Gaji%20BSS%20PKN%20Mei%20'12%20-%2008062012.xlsx" TargetMode="External"/></Relationships>
</file>

<file path=xl/externalLinks/_rels/externalLink12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ATA/PROYEK/Jambi/khusus/Project/KECUBUNG/FAJ2.xls" TargetMode="External"/></Relationships>
</file>

<file path=xl/externalLinks/_rels/externalLink12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ata%20C/Tugas%20dr%20Pak%20OKM/Annual%202013_Sales%2023.0mmt/Olah%20Data%20Mine%20Plan_Sc6_update291012/Annual%20Blending%20Plan%202013-as%20of301012.xlsx" TargetMode="External"/></Relationships>
</file>

<file path=xl/externalLinks/_rels/externalLink1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lhakim/Documents/Copy%20of%20Coal%20Price%20Formula%20v02.xlsx" TargetMode="External"/></Relationships>
</file>

<file path=xl/externalLinks/_rels/externalLink1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DOCUME~1\user\LOCALS~1\Temp\LAPORAN%20HM\Absensi_Update\Absensi_HM_lembur-slip.xlsx" TargetMode="External"/></Relationships>
</file>

<file path=xl/externalLinks/_rels/externalLink1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lanning_2\Transfer\Entry%202007.xls" TargetMode="External"/></Relationships>
</file>

<file path=xl/externalLinks/_rels/externalLink12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10-HRD-TRD.XLS" TargetMode="External"/></Relationships>
</file>

<file path=xl/externalLinks/_rels/externalLink1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10-HRGA-JKT.XLS" TargetMode="External"/></Relationships>
</file>

<file path=xl/externalLinks/_rels/externalLink13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Program%20Files\BSSChat\Download\Copy%20of%20Input%20juni%20update%2020%20juni%202012%20NISA.xlsx" TargetMode="External"/></Relationships>
</file>

<file path=xl/externalLinks/_rels/externalLink1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QC%20REPORT\2008\Daily%20Status%20Of%20QC\04.%20Daily%20Status%20of%20QC%20(April'08).xls" TargetMode="External"/></Relationships>
</file>

<file path=xl/externalLinks/_rels/externalLink13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ata%20D/2009/MONTHLY%20REPORT/2009/JUL/Risna/&#52636;&#51109;/&#49892;&#51201;&#44288;&#47532;(&#44288;&#47532;&#50896;&#44032;)/2001Plan_YearTotal.xls" TargetMode="External"/></Relationships>
</file>

<file path=xl/externalLinks/_rels/externalLink1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bss\AppData\Local\Temp\Rar$DI00.786\2011\AGM\GAJI%20Formula%20Gaji%20JULI%202011%20BSS-AGM.xlsx" TargetMode="External"/></Relationships>
</file>

<file path=xl/externalLinks/_rels/externalLink1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V:\PGA_Man%20Power\MP%20BUMA\MP%20BUMA%202009\010_BMADR-Oktober_09.xls" TargetMode="External"/></Relationships>
</file>

<file path=xl/externalLinks/_rels/externalLink1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win7\AppData\Local\Microsoft\Windows\Temporary%20Internet%20Files\Content.Outlook\5567IJ0C\GAJI%20BSS-TD%20Juni%202012.xlsx" TargetMode="External"/></Relationships>
</file>

<file path=xl/externalLinks/_rels/externalLink1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ti_shipping_a\data\SHIPPING\REPORTING\WEEKLY\w-44.xls" TargetMode="External"/></Relationships>
</file>

<file path=xl/externalLinks/_rels/externalLink1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COMEX%2001\AppData\Local\Microsoft\Windows\Temporary%20Internet%20Files\Content.Outlook\RSZVQ67G\MM-Share\LOGISTIK_MM\PP,%20MO%20&amp;%20BACKLOG%20AGUSTUS%202013....xlsx" TargetMode="External"/></Relationships>
</file>

<file path=xl/externalLinks/_rels/externalLink1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bss\AppData\Local\Temp\Rar$DI00.786\MSJ\Data%20Master%202010.xlsx" TargetMode="External"/></Relationships>
</file>

<file path=xl/externalLinks/_rels/externalLink1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LAMA\PLANNER%20DATA\Devisi%20Planner\ALL%20KPI\KPI%20MEI%202013\Master%20PPU-SPK.xlsx" TargetMode="External"/></Relationships>
</file>

<file path=xl/externalLinks/_rels/externalLink1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DATA%20MAINTENANCE\4.1%20RM%20MSJ%202010\IN%20PROGRESS\Data%20Master%20NEW%202010.xlsx" TargetMode="External"/></Relationships>
</file>

<file path=xl/externalLinks/_rels/externalLink14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AILY%20REPORT%202014/05.%20Mei%202014/DPR%20Mei%202014/DPR%20COAL%20Mei%202014.xlsx" TargetMode="External"/></Relationships>
</file>

<file path=xl/externalLinks/_rels/externalLink14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K:\Backup%20Data\01.%20PMSS%20File\01.%20Engineering\04.%20Yearly\02.%20Yearly%20Review\2018\08.%20Year%20To%20Date%20Review%20180101-180930\Users\ENGINE~1\AppData\Local\Temp\Rar$DI00.497\FUEL_REPORT_NOVEMBER_2013_UNIT.xlsx" TargetMode="External"/></Relationships>
</file>

<file path=xl/externalLinks/_rels/externalLink14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TAMBANG%20DAMAI%20TAMBANG%20DAMAI%20TAMBANG%20DAMAI\produksi\HM%20PRODUKSI%20PERIODE%20JULI%202012.xlsx" TargetMode="External"/></Relationships>
</file>

<file path=xl/externalLinks/_rels/externalLink14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TAMBANG%20DAMAI%20TAMBANG%20DAMAI%20TAMBANG%20DAMAI\PAYROLL%20MEI%202012\GAJI%20BSS-TD%20Mei%202012.xlsx" TargetMode="External"/></Relationships>
</file>

<file path=xl/externalLinks/_rels/externalLink14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Udinese/Reports/Monthly%20reports/2007/Tutup%20buku%20Juni/Material_06_2007.xls" TargetMode="External"/></Relationships>
</file>

<file path=xl/externalLinks/_rels/externalLink14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win7\AppData\Local\Temp\Rar$DI00.179\Laporan%20Fuel%20AGM%20bulan%20nop%202012.xlsx" TargetMode="External"/></Relationships>
</file>

<file path=xl/externalLinks/_rels/externalLink14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Documents%20and%20Settings\aproduksi2\Desktop\1per3%20Dist\Data%20Room.xlsx" TargetMode="External"/></Relationships>
</file>

<file path=xl/externalLinks/_rels/externalLink14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8C0011A\Summary%20April%202006%20Q.ver.03.xls" TargetMode="External"/></Relationships>
</file>

<file path=xl/externalLinks/_rels/externalLink14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KJongseok/Documents/Backup%20Media%20E/1.&#44592;&#54925;&#54016;/03.RKAB/2022/2.Revision/Sales_Prod/&#9734;%202022%20Sales%20plan_220603_35Mt_transshipment.xlsx" TargetMode="External"/></Relationships>
</file>

<file path=xl/externalLinks/_rels/externalLink15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TSP-LATI-MINE.XLS" TargetMode="External"/></Relationships>
</file>

<file path=xl/externalLinks/_rels/externalLink15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00.%20MCC/004%20MINE%20CONTROL%20CENTER%202015/02.%20DATA%20SMS/08.%20Agustus/Daily%20Produksi%2006%20Agustus%202015.xlsx" TargetMode="External"/></Relationships>
</file>

<file path=xl/externalLinks/_rels/externalLink152.xml.rels><?xml version="1.0" encoding="UTF-8" standalone="yes"?><Relationships xmlns="http://schemas.openxmlformats.org/package/2006/relationships"><Relationship Id="rId1" Type="http://schemas.openxmlformats.org/officeDocument/2006/relationships/externalLinkPath" Target="/2014/03.%20Mine%20Plan/01.%20Annual%202014/KLU_bud14-08122013.xlsm" TargetMode="External"/></Relationships>
</file>

<file path=xl/externalLinks/_rels/externalLink15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52017\c\Monitor%20&amp;%20Control\Kideco\A2B%20Subcont\Mei%202003.xls" TargetMode="External"/></Relationships>
</file>

<file path=xl/externalLinks/_rels/externalLink15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001.%20Admint%20DT%20File\c.%20Reporting\03.%20Daily%20Activity%20Mekanik\DAM%202014\MAR%2008-2013\WS%20PLAN\Workshop%20File\Record%20~%20Maintenance%20Activity%20Report\2008\FUEL.xls" TargetMode="External"/></Relationships>
</file>

<file path=xl/externalLinks/_rels/externalLink15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XAnun/AppData/Local/Microsoft/Windows/INetCache/Content.Outlook/UMZRKIOM/OB_Report_Agustus'240804.xlsx" TargetMode="External"/></Relationships>
</file>

<file path=xl/externalLinks/_rels/externalLink15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TSP-HO.XLS" TargetMode="External"/></Relationships>
</file>

<file path=xl/externalLinks/_rels/externalLink15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product/claim-2020/st-20%20nov.xlsx" TargetMode="External"/></Relationships>
</file>

<file path=xl/externalLinks/_rels/externalLink15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RODUKSI-DDU\PT.%2520MORISS%2520-%2520Muara%2520Kaman%2520Project\ERICK%2520DATA\Morris\8.%2520MUARA%2520KAMAN%2520AGUSTUS\Database%2520EX%2520OB%2520AGUSTUS%2520MK.xlsx" TargetMode="External"/></Relationships>
</file>

<file path=xl/externalLinks/_rels/externalLink15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10-MIS.XLS" TargetMode="External"/></Relationships>
</file>

<file path=xl/externalLinks/_rels/externalLink16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20-MKT.XLS" TargetMode="External"/></Relationships>
</file>

<file path=xl/externalLinks/_rels/externalLink16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WNW01\SYS\DATA\GROUP\david%20Coad\flash.xls" TargetMode="External"/></Relationships>
</file>

<file path=xl/externalLinks/_rels/externalLink16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Documents%20and%20Settings\ZOTAC\Application%20Data\Microsoft\Excel\Produksi%20Sept%20%202011.xlsx" TargetMode="External"/></Relationships>
</file>

<file path=xl/externalLinks/_rels/externalLink16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TD\produksi\HM%20PRODUKSI%20JUNI%20-%20Copy.xlsx" TargetMode="External"/></Relationships>
</file>

<file path=xl/externalLinks/_rels/externalLink16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F318F90\07.%20Master%20WTF%2022%20-%2028%20Juli%2013(sample).xls" TargetMode="External"/></Relationships>
</file>

<file path=xl/externalLinks/_rels/externalLink16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Per%20bulan\Juli%202011\To%20salary\Gaji%20Juni%202011%20BSS-MSJ%207%20Juli%202011%20UPDATE%20KODE%20PENGGAJIAN%20UPDATE%20110727%20CHECK.xlsx" TargetMode="External"/></Relationships>
</file>

<file path=xl/externalLinks/_rels/externalLink16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u0548\Moco\Moco\Rudy%20file's\05.%20Lain\Fpi%2008\05.%20Bantuan%20Fpi%20Coal%20Haul%20Mei%2007.xls" TargetMode="External"/></Relationships>
</file>

<file path=xl/externalLinks/_rels/externalLink16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L:\A.%20CSA%20&amp;%20MCM\07%20ESTIMATION\Apply\03%20Labou-opt1.xlsx" TargetMode="External"/></Relationships>
</file>

<file path=xl/externalLinks/_rels/externalLink168.xml.rels><?xml version="1.0" encoding="UTF-8" standalone="yes"?><Relationships xmlns="http://schemas.openxmlformats.org/package/2006/relationships"><Relationship Id="rId1" Type="http://schemas.openxmlformats.org/officeDocument/2006/relationships/externalLinkPath" Target="/04%20DEVELOPMENT/02%20MATERI%20TRAINING/Finon/Final%20Test%20Financial%20Analysis_Victor1.xls" TargetMode="External"/></Relationships>
</file>

<file path=xl/externalLinks/_rels/externalLink16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17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02.%20Daily%20Breakdown%20Oktober%202018.xlsx" TargetMode="External"/></Relationships>
</file>

<file path=xl/externalLinks/_rels/externalLink17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RICKY\09.%20SEP'21\09.%20DATA%20ENTRY\Users\user\AppData\Roaming\Microsoft\Excel\00%20Daily%20BD%20&amp;%20HM%20Des%202015.xlsb" TargetMode="External"/></Relationships>
</file>

<file path=xl/externalLinks/_rels/externalLink17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OPERATION-DIV.XLS" TargetMode="External"/></Relationships>
</file>

<file path=xl/externalLinks/_rels/externalLink17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USER\AppData\Local\Temp\Rar$DI00.067\TRANSAKSI%20HARIAN%20201209.xlsx" TargetMode="External"/></Relationships>
</file>

<file path=xl/externalLinks/_rels/externalLink17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Users\Yudi\Documents\PETROSEA\Update%202011\Data%20Fitrya.xls" TargetMode="External"/></Relationships>
</file>

<file path=xl/externalLinks/_rels/externalLink17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Planning%20various/Budget/2005/Budget_Consolidated_2005_Final.xls" TargetMode="External"/></Relationships>
</file>

<file path=xl/externalLinks/_rels/externalLink17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Plan_Prod_nov'10.xls" TargetMode="External"/></Relationships>
</file>

<file path=xl/externalLinks/_rels/externalLink17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80.21.25\file\Users\kimsh\AppData\Local\Microsoft\Windows\Temporary%20Internet%20Files\Content.Outlook\1C6YEZ4X\Documents%20and%20Settings\Agung.Priyanto\My%20Documents\Payroll%20Est%20&amp;%20Mill\Rekap%20Gaji%202006.xls" TargetMode="External"/></Relationships>
</file>

<file path=xl/externalLinks/_rels/externalLink17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CT&amp;PRODEV.XLS" TargetMode="External"/></Relationships>
</file>

<file path=xl/externalLinks/_rels/externalLink17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R&amp;A/Forecast/2005/September%20(7+5)/Sept%20Board%20Forecast%20v2.xls" TargetMode="External"/></Relationships>
</file>

<file path=xl/externalLinks/_rels/externalLink18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My%20Documents/My%20eBooks/BUDGET-2002/WINDOWS/TEMP/shmeeting/baru3B2.xls" TargetMode="External"/></Relationships>
</file>

<file path=xl/externalLinks/_rels/externalLink18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ngineer1\imm%20report\Daily\AllDailyResume1.xls" TargetMode="External"/></Relationships>
</file>

<file path=xl/externalLinks/_rels/externalLink18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bss\AppData\Local\Temp\Rar$DI00.786\MSJ\DATA%20MAINTENANCE\RM%20MSJ%202010\IN%20PROGRESS\Laporan%20RM%20Oktober%202010.xlsx" TargetMode="External"/></Relationships>
</file>

<file path=xl/externalLinks/_rels/externalLink18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PQC.XLS" TargetMode="External"/></Relationships>
</file>

<file path=xl/externalLinks/_rels/externalLink18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70-PROCURMENT-yhu.XLS" TargetMode="External"/></Relationships>
</file>

<file path=xl/externalLinks/_rels/externalLink18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18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lanning_4\DATA%202006\DATA%202006\Montly\Prod'TY\Sept_%20Pty.xls" TargetMode="External"/></Relationships>
</file>

<file path=xl/externalLinks/_rels/externalLink18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01.%20Mine%20Planning/14%20Mine%20Plan%20Template/3%20ABN%20Drainage-Dewatering%20(Budget%202013).xlsx" TargetMode="External"/></Relationships>
</file>

<file path=xl/externalLinks/_rels/externalLink18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L:\Working\2012\01.%20PRODUCTION\02.%20OVERBURDEN\Quality%20Control\QC%20update_Yudiarta\MONTHLY%20PLAN%20Nov'12_rev6_370.xlsx" TargetMode="External"/></Relationships>
</file>

<file path=xl/externalLinks/_rels/externalLink18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y%20Work/MPC%202013/LONG%20TERM/LOM%202013/LOM%20Internal/Lom/LOM%20BC.xlsx" TargetMode="External"/></Relationships>
</file>

<file path=xl/externalLinks/_rels/externalLink19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Backup%20Note%20Book~%20Njr\Operation%202000\Operation\CPP\Feb~00.xls" TargetMode="External"/></Relationships>
</file>

<file path=xl/externalLinks/_rels/externalLink19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cbtg228\sls_Report\DATA%20REPORT%202006\A%20-%20DAILY%20REPORT\1%20-%20Report_IMM_2006\11%20-%20DAILY%20REPORT%20IMM_NOV_2006.xls" TargetMode="External"/></Relationships>
</file>

<file path=xl/externalLinks/_rels/externalLink19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Users\KLU_MCR_ENG_01\AppData\Roaming\Microsoft\Excel\01%20(version%201).xlsb" TargetMode="External"/></Relationships>
</file>

<file path=xl/externalLinks/_rels/externalLink19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SHIPPING.XLS" TargetMode="External"/></Relationships>
</file>

<file path=xl/externalLinks/_rels/externalLink19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SOffice/Excel/Ksh/PJT/CSU/POSCO&#44305;&#50577;/&#47932;&#47049;&#49892;/SITE&#49444;.xls" TargetMode="External"/></Relationships>
</file>

<file path=xl/externalLinks/_rels/externalLink19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40-TSP-SAMBARATA-MINE.XLS" TargetMode="External"/></Relationships>
</file>

<file path=xl/externalLinks/_rels/externalLink19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ekaaaa\Rekap%20Solar%20April%202012.xlsx" TargetMode="External"/></Relationships>
</file>

<file path=xl/externalLinks/_rels/externalLink19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Plan/01.%20PRODUKSI/01.%20Report/3.%20Laporan%20Bulanan/01.%20O%20&amp;%20Cost/2020/O%20&amp;%20O%20Cost/&#9733;&#51109;&#48708;&#48324;%20OO%20cost%20&#48516;&#49437;_SAMINDO%20(2020%2012%2000)_Desember_&#48516;&#49437;.xlsx" TargetMode="External"/></Relationships>
</file>

<file path=xl/externalLinks/_rels/externalLink19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70-SUPPORT-DIV.XLS" TargetMode="External"/></Relationships>
</file>

<file path=xl/externalLinks/_rels/externalLink19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ngclerk\documents\Documents%20and%20Settings\All%20Users\Documents\AGUST%2009\Noval\New%20Folder\15.%20Buka%20project\Form%20Produksi\Production%20Pivot%20-%20Wira%20Project_10_05.xls" TargetMode="External"/></Relationships>
</file>

<file path=xl/externalLinks/_rels/externalLink20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dbase_BOD.xls" TargetMode="External"/></Relationships>
</file>

<file path=xl/externalLinks/_rels/externalLink20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ABSEN\produksi\aBSENSI\ABS-JUN-JUL%202007.xls" TargetMode="External"/></Relationships>
</file>

<file path=xl/externalLinks/_rels/externalLink20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unky%20File/2.%20PT%20BSS%20-%20MAS%204/03.%20Monthly/2019/08.%20Agustus/SAP-Monthly%20Plan%201908%20MAS%20Alam%204%20Opsi%202.xlsm" TargetMode="External"/></Relationships>
</file>

<file path=xl/externalLinks/_rels/externalLink20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Product/claim-2018/st-18%20apr.xlsx" TargetMode="External"/></Relationships>
</file>

<file path=xl/externalLinks/_rels/externalLink20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u0548\Moco\Moco\Rudy%20file's\05.%20Lain\Fpi%2008\01.2%20FPI%20January%202006%20(Hitungan).xls" TargetMode="External"/></Relationships>
</file>

<file path=xl/externalLinks/_rels/externalLink20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RICKY\09.%20SEP'21\09.%20DATA%20ENTRY\TRINITY%20PROJECT\Presentasi\LAPORAN%20JKT\Morning%20Report.xls" TargetMode="External"/></Relationships>
</file>

<file path=xl/externalLinks/_rels/externalLink20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ENGINE~1/AppData/Local/Temp/Rar$DI00.575/FUEL%20REPORT%20MEI%202014.xlsx" TargetMode="External"/></Relationships>
</file>

<file path=xl/externalLinks/_rels/externalLink20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ata/&#49552;&#51061;/2006/2006&#45380;%2001&#50900;&#44228;&#54925;.xls" TargetMode="External"/></Relationships>
</file>

<file path=xl/externalLinks/_rels/externalLink20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1.%20Adaro\Template%202013\Budget%202013%202nd%20rev\Budget%202013\Reference%20for%20GENEX.xlsx" TargetMode="External"/></Relationships>
</file>

<file path=xl/externalLinks/_rels/externalLink20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User/Local%20Settings/Temporary%20Internet%20Files/OLK76/YHU/AB-2005/Expense%20Dept/80-TREASURY.XLS" TargetMode="External"/></Relationships>
</file>

<file path=xl/externalLinks/_rels/externalLink2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52014_ccr1\MIMS\Rudy%20file's\Data\Actual%20prod\09.September%202004\Kideco\Weekly\Actual\MOCO\Kideco\Monthly\Performance%20Produksi\Maret%202004.xls" TargetMode="External"/></Relationships>
</file>

<file path=xl/externalLinks/_rels/externalLink2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u0548\Moco\Rudy%20file's\01.%20Data\01.%20Report%20Moco\KPI\Monthly\Data%20Pendukung%20Monthly\Tahun%202008\01.%20Monthly.%20Prod%20x%20Disty%20Januari%20'08%20(PMR42OA1).xls" TargetMode="External"/></Relationships>
</file>

<file path=xl/externalLinks/_rels/externalLink21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ataC1/MTL/CPP%20Blok%207/Copy%20of%20225285%20BoQ%20Block%207%20CPP%20Detail%20Design-R5%20(2).xlsx" TargetMode="External"/></Relationships>
</file>

<file path=xl/externalLinks/_rels/externalLink2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J:\DOCUME~1\DWIPRI~1\LOCALS~1\Temp\Jeff\Temp\finance\budget\bgt%20crp%201\opex%20combine%203\opex-call%20center.xls" TargetMode="External"/></Relationships>
</file>

<file path=xl/externalLinks/_rels/externalLink2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gksv02\Users\alienware\Documents\Mine%20Scheduling%20for%20Peabody%20(July%202012)\Seperti%20Macquarie\DOCUME~1\DWIPRI~1\LOCALS~1\Temp\Jeff\Temp\finance\budget\bgt%20crp%201\opex%20combine%203\opex-call%20center.xls" TargetMode="External"/></Relationships>
</file>

<file path=xl/externalLinks/_rels/externalLink2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Comp.%20Project\Project%20PKN\ENG%20BSS%20PKN\BULUNGAN\Budget%20PKN%202012.xlsx" TargetMode="External"/></Relationships>
</file>

<file path=xl/externalLinks/_rels/externalLink21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Users/KJongseok/Documents/Backup%20Media%20E/1.&#44592;&#54925;&#54016;/05.Reforecast/2022/2022%20Sales%20plan_220712_transshipment.xlsx" TargetMode="External"/></Relationships>
</file>

<file path=xl/externalLinks/_rels/externalLink2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abas\Local%20Settings\Temp\test%20depre%202b.xls" TargetMode="External"/></Relationships>
</file>

<file path=xl/externalLinks/_rels/externalLink21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My%20Documents/&#49324;&#50629;&#44228;&#54925;2003/&#52572;&#51333;&#48376;/Samtan/2003&#45380;&#49340;&#53444;&#49324;&#50629;&#44228;&#54925;&#49436;(&#44592;&#48376;).xls" TargetMode="External"/></Relationships>
</file>

<file path=xl/externalLinks/_rels/externalLink21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abas/Local%20Settings/Temp/test%20depre%202b.xls" TargetMode="External"/></Relationships>
</file>

<file path=xl/externalLinks/_rels/externalLink2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T:\Production\5000.%20Training%20%20&amp;%20%20ETC\1500.%20SMK3\Book1.xlsx" TargetMode="External"/></Relationships>
</file>

<file path=xl/externalLinks/_rels/externalLink2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dmin-produksi\tmu%20file\08.%20Summary%20Daily%20Produksi\2016\07.%20SUMMARY%20JULY%202016%20TMU.xlsx" TargetMode="External"/></Relationships>
</file>

<file path=xl/externalLinks/_rels/externalLink2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dmin-produksi\tmu%20file\46.%20Job%20Pending%20Rita\TMU%20FILE\08.%20Summary%20Daily%20Produksi\2016\03.%20SUMMARY%20MARET%202016%20TMU.xlsx" TargetMode="External"/></Relationships>
</file>

<file path=xl/externalLinks/_rels/externalLink22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hprabowo/Local%20Settings/Temporary%20Internet%20Files/Content.Outlook/I8G52U7Z/Audit%20committe%20presentation/Jan_to_Dec_2009%20Detail.xlsx" TargetMode="External"/></Relationships>
</file>

<file path=xl/externalLinks/_rels/externalLink2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04BF384\5355%20Testing%20for%20Allowance%20Doubtfull%20Account-YE.xls" TargetMode="External"/></Relationships>
</file>

<file path=xl/externalLinks/_rels/externalLink2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K:\Data\Mine%20Planning\XLS\Schedule%20Data\trial2.xls" TargetMode="External"/></Relationships>
</file>

<file path=xl/externalLinks/_rels/externalLink22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sbjung/Local%20Settings/Temporary%20Internet%20Files/OLKC/&#51088;&#44552;&#51068;&#48372;(05&#54616;&#48152;&#44592;).xls" TargetMode="External"/></Relationships>
</file>

<file path=xl/externalLinks/_rels/externalLink22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MSOffice/Excel/Ksh/PJT/CSU/CR/CRWT.xls" TargetMode="External"/></Relationships>
</file>

<file path=xl/externalLinks/_rels/externalLink22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gypark/Local%20Settings/Temporary%20Internet%20Files/Content.IE5/ATZL8D00/2004&#45380;%2012&#50900;&#44228;&#54925;.xls" TargetMode="External"/></Relationships>
</file>

<file path=xl/externalLinks/_rels/externalLink2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kideco-my.sharepoint.com/Documents%20and%20Settings/Radith/Local%20Settings/Temp/wz59bd/Documents%20and%20Settings/cklee/My%20Documents/&#51452;&#50836;&#50629;&#47924;&#54028;&#51068;/2007&#49324;&#50629;&#44228;&#54925;/KIDECO/2007_&#48372;&#44256;&#49436;&#49464;&#48512;&#51088;&#47308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98PLAN(10-13)"/>
      <sheetName val="98인건비"/>
      <sheetName val="98퇴충"/>
      <sheetName val="98년차.XLS"/>
      <sheetName val="97PL실적.XLS"/>
      <sheetName val="팀별경비.XLS"/>
      <sheetName val="팀별관리.XLS"/>
      <sheetName val="손익계획보고"/>
      <sheetName val="기본구도.XLS"/>
      <sheetName val="자금계획보고"/>
      <sheetName val="기본구도대비"/>
      <sheetName val="출장비.XLS"/>
      <sheetName val="계획서"/>
      <sheetName val="97환율영향.XLS"/>
      <sheetName val="97자금.XLS"/>
      <sheetName val="환차이익.XLS"/>
      <sheetName val="98인원계획"/>
      <sheetName val="Ref.3(8111200)"/>
      <sheetName val="Redisturb area"/>
      <sheetName val="Tbl 14 Planting implementa"/>
      <sheetName val="OMCo Labor"/>
      <sheetName val="BS-RTI"/>
      <sheetName val="List"/>
      <sheetName val="UPAH&amp;BHN"/>
      <sheetName val="DCOST"/>
      <sheetName val="Laporan"/>
      <sheetName val="일정표"/>
      <sheetName val="28. ENV - Curah Hujan 2022"/>
      <sheetName val="UNIT"/>
      <sheetName val="EOW Coal"/>
      <sheetName val="98년차_XLS"/>
      <sheetName val="97PL실적_XLS"/>
      <sheetName val="팀별경비_XLS"/>
      <sheetName val="팀별관리_XLS"/>
      <sheetName val="기본구도_XLS"/>
      <sheetName val="출장비_XLS"/>
      <sheetName val="97환율영향_XLS"/>
      <sheetName val="97자금_XLS"/>
      <sheetName val="환차이익_XLS"/>
      <sheetName val="Ref_3(8111200)"/>
      <sheetName val="Redisturb_area"/>
      <sheetName val="Tbl_14_Planting_implementa"/>
      <sheetName val="OMCo_Labor"/>
      <sheetName val="28__ENV_-_Curah_Hujan_2022"/>
      <sheetName val="EOW_Coal"/>
      <sheetName val="98년차_XLS1"/>
      <sheetName val="97PL실적_XLS1"/>
      <sheetName val="팀별경비_XLS1"/>
      <sheetName val="팀별관리_XLS1"/>
      <sheetName val="기본구도_XLS1"/>
      <sheetName val="출장비_XLS1"/>
      <sheetName val="97환율영향_XLS1"/>
      <sheetName val="97자금_XLS1"/>
      <sheetName val="환차이익_XLS1"/>
      <sheetName val="Ref_3(8111200)1"/>
      <sheetName val="Redisturb_area1"/>
      <sheetName val="Tbl_14_Planting_implementa1"/>
      <sheetName val="OMCo_Labor1"/>
      <sheetName val="28__ENV_-_Curah_Hujan_20221"/>
      <sheetName val="EOW_Coal1"/>
      <sheetName val="Jan"/>
      <sheetName val="Lookup"/>
      <sheetName val="PEXF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VERBURDEN"/>
      <sheetName val="MAINTENANCE"/>
      <sheetName val="SUBKON"/>
      <sheetName val="Attendance Ratio"/>
      <sheetName val="Tyre Life Time"/>
      <sheetName val="Operation - Prod"/>
      <sheetName val="Sheet1"/>
      <sheetName val="NEW"/>
      <sheetName val="Data"/>
      <sheetName val="UNIT EXISTING"/>
      <sheetName val="Record Problem"/>
      <sheetName val="Print (4)"/>
      <sheetName val="LPA OB"/>
      <sheetName val="ocean voyage"/>
      <sheetName val="STATUS UNIT"/>
      <sheetName val="RM Cost"/>
      <sheetName val="-REF-"/>
      <sheetName val="Revenue"/>
      <sheetName val="Detail"/>
      <sheetName val="Ref"/>
      <sheetName val="PE"/>
      <sheetName val="#REF!"/>
      <sheetName val="Tyre_Life_Time"/>
      <sheetName val="Operation_-_Prod"/>
      <sheetName val="Attendance_Ratio"/>
      <sheetName val="UNIT_EXISTING"/>
      <sheetName val="Record_Problem"/>
      <sheetName val="Print_(4)"/>
      <sheetName val="LPA_OB"/>
      <sheetName val="ocean_voyage"/>
      <sheetName val="Petrosea"/>
      <sheetName val="EX572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Tyre_Life_Time1"/>
      <sheetName val="Operation_-_Prod1"/>
      <sheetName val="Attendance_Ratio1"/>
      <sheetName val="UNIT_EXISTING1"/>
      <sheetName val="Record_Problem1"/>
      <sheetName val="Print_(4)1"/>
      <sheetName val="LPA_OB1"/>
      <sheetName val="ocean_voyage1"/>
      <sheetName val="STATUS_UNIT"/>
      <sheetName val="RM_Cost"/>
      <sheetName val="Tyre_Life_Time2"/>
      <sheetName val="Operation_-_Prod2"/>
      <sheetName val="Attendance_Ratio2"/>
      <sheetName val="UNIT_EXISTING2"/>
      <sheetName val="Record_Problem2"/>
      <sheetName val="Print_(4)2"/>
      <sheetName val="LPA_OB2"/>
      <sheetName val="ocean_voyage2"/>
      <sheetName val="STATUS_UNIT1"/>
      <sheetName val="RM_Cost1"/>
      <sheetName val="Truck_Count"/>
      <sheetName val="Joint_Survey_Actual"/>
      <sheetName val="Budget Cash Out"/>
      <sheetName val="Master"/>
      <sheetName val="Nama Operator-Driver"/>
      <sheetName val="date"/>
      <sheetName val="Kode"/>
      <sheetName val="KPI"/>
      <sheetName val="Sheet2"/>
      <sheetName val="Nama_Operator-Driver1"/>
      <sheetName val="Nama_Operator-Driver"/>
      <sheetName val="CALC"/>
      <sheetName val="POPUN"/>
      <sheetName val="LIST"/>
      <sheetName val="list unit"/>
      <sheetName val="sbl"/>
      <sheetName val="PT"/>
      <sheetName val="COA"/>
      <sheetName val="Setting Unit"/>
      <sheetName val="Helper"/>
      <sheetName val="Day &amp; Date"/>
      <sheetName val="LIST NEW"/>
      <sheetName val="list_unit"/>
      <sheetName val="Setting_Unit"/>
      <sheetName val="Day_&amp;_Date"/>
      <sheetName val="Nama_Operator-Driver2"/>
      <sheetName val="LIST_NEW"/>
      <sheetName val="dbase EGI"/>
      <sheetName val="RATE"/>
      <sheetName val="UNIT"/>
      <sheetName val="Maret"/>
      <sheetName val="CLAIM EMBUNG"/>
      <sheetName val="Distance Pit-TSP to WBM"/>
      <sheetName val="Distance Pit-PSG to BJM"/>
      <sheetName val="Distance Pit-TSP to BJM"/>
      <sheetName val="SEX"/>
      <sheetName val="DB"/>
      <sheetName val="Validation"/>
      <sheetName val="DATA BASE UNIT"/>
      <sheetName val="MP"/>
      <sheetName val="DataBase"/>
      <sheetName val="poductvty JAN"/>
      <sheetName val="Prod"/>
      <sheetName val="OLIE"/>
      <sheetName val="Avail"/>
      <sheetName val="PIT BBP TO SP MB-AL"/>
      <sheetName val="Tyre_Life_Time3"/>
      <sheetName val="list_unit1"/>
      <sheetName val="Setting_Unit1"/>
      <sheetName val="Day_&amp;_Date1"/>
      <sheetName val="Nama_Operator-Driver3"/>
      <sheetName val="LIST_NEW1"/>
      <sheetName val="dbase_EGI"/>
      <sheetName val="Budget_Cash_Out"/>
      <sheetName val="CLAIM_EMBUNG"/>
      <sheetName val="Distance_Pit-TSP_to_WBM"/>
      <sheetName val="Distance_Pit-PSG_to_BJM"/>
      <sheetName val="Distance_Pit-TSP_to_BJM"/>
      <sheetName val="DATA_BASE_UNIT"/>
      <sheetName val="Code"/>
      <sheetName val="Ritase"/>
      <sheetName val="7NS"/>
      <sheetName val="Rekapitulasi Fuel"/>
      <sheetName val="Master (2)"/>
      <sheetName val="tabel"/>
      <sheetName val="Produksi"/>
      <sheetName val="Asumsi"/>
      <sheetName val="DATA_B"/>
      <sheetName val="TARIF"/>
      <sheetName val="IBS 2012"/>
      <sheetName val="PRINT CLAIM KPP"/>
      <sheetName val="01"/>
      <sheetName val="SC"/>
      <sheetName val="CONSOLE"/>
      <sheetName val="list data"/>
      <sheetName val="dummy"/>
      <sheetName val="A"/>
      <sheetName val="22861"/>
      <sheetName val="Operation_-_Prod3"/>
      <sheetName val="Attendance_Ratio3"/>
      <sheetName val="UNIT_EXISTING3"/>
      <sheetName val="Record_Problem3"/>
      <sheetName val="Print_(4)3"/>
      <sheetName val="LPA_OB3"/>
      <sheetName val="ocean_voyage3"/>
      <sheetName val="STATUS_UNIT2"/>
      <sheetName val="RM_Cost2"/>
      <sheetName val="Truck_Count1"/>
      <sheetName val="Joint_Survey_Actual1"/>
      <sheetName val="IBS_2012"/>
      <sheetName val="PRINT_CLAIM_KPP"/>
      <sheetName val="list_data"/>
      <sheetName val="Busang1"/>
      <sheetName val="Busang2"/>
      <sheetName val="Busang3"/>
      <sheetName val="Jonggon1"/>
      <sheetName val="Jonggon2"/>
      <sheetName val="Jonggon3"/>
      <sheetName val="Remarks"/>
      <sheetName val="Input"/>
      <sheetName val="Coal"/>
      <sheetName val="Block"/>
      <sheetName val="CondDaily"/>
      <sheetName val="Input2"/>
      <sheetName val="DaiRep"/>
      <sheetName val="Safety"/>
      <sheetName val="CondMonthly"/>
      <sheetName val="Weather"/>
      <sheetName val="Setting"/>
      <sheetName val="M_POP"/>
      <sheetName val="Master activity WBS "/>
      <sheetName val="FR MTD"/>
      <sheetName val="DB MANPOWER"/>
      <sheetName val="Master Unit"/>
      <sheetName val="PRO_COAL"/>
      <sheetName val="ST"/>
      <sheetName val="Check Poin Apa"/>
      <sheetName val="Tools"/>
      <sheetName val="M_POP (2)"/>
      <sheetName val="Leasing Acct"/>
      <sheetName val="RAPORT TINGKAT GAGAL"/>
      <sheetName val="Analisa"/>
      <sheetName val="4334-Summary"/>
      <sheetName val="ESCON"/>
      <sheetName val="POP"/>
      <sheetName val="DATE &amp; WEEK SETT"/>
      <sheetName val="WFOB"/>
      <sheetName val="MP1"/>
      <sheetName val="Trading Statement"/>
      <sheetName val="GeneralInfo"/>
      <sheetName val="Forecast"/>
      <sheetName val="I_KAMAR"/>
      <sheetName val="DATA BASE"/>
      <sheetName val="Parameter"/>
      <sheetName val="1999"/>
      <sheetName val="REPORT01"/>
      <sheetName val="DRILLBLAST"/>
      <sheetName val="ACT HAUL"/>
      <sheetName val="ACT OB"/>
      <sheetName val="ACT COAL"/>
      <sheetName val="COAL CRUSH PLAN"/>
      <sheetName val=" COAL MINE PLAN"/>
      <sheetName val="ACT DIRTY COAL"/>
      <sheetName val=" OB PLAN"/>
      <sheetName val="Ktd"/>
      <sheetName val="Rain &amp; Slippery Method"/>
      <sheetName val="C1 NOV"/>
      <sheetName val="OLDMAP"/>
      <sheetName val="#REF"/>
      <sheetName val="SOURCE"/>
      <sheetName val="Highlight"/>
      <sheetName val="25"/>
      <sheetName val="MASTER SIA"/>
      <sheetName val="RAPORT PERFORMANCE"/>
      <sheetName val="IBS"/>
      <sheetName val="MARCO"/>
      <sheetName val="WASHCO"/>
      <sheetName val="Project Report"/>
      <sheetName val="D_Base"/>
      <sheetName val="UA_PA"/>
      <sheetName val="Productivity"/>
      <sheetName val="Coal_per_block"/>
      <sheetName val="Blasting_per_block"/>
      <sheetName val="Daily Report"/>
      <sheetName val="Weekly_DEJ"/>
      <sheetName val="Overall_plan"/>
      <sheetName val="BRM"/>
      <sheetName val="RainSlipp_Weight"/>
      <sheetName val="pittonsp"/>
      <sheetName val="crushnsp"/>
      <sheetName val="KM91"/>
      <sheetName val="Graf_Rain"/>
      <sheetName val="LINK"/>
      <sheetName val="Paretto PDTY"/>
      <sheetName val="WF OB"/>
      <sheetName val="Anal Koef"/>
      <sheetName val="Letter"/>
      <sheetName val="DATA BASE ENG"/>
      <sheetName val="March-april (2)"/>
      <sheetName val="Lamp 1"/>
      <sheetName val="Lamp 2"/>
      <sheetName val="Lamp 3"/>
      <sheetName val="BASE"/>
      <sheetName val="IVT TTB"/>
      <sheetName val="inventory timbau"/>
      <sheetName val="SP 4 CUMULATIVE"/>
      <sheetName val="SP 1 CUMULATIVE"/>
      <sheetName val="SP 3 CUMULATIVE"/>
      <sheetName val="Act_cost"/>
      <sheetName val="Row Data"/>
      <sheetName val="MF"/>
      <sheetName val="UA_PA DZ"/>
      <sheetName val="UA_PA GR"/>
      <sheetName val="UA_PA PC"/>
      <sheetName val="UA_PA HM400"/>
      <sheetName val="UA_PA HD4657"/>
      <sheetName val="UA_PA HD7857"/>
      <sheetName val="UA_PA HD7857 (2)"/>
      <sheetName val="UA_PA P380"/>
      <sheetName val="Productivity PC_WR"/>
      <sheetName val="Productivity PC 800_CC"/>
      <sheetName val="Productivity HM400"/>
      <sheetName val="Productivity HD4657"/>
      <sheetName val="Productivity HD7857"/>
      <sheetName val="Coal_per_Hauling"/>
      <sheetName val="Coal_Hauling"/>
      <sheetName val="Overburden_Actual"/>
      <sheetName val="Rain Fall pit"/>
      <sheetName val="1"/>
      <sheetName val="KPC"/>
      <sheetName val="Rental"/>
      <sheetName val="EXA"/>
      <sheetName val="CONTROL"/>
      <sheetName val="Rain"/>
      <sheetName val="WASTE"/>
      <sheetName val="summary"/>
      <sheetName val="Master2"/>
      <sheetName val="Raw Data Cost"/>
      <sheetName val="PT. SRIWIJAYA LINTAS RAYA"/>
      <sheetName val="RESUME"/>
      <sheetName val="ALL HAULING_Maret"/>
      <sheetName val="ALL HAULING_April"/>
      <sheetName val="ALL HAULING_Mei"/>
      <sheetName val="ALL HAULING_Juni"/>
      <sheetName val="ALL HAULING_Juli "/>
      <sheetName val="ALL HAULING_Agustus "/>
      <sheetName val="DATA ERROR DATA VOID_AGUSTUS "/>
      <sheetName val="DATA ERROR DATA VOID_JULI "/>
      <sheetName val="DATA ERROR DATA VOID_JUNI"/>
      <sheetName val="DATA ERROR DATA VOID_MEI"/>
      <sheetName val="DATA ERROR DATA VOID_APRIL"/>
      <sheetName val="DATA ERROR DATA VOID_maret "/>
      <sheetName val="Kuota Epi &amp; 107"/>
      <sheetName val="ALL HAULING_September"/>
      <sheetName val="DATA ERROR DATA VOID_SEPTEMBER"/>
      <sheetName val="GRAFIC_OB"/>
      <sheetName val="GRAFIC_COAL"/>
      <sheetName val="OPERATOR"/>
      <sheetName val="Ex_Rate"/>
      <sheetName val="TEMPLATE POSITION"/>
      <sheetName val="EPR WEEKLY"/>
      <sheetName val="Base data"/>
      <sheetName val="Safety 2"/>
      <sheetName val="usage"/>
      <sheetName val="All Stockpile PT. GPS"/>
      <sheetName val="BA EMBUNG S1"/>
      <sheetName val="DT"/>
      <sheetName val="A2B"/>
      <sheetName val="cHECKER"/>
      <sheetName val="Master Data"/>
      <sheetName val="Unit Database"/>
      <sheetName val="M"/>
      <sheetName val="Plan.Reg"/>
      <sheetName val="Sales Seasonality by Month"/>
      <sheetName val="Waterflow OB"/>
      <sheetName val="Lists"/>
      <sheetName val="Sheet4"/>
      <sheetName val="Rekap Coal"/>
      <sheetName val="Report HM"/>
      <sheetName val="Div2"/>
      <sheetName val="UNIT GAM"/>
      <sheetName val="MAN POWER"/>
      <sheetName val="POPULASI UNIT"/>
      <sheetName val="LIST KARYAWAN"/>
      <sheetName val="gVL"/>
      <sheetName val="Kode Unit"/>
      <sheetName val="BA_Print"/>
      <sheetName val="FUEL"/>
      <sheetName val="HM"/>
      <sheetName val="Ore-Prod"/>
      <sheetName val="Status"/>
      <sheetName val="ORE"/>
      <sheetName val="Production"/>
      <sheetName val="KITADIN"/>
      <sheetName val="Validasi"/>
      <sheetName val="ps"/>
      <sheetName val="QUALITY"/>
      <sheetName val="Internal Process Perspective"/>
      <sheetName val="HM UPDATE"/>
      <sheetName val="POP Onsite"/>
      <sheetName val="summary adjusted"/>
      <sheetName val="2002"/>
      <sheetName val="Tyre_Life_Time4"/>
      <sheetName val="STATUS_UNIT3"/>
      <sheetName val="RM_Cost3"/>
      <sheetName val="Truck_Count2"/>
      <sheetName val="Joint_Survey_Actual2"/>
      <sheetName val="dbase_EGI1"/>
      <sheetName val="CLAIM_EMBUNG1"/>
      <sheetName val="ocean_voyage4"/>
      <sheetName val="Budget_Cash_Out1"/>
      <sheetName val="IBS_20121"/>
      <sheetName val="PRINT_CLAIM_KPP1"/>
      <sheetName val="Operation_-_Prod4"/>
      <sheetName val="Attendance_Ratio4"/>
      <sheetName val="UNIT_EXISTING4"/>
      <sheetName val="Record_Problem4"/>
      <sheetName val="Print_(4)4"/>
      <sheetName val="LPA_OB4"/>
      <sheetName val="Setting_Unit2"/>
      <sheetName val="Day_&amp;_Date2"/>
      <sheetName val="list_unit2"/>
      <sheetName val="Project_Report"/>
      <sheetName val="Daily_Report"/>
      <sheetName val="Anal_Koef"/>
      <sheetName val="Paretto_PDTY"/>
      <sheetName val="WF_OB"/>
      <sheetName val="Lamp_1"/>
      <sheetName val="Lamp_2"/>
      <sheetName val="Lamp_3"/>
      <sheetName val="March-april_(2)"/>
      <sheetName val="DATA_BASE_ENG"/>
      <sheetName val="IVT_TTB"/>
      <sheetName val="inventory_timbau"/>
      <sheetName val="SP_4_CUMULATIVE"/>
      <sheetName val="SP_1_CUMULATIVE"/>
      <sheetName val="SP_3_CUMULATIVE"/>
      <sheetName val="LIST_NEW2"/>
      <sheetName val="list_data1"/>
      <sheetName val="Nama_Operator-Driver4"/>
      <sheetName val="Distance_Pit-TSP_to_WBM1"/>
      <sheetName val="Distance_Pit-PSG_to_BJM1"/>
      <sheetName val="Distance_Pit-TSP_to_BJM1"/>
      <sheetName val="Rekapitulasi_Fuel"/>
      <sheetName val="Master_(2)"/>
      <sheetName val="Rain_Fall_pit"/>
      <sheetName val="Row_Data"/>
      <sheetName val="UA_PA_DZ"/>
      <sheetName val="UA_PA_GR"/>
      <sheetName val="UA_PA_PC"/>
      <sheetName val="UA_PA_HM400"/>
      <sheetName val="UA_PA_HD4657"/>
      <sheetName val="UA_PA_HD7857"/>
      <sheetName val="UA_PA_HD7857_(2)"/>
      <sheetName val="UA_PA_P380"/>
      <sheetName val="Productivity_PC_WR"/>
      <sheetName val="Productivity_PC_800_CC"/>
      <sheetName val="Productivity_HM400"/>
      <sheetName val="Productivity_HD4657"/>
      <sheetName val="Productivity_HD7857"/>
      <sheetName val="All_Stockpile_PT__GPS"/>
      <sheetName val="BA_EMBUNG_S1"/>
      <sheetName val="DATA_BASE_UNIT1"/>
      <sheetName val="poductvty_JAN"/>
      <sheetName val="Master_activity_WBS_"/>
      <sheetName val="FR_MTD"/>
      <sheetName val="DB_MANPOWER"/>
      <sheetName val="Master_Unit"/>
      <sheetName val="Check_Poin_Apa"/>
      <sheetName val="DATE_&amp;_WEEK_SETT"/>
      <sheetName val="PIT_BBP_TO_SP_MB-AL"/>
      <sheetName val="Trading_Statement"/>
      <sheetName val="DATA_BASE"/>
      <sheetName val="ACT_HAUL"/>
      <sheetName val="ACT_OB"/>
      <sheetName val="ACT_COAL"/>
      <sheetName val="COAL_CRUSH_PLAN"/>
      <sheetName val="_COAL_MINE_PLAN"/>
      <sheetName val="ACT_DIRTY_COAL"/>
      <sheetName val="_OB_PLAN"/>
      <sheetName val="Rain_&amp;_Slippery_Method"/>
      <sheetName val="C1_NOV"/>
      <sheetName val="M_POP_(2)"/>
      <sheetName val="Leasing_Acct"/>
      <sheetName val="RAPORT_TINGKAT_GAGAL"/>
      <sheetName val="Raw_Data_Cost"/>
      <sheetName val="PT__SRIWIJAYA_LINTAS_RAYA"/>
      <sheetName val="ALL_HAULING_Maret"/>
      <sheetName val="ALL_HAULING_April"/>
      <sheetName val="ALL_HAULING_Mei"/>
      <sheetName val="ALL_HAULING_Juni"/>
      <sheetName val="ALL_HAULING_Juli_"/>
      <sheetName val="ALL_HAULING_Agustus_"/>
      <sheetName val="DATA_ERROR_DATA_VOID_AGUSTUS_"/>
      <sheetName val="DATA_ERROR_DATA_VOID_JULI_"/>
      <sheetName val="DATA_ERROR_DATA_VOID_JUNI"/>
      <sheetName val="DATA_ERROR_DATA_VOID_MEI"/>
      <sheetName val="DATA_ERROR_DATA_VOID_APRIL"/>
      <sheetName val="DATA_ERROR_DATA_VOID_maret_"/>
      <sheetName val="Kuota_Epi_&amp;_107"/>
      <sheetName val="ALL_HAULING_September"/>
      <sheetName val="DATA_ERROR_DATA_VOID_SEPTEMBER"/>
      <sheetName val="Plan_Reg"/>
      <sheetName val="Master_Data"/>
      <sheetName val="Unit_Database"/>
      <sheetName val="Tyre_Life_Time5"/>
      <sheetName val="STATUS_UNIT4"/>
      <sheetName val="RM_Cost4"/>
      <sheetName val="Truck_Count3"/>
      <sheetName val="Joint_Survey_Actual3"/>
      <sheetName val="dbase_EGI2"/>
      <sheetName val="CLAIM_EMBUNG2"/>
      <sheetName val="ocean_voyage5"/>
      <sheetName val="Budget_Cash_Out2"/>
      <sheetName val="IBS_20122"/>
      <sheetName val="PRINT_CLAIM_KPP2"/>
      <sheetName val="Operation_-_Prod5"/>
      <sheetName val="Attendance_Ratio5"/>
      <sheetName val="UNIT_EXISTING5"/>
      <sheetName val="Record_Problem5"/>
      <sheetName val="Print_(4)5"/>
      <sheetName val="LPA_OB5"/>
      <sheetName val="Setting_Unit3"/>
      <sheetName val="Day_&amp;_Date3"/>
      <sheetName val="list_unit3"/>
      <sheetName val="Project_Report1"/>
      <sheetName val="Daily_Report1"/>
      <sheetName val="Anal_Koef1"/>
      <sheetName val="Paretto_PDTY1"/>
      <sheetName val="WF_OB1"/>
      <sheetName val="Lamp_11"/>
      <sheetName val="Lamp_21"/>
      <sheetName val="Lamp_31"/>
      <sheetName val="March-april_(2)1"/>
      <sheetName val="DATA_BASE_ENG1"/>
      <sheetName val="IVT_TTB1"/>
      <sheetName val="inventory_timbau1"/>
      <sheetName val="SP_4_CUMULATIVE1"/>
      <sheetName val="SP_1_CUMULATIVE1"/>
      <sheetName val="SP_3_CUMULATIVE1"/>
      <sheetName val="LIST_NEW3"/>
      <sheetName val="list_data2"/>
      <sheetName val="Nama_Operator-Driver5"/>
      <sheetName val="Distance_Pit-TSP_to_WBM2"/>
      <sheetName val="Distance_Pit-PSG_to_BJM2"/>
      <sheetName val="Distance_Pit-TSP_to_BJM2"/>
      <sheetName val="Rekapitulasi_Fuel1"/>
      <sheetName val="Master_(2)1"/>
      <sheetName val="Rain_Fall_pit1"/>
      <sheetName val="Row_Data1"/>
      <sheetName val="UA_PA_DZ1"/>
      <sheetName val="UA_PA_GR1"/>
      <sheetName val="UA_PA_PC1"/>
      <sheetName val="UA_PA_HM4001"/>
      <sheetName val="UA_PA_HD46571"/>
      <sheetName val="UA_PA_HD78571"/>
      <sheetName val="UA_PA_HD7857_(2)1"/>
      <sheetName val="UA_PA_P3801"/>
      <sheetName val="Productivity_PC_WR1"/>
      <sheetName val="Productivity_PC_800_CC1"/>
      <sheetName val="Productivity_HM4001"/>
      <sheetName val="Productivity_HD46571"/>
      <sheetName val="Productivity_HD78571"/>
      <sheetName val="All_Stockpile_PT__GPS1"/>
      <sheetName val="BA_EMBUNG_S11"/>
      <sheetName val="DATA_BASE_UNIT2"/>
      <sheetName val="poductvty_JAN1"/>
      <sheetName val="Master_activity_WBS_1"/>
      <sheetName val="FR_MTD1"/>
      <sheetName val="DB_MANPOWER1"/>
      <sheetName val="Master_Unit1"/>
      <sheetName val="Check_Poin_Apa1"/>
      <sheetName val="DATE_&amp;_WEEK_SETT1"/>
      <sheetName val="PIT_BBP_TO_SP_MB-AL1"/>
      <sheetName val="Trading_Statement1"/>
      <sheetName val="DATA_BASE1"/>
      <sheetName val="ACT_HAUL1"/>
      <sheetName val="ACT_OB1"/>
      <sheetName val="ACT_COAL1"/>
      <sheetName val="COAL_CRUSH_PLAN1"/>
      <sheetName val="_COAL_MINE_PLAN1"/>
      <sheetName val="ACT_DIRTY_COAL1"/>
      <sheetName val="_OB_PLAN1"/>
      <sheetName val="Rain_&amp;_Slippery_Method1"/>
      <sheetName val="C1_NOV1"/>
      <sheetName val="M_POP_(2)1"/>
      <sheetName val="Leasing_Acct1"/>
      <sheetName val="RAPORT_TINGKAT_GAGAL1"/>
      <sheetName val="Raw_Data_Cost1"/>
      <sheetName val="PT__SRIWIJAYA_LINTAS_RAYA1"/>
      <sheetName val="ALL_HAULING_Maret1"/>
      <sheetName val="ALL_HAULING_April1"/>
      <sheetName val="ALL_HAULING_Mei1"/>
      <sheetName val="ALL_HAULING_Juni1"/>
      <sheetName val="ALL_HAULING_Juli_1"/>
      <sheetName val="ALL_HAULING_Agustus_1"/>
      <sheetName val="DATA_ERROR_DATA_VOID_AGUSTUS_1"/>
      <sheetName val="DATA_ERROR_DATA_VOID_JULI_1"/>
      <sheetName val="DATA_ERROR_DATA_VOID_JUNI1"/>
      <sheetName val="DATA_ERROR_DATA_VOID_MEI1"/>
      <sheetName val="DATA_ERROR_DATA_VOID_APRIL1"/>
      <sheetName val="DATA_ERROR_DATA_VOID_maret_1"/>
      <sheetName val="Kuota_Epi_&amp;_1071"/>
      <sheetName val="ALL_HAULING_September1"/>
      <sheetName val="DATA_ERROR_DATA_VOID_SEPTEMBER1"/>
      <sheetName val="Plan_Reg1"/>
      <sheetName val="Master_Data1"/>
      <sheetName val="Unit_Database1"/>
      <sheetName val="PCR OKT"/>
      <sheetName val="Sales_Seasonality_by_Month"/>
      <sheetName val="Waterflow_OB"/>
      <sheetName val="EPR_WEEKLY"/>
      <sheetName val="Base_data"/>
      <sheetName val="Safety_2"/>
      <sheetName val="HM_UPDATE"/>
      <sheetName val="POP_Onsite"/>
      <sheetName val="Rekap_Coal"/>
      <sheetName val="MASTER_SIA"/>
      <sheetName val="RAPORT_PERFORMANCE"/>
      <sheetName val="Sales_Seasonality_by_Month1"/>
      <sheetName val="Waterflow_OB1"/>
      <sheetName val="EPR_WEEKLY1"/>
      <sheetName val="Base_data1"/>
      <sheetName val="Safety_21"/>
      <sheetName val="HM_UPDATE1"/>
      <sheetName val="POP_Onsite1"/>
      <sheetName val="Rekap_Coal1"/>
      <sheetName val="MASTER_SIA1"/>
      <sheetName val="RAPORT_PERFORMANCE1"/>
      <sheetName val="shipping_program"/>
      <sheetName val="MS_unit"/>
      <sheetName val="TR2"/>
      <sheetName val="Input Speed Act"/>
      <sheetName val="Attendance_Ratio6"/>
      <sheetName val="Tyre_Life_Time6"/>
      <sheetName val="list_unit4"/>
      <sheetName val="Operation_-_Prod6"/>
      <sheetName val="STATUS_UNIT5"/>
      <sheetName val="RM_Cost5"/>
      <sheetName val="Truck_Count4"/>
      <sheetName val="Joint_Survey_Actual4"/>
      <sheetName val="dbase_EGI3"/>
      <sheetName val="ocean_voyage6"/>
      <sheetName val="Budget_Cash_Out3"/>
      <sheetName val="CLAIM_EMBUNG3"/>
      <sheetName val="UNIT_EXISTING6"/>
      <sheetName val="Record_Problem6"/>
      <sheetName val="Print_(4)6"/>
      <sheetName val="LPA_OB6"/>
      <sheetName val="IBS_20123"/>
      <sheetName val="PRINT_CLAIM_KPP3"/>
      <sheetName val="list_data3"/>
      <sheetName val="LIST_NEW4"/>
      <sheetName val="Nama_Operator-Driver6"/>
      <sheetName val="Distance_Pit-TSP_to_WBM3"/>
      <sheetName val="Distance_Pit-PSG_to_BJM3"/>
      <sheetName val="Distance_Pit-TSP_to_BJM3"/>
      <sheetName val="Rekapitulasi_Fuel2"/>
      <sheetName val="Setting_Unit4"/>
      <sheetName val="Day_&amp;_Date4"/>
      <sheetName val="Master_(2)2"/>
      <sheetName val="DATE_&amp;_WEEK_SETT2"/>
      <sheetName val="Trading_Statement2"/>
      <sheetName val="DATA_BASE2"/>
      <sheetName val="ACT_HAUL2"/>
      <sheetName val="ACT_OB2"/>
      <sheetName val="ACT_COAL2"/>
      <sheetName val="COAL_CRUSH_PLAN2"/>
      <sheetName val="_COAL_MINE_PLAN2"/>
      <sheetName val="ACT_DIRTY_COAL2"/>
      <sheetName val="_OB_PLAN2"/>
      <sheetName val="Rain_&amp;_Slippery_Method2"/>
      <sheetName val="C1_NOV2"/>
      <sheetName val="PIT_BBP_TO_SP_MB-AL2"/>
      <sheetName val="Project_Report2"/>
      <sheetName val="Daily_Report2"/>
      <sheetName val="Anal_Koef2"/>
      <sheetName val="Paretto_PDTY2"/>
      <sheetName val="WF_OB2"/>
      <sheetName val="DATA_BASE_ENG2"/>
      <sheetName val="March-april_(2)2"/>
      <sheetName val="Lamp_12"/>
      <sheetName val="Lamp_22"/>
      <sheetName val="Lamp_32"/>
      <sheetName val="IVT_TTB2"/>
      <sheetName val="inventory_timbau2"/>
      <sheetName val="SP_4_CUMULATIVE2"/>
      <sheetName val="SP_1_CUMULATIVE2"/>
      <sheetName val="SP_3_CUMULATIVE2"/>
      <sheetName val="Sales_Seasonality_by_Month2"/>
      <sheetName val="Waterflow_OB2"/>
      <sheetName val="poductvty_JAN2"/>
      <sheetName val="Master_activity_WBS_2"/>
      <sheetName val="FR_MTD2"/>
      <sheetName val="DB_MANPOWER2"/>
      <sheetName val="Master_Unit2"/>
      <sheetName val="Check_Poin_Apa2"/>
      <sheetName val="M_POP_(2)2"/>
      <sheetName val="DATA_BASE_UNIT3"/>
      <sheetName val="RAPORT_TINGKAT_GAGAL2"/>
      <sheetName val="Leasing_Acct2"/>
      <sheetName val="EPR_WEEKLY2"/>
      <sheetName val="Base_data2"/>
      <sheetName val="Safety_22"/>
      <sheetName val="Row_Data2"/>
      <sheetName val="UA_PA_DZ2"/>
      <sheetName val="UA_PA_GR2"/>
      <sheetName val="UA_PA_PC2"/>
      <sheetName val="UA_PA_HM4002"/>
      <sheetName val="UA_PA_HD46572"/>
      <sheetName val="UA_PA_HD78572"/>
      <sheetName val="UA_PA_HD7857_(2)2"/>
      <sheetName val="UA_PA_P3802"/>
      <sheetName val="Productivity_PC_WR2"/>
      <sheetName val="Productivity_PC_800_CC2"/>
      <sheetName val="Productivity_HM4002"/>
      <sheetName val="Productivity_HD46572"/>
      <sheetName val="Productivity_HD78572"/>
      <sheetName val="Rain_Fall_pit2"/>
      <sheetName val="All_Stockpile_PT__GPS2"/>
      <sheetName val="BA_EMBUNG_S12"/>
      <sheetName val="Raw_Data_Cost2"/>
      <sheetName val="PT__SRIWIJAYA_LINTAS_RAYA2"/>
      <sheetName val="ALL_HAULING_Maret2"/>
      <sheetName val="ALL_HAULING_April2"/>
      <sheetName val="ALL_HAULING_Mei2"/>
      <sheetName val="ALL_HAULING_Juni2"/>
      <sheetName val="ALL_HAULING_Juli_2"/>
      <sheetName val="ALL_HAULING_Agustus_2"/>
      <sheetName val="DATA_ERROR_DATA_VOID_AGUSTUS_2"/>
      <sheetName val="DATA_ERROR_DATA_VOID_JULI_2"/>
      <sheetName val="DATA_ERROR_DATA_VOID_JUNI2"/>
      <sheetName val="DATA_ERROR_DATA_VOID_MEI2"/>
      <sheetName val="DATA_ERROR_DATA_VOID_APRIL2"/>
      <sheetName val="DATA_ERROR_DATA_VOID_maret_2"/>
      <sheetName val="Kuota_Epi_&amp;_1072"/>
      <sheetName val="ALL_HAULING_September2"/>
      <sheetName val="DATA_ERROR_DATA_VOID_SEPTEMBER2"/>
      <sheetName val="Rekap_Coal2"/>
      <sheetName val="HM_UPDATE2"/>
      <sheetName val="POP_Onsite2"/>
      <sheetName val="MASTER_SIA2"/>
      <sheetName val="RAPORT_PERFORMANCE2"/>
      <sheetName val="DPR"/>
      <sheetName val="Base Unit"/>
      <sheetName val="LOADDAT"/>
      <sheetName val="Resume WH_STB_BD"/>
      <sheetName val="Kode_Unit"/>
      <sheetName val="Resume_WH_STB_BD"/>
      <sheetName val="UNIT_GAM"/>
      <sheetName val="CODE-C"/>
      <sheetName val="DATABASE_BD"/>
      <sheetName val="Help"/>
      <sheetName val="Comp Code"/>
      <sheetName val="Asset"/>
      <sheetName val="BARGING"/>
      <sheetName val="PLAN COAL PTR"/>
      <sheetName val="PLAN OB"/>
      <sheetName val="BREAKDOWN"/>
      <sheetName val="OPLOAD_HERE"/>
      <sheetName val="OB SAP"/>
      <sheetName val="COAL PTR"/>
      <sheetName val="ZPM01"/>
      <sheetName val="R &amp; S"/>
      <sheetName val="Loss MTD OB"/>
      <sheetName val="Total OB"/>
      <sheetName val="Review OB"/>
      <sheetName val="Water Fall OB"/>
      <sheetName val="PICA OB"/>
      <sheetName val="Total COAL"/>
      <sheetName val="Review COAL"/>
      <sheetName val="Water Fall COAL PTR"/>
      <sheetName val="PICA COAL"/>
      <sheetName val="EWH Loader"/>
      <sheetName val="Resume OB SIS"/>
      <sheetName val="Detail OB SIS"/>
      <sheetName val="Resume PTR SIS"/>
      <sheetName val="Detail PTR SIS"/>
      <sheetName val="Review Weekly"/>
      <sheetName val="REV 2"/>
      <sheetName val="PROD PLAN"/>
      <sheetName val="PROD JS"/>
      <sheetName val="Summary RTK Wara"/>
      <sheetName val="Existing PPA WARA"/>
      <sheetName val="TRUCK"/>
      <sheetName val="Dozing Estimation"/>
      <sheetName val="0804"/>
      <sheetName val="PLAN IBS SUBC"/>
      <sheetName val="QUICK COUNT"/>
      <sheetName val="Owner"/>
      <sheetName val="MASTERDATA"/>
      <sheetName val="Cost Center"/>
      <sheetName val="Dbase Man Hours"/>
      <sheetName val="BU_ID"/>
      <sheetName val="FR Cluster MTD"/>
      <sheetName val="METAEMB"/>
      <sheetName val="penjualan"/>
      <sheetName val="LAYOUT"/>
      <sheetName val="070108"/>
      <sheetName val="Weather Delays"/>
      <sheetName val="TEMPLATE_POSITION"/>
      <sheetName val="Weather_Delays"/>
      <sheetName val="summary_adjusted"/>
      <sheetName val="MTD CHAIN"/>
      <sheetName val="Equipment"/>
      <sheetName val="GiaVL"/>
      <sheetName val="RAPORT"/>
      <sheetName val=" SAF 02"/>
      <sheetName val="DAY"/>
      <sheetName val="11-20"/>
      <sheetName val="Monthly Plan"/>
      <sheetName val="PEXFEE"/>
      <sheetName val="List Down"/>
      <sheetName val="Tyre_Life_Time7"/>
      <sheetName val="list_unit5"/>
      <sheetName val="Operation_-_Prod7"/>
      <sheetName val="Setting_Unit5"/>
      <sheetName val="Day_&amp;_Date5"/>
      <sheetName val="STATUS_UNIT6"/>
      <sheetName val="RM_Cost6"/>
      <sheetName val="Nama_Operator-Driver7"/>
      <sheetName val="Attendance_Ratio7"/>
      <sheetName val="LIST_NEW5"/>
      <sheetName val="Truck_Count5"/>
      <sheetName val="Joint_Survey_Actual5"/>
      <sheetName val="dbase_EGI4"/>
      <sheetName val="ocean_voyage7"/>
      <sheetName val="Budget_Cash_Out4"/>
      <sheetName val="CLAIM_EMBUNG4"/>
      <sheetName val="Distance_Pit-TSP_to_WBM4"/>
      <sheetName val="Distance_Pit-PSG_to_BJM4"/>
      <sheetName val="Distance_Pit-TSP_to_BJM4"/>
      <sheetName val="DATA_BASE_UNIT4"/>
      <sheetName val="poductvty_JAN3"/>
      <sheetName val="PIT_BBP_TO_SP_MB-AL3"/>
      <sheetName val="UNIT_EXISTING7"/>
      <sheetName val="Record_Problem7"/>
      <sheetName val="Print_(4)7"/>
      <sheetName val="LPA_OB7"/>
      <sheetName val="Rekapitulasi_Fuel3"/>
      <sheetName val="Master_(2)3"/>
      <sheetName val="IBS_20124"/>
      <sheetName val="PRINT_CLAIM_KPP4"/>
      <sheetName val="list_data4"/>
      <sheetName val="Master_activity_WBS_3"/>
      <sheetName val="FR_MTD3"/>
      <sheetName val="DB_MANPOWER3"/>
      <sheetName val="Master_Unit3"/>
      <sheetName val="Check_Poin_Apa3"/>
      <sheetName val="M_POP_(2)3"/>
      <sheetName val="Leasing_Acct3"/>
      <sheetName val="RAPORT_TINGKAT_GAGAL3"/>
      <sheetName val="DATE_&amp;_WEEK_SETT3"/>
      <sheetName val="Trading_Statement3"/>
      <sheetName val="DATA_BASE3"/>
      <sheetName val="ACT_HAUL3"/>
      <sheetName val="ACT_OB3"/>
      <sheetName val="ACT_COAL3"/>
      <sheetName val="COAL_CRUSH_PLAN3"/>
      <sheetName val="_COAL_MINE_PLAN3"/>
      <sheetName val="ACT_DIRTY_COAL3"/>
      <sheetName val="_OB_PLAN3"/>
      <sheetName val="Rain_&amp;_Slippery_Method3"/>
      <sheetName val="C1_NOV3"/>
      <sheetName val="MASTER_SIA3"/>
      <sheetName val="RAPORT_PERFORMANCE3"/>
      <sheetName val="Project_Report3"/>
      <sheetName val="Daily_Report3"/>
      <sheetName val="Paretto_PDTY3"/>
      <sheetName val="WF_OB3"/>
      <sheetName val="Anal_Koef3"/>
      <sheetName val="DATA_BASE_ENG3"/>
      <sheetName val="March-april_(2)3"/>
      <sheetName val="Lamp_13"/>
      <sheetName val="Lamp_23"/>
      <sheetName val="Lamp_33"/>
      <sheetName val="IVT_TTB3"/>
      <sheetName val="inventory_timbau3"/>
      <sheetName val="SP_4_CUMULATIVE3"/>
      <sheetName val="SP_1_CUMULATIVE3"/>
      <sheetName val="SP_3_CUMULATIVE3"/>
      <sheetName val="Row_Data3"/>
      <sheetName val="UA_PA_DZ3"/>
      <sheetName val="UA_PA_GR3"/>
      <sheetName val="UA_PA_PC3"/>
      <sheetName val="UA_PA_HM4003"/>
      <sheetName val="UA_PA_HD46573"/>
      <sheetName val="UA_PA_HD78573"/>
      <sheetName val="UA_PA_HD7857_(2)3"/>
      <sheetName val="UA_PA_P3803"/>
      <sheetName val="Productivity_PC_WR3"/>
      <sheetName val="Productivity_PC_800_CC3"/>
      <sheetName val="Productivity_HM4003"/>
      <sheetName val="Productivity_HD46573"/>
      <sheetName val="Productivity_HD78573"/>
      <sheetName val="Rain_Fall_pit3"/>
      <sheetName val="Raw_Data_Cost3"/>
      <sheetName val="PT__SRIWIJAYA_LINTAS_RAYA3"/>
      <sheetName val="ALL_HAULING_Maret3"/>
      <sheetName val="ALL_HAULING_April3"/>
      <sheetName val="ALL_HAULING_Mei3"/>
      <sheetName val="ALL_HAULING_Juni3"/>
      <sheetName val="ALL_HAULING_Juli_3"/>
      <sheetName val="ALL_HAULING_Agustus_3"/>
      <sheetName val="DATA_ERROR_DATA_VOID_AGUSTUS_3"/>
      <sheetName val="DATA_ERROR_DATA_VOID_JULI_3"/>
      <sheetName val="DATA_ERROR_DATA_VOID_JUNI3"/>
      <sheetName val="DATA_ERROR_DATA_VOID_MEI3"/>
      <sheetName val="DATA_ERROR_DATA_VOID_APRIL3"/>
      <sheetName val="DATA_ERROR_DATA_VOID_maret_3"/>
      <sheetName val="Kuota_Epi_&amp;_1073"/>
      <sheetName val="ALL_HAULING_September3"/>
      <sheetName val="DATA_ERROR_DATA_VOID_SEPTEMBER3"/>
      <sheetName val="EPR_WEEKLY3"/>
      <sheetName val="Base_data3"/>
      <sheetName val="Safety_23"/>
      <sheetName val="All_Stockpile_PT__GPS3"/>
      <sheetName val="BA_EMBUNG_S13"/>
      <sheetName val="Master_Data2"/>
      <sheetName val="Unit_Database2"/>
      <sheetName val="Plan_Reg2"/>
      <sheetName val="Sales_Seasonality_by_Month3"/>
      <sheetName val="Waterflow_OB3"/>
      <sheetName val="Rekap_Coal3"/>
      <sheetName val="Report_HM"/>
      <sheetName val="UNIT_GAM1"/>
      <sheetName val="MAN_POWER"/>
      <sheetName val="POPULASI_UNIT"/>
      <sheetName val="LIST_KARYAWAN"/>
      <sheetName val="Kode_Unit1"/>
      <sheetName val="Internal_Process_Perspective"/>
      <sheetName val="HM_UPDATE3"/>
      <sheetName val="POP_Onsite3"/>
      <sheetName val="PCR_OKT"/>
      <sheetName val="Input_Speed_Act"/>
      <sheetName val="Base_Unit"/>
      <sheetName val="Resume_WH_STB_BD1"/>
      <sheetName val="Cost Code"/>
      <sheetName val="Sum"/>
      <sheetName val="PARA"/>
      <sheetName val="FC &amp; FR"/>
      <sheetName val="STEP 3.1"/>
      <sheetName val="Pivot Control Volume"/>
      <sheetName val="Central DB"/>
      <sheetName val="HM UNIT"/>
      <sheetName val="Pivot Ritase BSI"/>
      <sheetName val="DMR BSI"/>
      <sheetName val="DMR Total"/>
      <sheetName val="HM SUPPORT  MMS"/>
      <sheetName val="Reff"/>
      <sheetName val="ob+co"/>
      <sheetName val="Data unit"/>
      <sheetName val="Big"/>
      <sheetName val="Coal_Mining"/>
      <sheetName val="Cover"/>
      <sheetName val="Htr"/>
      <sheetName val="KPC Coal"/>
      <sheetName val="KPC_Total"/>
      <sheetName val="MS"/>
      <sheetName val="BS+PL"/>
      <sheetName val="SPO"/>
      <sheetName val="PA"/>
      <sheetName val="Module2"/>
      <sheetName val="Populasi"/>
      <sheetName val="Rekap Operator All"/>
      <sheetName val="Loan"/>
      <sheetName val="Subcont"/>
      <sheetName val="CHART"/>
      <sheetName val="Production by Lokasi"/>
      <sheetName val="Permanent info"/>
      <sheetName val="Marshal"/>
      <sheetName val="WATERFALL ANALISIS"/>
      <sheetName val="Data OK"/>
      <sheetName val="PLAN"/>
      <sheetName val="ACTUAL"/>
      <sheetName val="Input OB"/>
      <sheetName val="Payroll Slip"/>
      <sheetName val="ledger02"/>
      <sheetName val="GL"/>
      <sheetName val="Unschedule"/>
      <sheetName val="BULAN 1"/>
      <sheetName val="ORang"/>
      <sheetName val="AUG02"/>
      <sheetName val="Perm. Test"/>
      <sheetName val="POPULASI UNIT COAL"/>
      <sheetName val="Daily Activity (SUM)"/>
      <sheetName val="SUMREP"/>
      <sheetName val="MTBU"/>
      <sheetName val="BANKO pit 1"/>
      <sheetName val="OB"/>
      <sheetName val="TS"/>
      <sheetName val=""/>
      <sheetName val="Analis"/>
      <sheetName val="Data Performance"/>
      <sheetName val="IDR"/>
      <sheetName val="PLAN_IBS_SUBC"/>
      <sheetName val="QUICK_COUNT"/>
      <sheetName val="Dbase_Man_Hours"/>
      <sheetName val="Dozing_Estimation"/>
      <sheetName val="STEP_3_1"/>
      <sheetName val="Cost_Code"/>
      <sheetName val="Pivot_Control_Volume"/>
      <sheetName val="Central_DB"/>
      <sheetName val="HM_UNIT"/>
      <sheetName val="Pivot_Ritase_BSI"/>
      <sheetName val="DMR_BSI"/>
      <sheetName val="DMR_Total"/>
      <sheetName val="HM_SUPPORT__MMS"/>
      <sheetName val="Data_unit"/>
      <sheetName val="FR_Cluster_MTD"/>
      <sheetName val="KPC_Coal"/>
      <sheetName val="Comp_Code"/>
      <sheetName val="PLAN_COAL_PTR"/>
      <sheetName val="PLAN_OB"/>
      <sheetName val="OB_SAP"/>
      <sheetName val="COAL_PTR"/>
      <sheetName val="R_&amp;_S"/>
      <sheetName val="Loss_MTD_OB"/>
      <sheetName val="Total_OB"/>
      <sheetName val="Review_OB"/>
      <sheetName val="Water_Fall_OB"/>
      <sheetName val="PICA_OB"/>
      <sheetName val="Total_COAL"/>
      <sheetName val="Review_COAL"/>
      <sheetName val="Water_Fall_COAL_PTR"/>
      <sheetName val="PICA_COAL"/>
      <sheetName val="EWH_Loader"/>
      <sheetName val="Resume_OB_SIS"/>
      <sheetName val="Detail_OB_SIS"/>
      <sheetName val="Resume_PTR_SIS"/>
      <sheetName val="Detail_PTR_SIS"/>
      <sheetName val="Review_Weekly"/>
      <sheetName val="REV_2"/>
      <sheetName val="PROD_PLAN"/>
      <sheetName val="PROD_JS"/>
      <sheetName val="Summary_RTK_Wara"/>
      <sheetName val="Existing_PPA_WARA"/>
      <sheetName val="Cost_Center"/>
      <sheetName val="MTD_CHAIN"/>
      <sheetName val="List_Down"/>
      <sheetName val="Rekap_Operator_All"/>
      <sheetName val="KM94"/>
      <sheetName val="F_I"/>
      <sheetName val="ThisMonth"/>
      <sheetName val="PPA_AMM"/>
      <sheetName val="table"/>
      <sheetName val="table HGLO"/>
      <sheetName val="summary RSF"/>
      <sheetName val="summary BR1"/>
      <sheetName val="summary DS"/>
      <sheetName val="summary BR23"/>
      <sheetName val="summary IKIP"/>
      <sheetName val="summary PB"/>
      <sheetName val="target"/>
      <sheetName val="table rescat"/>
      <sheetName val="Stockpile HGLO"/>
      <sheetName val="dsDaily"/>
      <sheetName val="ENTRY OB"/>
      <sheetName val="TRANSVERSE OB"/>
      <sheetName val="ENTRY COAL"/>
      <sheetName val="TRANSVERSE COAL"/>
      <sheetName val="Monthly_Plan"/>
      <sheetName val="Monthly_Plan1"/>
      <sheetName val="Kode_Unit2"/>
      <sheetName val="Resume_WH_STB_BD2"/>
      <sheetName val="Monthly_Plan2"/>
      <sheetName val="Master_Data3"/>
      <sheetName val="Kode_Unit3"/>
      <sheetName val="Resume_WH_STB_BD3"/>
      <sheetName val="Monthly_Plan3"/>
      <sheetName val="Unit_Database3"/>
      <sheetName val="Plan_Reg3"/>
      <sheetName val="TEMPLATE_POSITION1"/>
      <sheetName val="Tyre_Life_Time8"/>
      <sheetName val="list_unit6"/>
      <sheetName val="Operation_-_Prod8"/>
      <sheetName val="Setting_Unit6"/>
      <sheetName val="Day_&amp;_Date6"/>
      <sheetName val="Master_Data4"/>
      <sheetName val="Nama_Operator-Driver8"/>
      <sheetName val="STATUS_UNIT7"/>
      <sheetName val="RM_Cost7"/>
      <sheetName val="Attendance_Ratio8"/>
      <sheetName val="Truck_Count6"/>
      <sheetName val="Joint_Survey_Actual6"/>
      <sheetName val="dbase_EGI5"/>
      <sheetName val="ocean_voyage8"/>
      <sheetName val="Budget_Cash_Out5"/>
      <sheetName val="CLAIM_EMBUNG5"/>
      <sheetName val="Distance_Pit-TSP_to_WBM5"/>
      <sheetName val="Distance_Pit-PSG_to_BJM5"/>
      <sheetName val="Distance_Pit-TSP_to_BJM5"/>
      <sheetName val="LIST_NEW6"/>
      <sheetName val="Master_(2)4"/>
      <sheetName val="poductvty_JAN4"/>
      <sheetName val="DATA_BASE_UNIT5"/>
      <sheetName val="All_Stockpile_PT__GPS4"/>
      <sheetName val="Kode_Unit4"/>
      <sheetName val="Master_activity_WBS_4"/>
      <sheetName val="FR_MTD4"/>
      <sheetName val="Resume_WH_STB_BD4"/>
      <sheetName val="Raw_Data_Cost4"/>
      <sheetName val="Monthly_Plan4"/>
      <sheetName val="IBS_20125"/>
      <sheetName val="PRINT_CLAIM_KPP5"/>
      <sheetName val="UNIT_EXISTING8"/>
      <sheetName val="Record_Problem8"/>
      <sheetName val="Print_(4)8"/>
      <sheetName val="LPA_OB8"/>
      <sheetName val="Project_Report4"/>
      <sheetName val="Daily_Report4"/>
      <sheetName val="Paretto_PDTY4"/>
      <sheetName val="WF_OB4"/>
      <sheetName val="Anal_Koef4"/>
      <sheetName val="DATA_BASE_ENG4"/>
      <sheetName val="March-april_(2)4"/>
      <sheetName val="Lamp_14"/>
      <sheetName val="Lamp_24"/>
      <sheetName val="Lamp_34"/>
      <sheetName val="Rekapitulasi_Fuel4"/>
      <sheetName val="list_data5"/>
      <sheetName val="IVT_TTB4"/>
      <sheetName val="inventory_timbau4"/>
      <sheetName val="SP_4_CUMULATIVE4"/>
      <sheetName val="SP_1_CUMULATIVE4"/>
      <sheetName val="SP_3_CUMULATIVE4"/>
      <sheetName val="Row_Data4"/>
      <sheetName val="UA_PA_DZ4"/>
      <sheetName val="UA_PA_GR4"/>
      <sheetName val="UA_PA_PC4"/>
      <sheetName val="UA_PA_HM4004"/>
      <sheetName val="UA_PA_HD46574"/>
      <sheetName val="UA_PA_HD78574"/>
      <sheetName val="UA_PA_HD7857_(2)4"/>
      <sheetName val="UA_PA_P3804"/>
      <sheetName val="Productivity_PC_WR4"/>
      <sheetName val="Productivity_PC_800_CC4"/>
      <sheetName val="Productivity_HM4004"/>
      <sheetName val="Productivity_HD46574"/>
      <sheetName val="Productivity_HD78574"/>
      <sheetName val="Rain_Fall_pit4"/>
      <sheetName val="Trading_Statement4"/>
      <sheetName val="DATA_BASE4"/>
      <sheetName val="C1_NOV4"/>
      <sheetName val="Unit_Database4"/>
      <sheetName val="ACT_HAUL4"/>
      <sheetName val="ACT_OB4"/>
      <sheetName val="ACT_COAL4"/>
      <sheetName val="COAL_CRUSH_PLAN4"/>
      <sheetName val="_COAL_MINE_PLAN4"/>
      <sheetName val="ACT_DIRTY_COAL4"/>
      <sheetName val="_OB_PLAN4"/>
      <sheetName val="Rain_&amp;_Slippery_Method4"/>
      <sheetName val="DATE_&amp;_WEEK_SETT4"/>
      <sheetName val="PIT_BBP_TO_SP_MB-AL4"/>
      <sheetName val="DB_MANPOWER4"/>
      <sheetName val="Master_Unit4"/>
      <sheetName val="Check_Poin_Apa4"/>
      <sheetName val="BA_EMBUNG_S14"/>
      <sheetName val="PT__SRIWIJAYA_LINTAS_RAYA4"/>
      <sheetName val="ALL_HAULING_Maret4"/>
      <sheetName val="ALL_HAULING_April4"/>
      <sheetName val="ALL_HAULING_Mei4"/>
      <sheetName val="ALL_HAULING_Juni4"/>
      <sheetName val="ALL_HAULING_Juli_4"/>
      <sheetName val="ALL_HAULING_Agustus_4"/>
      <sheetName val="DATA_ERROR_DATA_VOID_AGUSTUS_4"/>
      <sheetName val="DATA_ERROR_DATA_VOID_JULI_4"/>
      <sheetName val="DATA_ERROR_DATA_VOID_JUNI4"/>
      <sheetName val="DATA_ERROR_DATA_VOID_MEI4"/>
      <sheetName val="DATA_ERROR_DATA_VOID_APRIL4"/>
      <sheetName val="DATA_ERROR_DATA_VOID_maret_4"/>
      <sheetName val="Kuota_Epi_&amp;_1074"/>
      <sheetName val="ALL_HAULING_September4"/>
      <sheetName val="DATA_ERROR_DATA_VOID_SEPTEMBER4"/>
      <sheetName val="M_POP_(2)4"/>
      <sheetName val="Leasing_Acct4"/>
      <sheetName val="RAPORT_TINGKAT_GAGAL4"/>
      <sheetName val="Plan_Reg4"/>
      <sheetName val="UNIT_GAM2"/>
      <sheetName val="TEMPLATE_POSITION2"/>
      <sheetName val="Tyre_Life_Time9"/>
      <sheetName val="list_unit7"/>
      <sheetName val="Operation_-_Prod9"/>
      <sheetName val="Setting_Unit7"/>
      <sheetName val="Day_&amp;_Date7"/>
      <sheetName val="Master_Data5"/>
      <sheetName val="Nama_Operator-Driver9"/>
      <sheetName val="STATUS_UNIT8"/>
      <sheetName val="RM_Cost8"/>
      <sheetName val="Attendance_Ratio9"/>
      <sheetName val="Truck_Count7"/>
      <sheetName val="Joint_Survey_Actual7"/>
      <sheetName val="dbase_EGI6"/>
      <sheetName val="ocean_voyage9"/>
      <sheetName val="Budget_Cash_Out6"/>
      <sheetName val="CLAIM_EMBUNG6"/>
      <sheetName val="Distance_Pit-TSP_to_WBM6"/>
      <sheetName val="Distance_Pit-PSG_to_BJM6"/>
      <sheetName val="Distance_Pit-TSP_to_BJM6"/>
      <sheetName val="LIST_NEW7"/>
      <sheetName val="Master_(2)5"/>
      <sheetName val="poductvty_JAN5"/>
      <sheetName val="DATA_BASE_UNIT6"/>
      <sheetName val="All_Stockpile_PT__GPS5"/>
      <sheetName val="Kode_Unit5"/>
      <sheetName val="Master_activity_WBS_5"/>
      <sheetName val="FR_MTD5"/>
      <sheetName val="Resume_WH_STB_BD5"/>
      <sheetName val="Raw_Data_Cost5"/>
      <sheetName val="Monthly_Plan5"/>
      <sheetName val="IBS_20126"/>
      <sheetName val="PRINT_CLAIM_KPP6"/>
      <sheetName val="UNIT_EXISTING9"/>
      <sheetName val="Record_Problem9"/>
      <sheetName val="Print_(4)9"/>
      <sheetName val="LPA_OB9"/>
      <sheetName val="Project_Report5"/>
      <sheetName val="Daily_Report5"/>
      <sheetName val="Paretto_PDTY5"/>
      <sheetName val="WF_OB5"/>
      <sheetName val="Anal_Koef5"/>
      <sheetName val="DATA_BASE_ENG5"/>
      <sheetName val="March-april_(2)5"/>
      <sheetName val="Lamp_15"/>
      <sheetName val="Lamp_25"/>
      <sheetName val="Lamp_35"/>
      <sheetName val="Rekapitulasi_Fuel5"/>
      <sheetName val="list_data6"/>
      <sheetName val="IVT_TTB5"/>
      <sheetName val="inventory_timbau5"/>
      <sheetName val="SP_4_CUMULATIVE5"/>
      <sheetName val="SP_1_CUMULATIVE5"/>
      <sheetName val="SP_3_CUMULATIVE5"/>
      <sheetName val="Row_Data5"/>
      <sheetName val="UA_PA_DZ5"/>
      <sheetName val="UA_PA_GR5"/>
      <sheetName val="UA_PA_PC5"/>
      <sheetName val="UA_PA_HM4005"/>
      <sheetName val="UA_PA_HD46575"/>
      <sheetName val="UA_PA_HD78575"/>
      <sheetName val="UA_PA_HD7857_(2)5"/>
      <sheetName val="UA_PA_P3805"/>
      <sheetName val="Productivity_PC_WR5"/>
      <sheetName val="Productivity_PC_800_CC5"/>
      <sheetName val="Productivity_HM4005"/>
      <sheetName val="Productivity_HD46575"/>
      <sheetName val="Productivity_HD78575"/>
      <sheetName val="Rain_Fall_pit5"/>
      <sheetName val="Trading_Statement5"/>
      <sheetName val="DATA_BASE5"/>
      <sheetName val="C1_NOV5"/>
      <sheetName val="Unit_Database5"/>
      <sheetName val="ACT_HAUL5"/>
      <sheetName val="ACT_OB5"/>
      <sheetName val="ACT_COAL5"/>
      <sheetName val="COAL_CRUSH_PLAN5"/>
      <sheetName val="_COAL_MINE_PLAN5"/>
      <sheetName val="ACT_DIRTY_COAL5"/>
      <sheetName val="_OB_PLAN5"/>
      <sheetName val="Rain_&amp;_Slippery_Method5"/>
      <sheetName val="DATE_&amp;_WEEK_SETT5"/>
      <sheetName val="PIT_BBP_TO_SP_MB-AL5"/>
      <sheetName val="DB_MANPOWER5"/>
      <sheetName val="Master_Unit5"/>
      <sheetName val="Check_Poin_Apa5"/>
      <sheetName val="BA_EMBUNG_S15"/>
      <sheetName val="PT__SRIWIJAYA_LINTAS_RAYA5"/>
      <sheetName val="ALL_HAULING_Maret5"/>
      <sheetName val="ALL_HAULING_April5"/>
      <sheetName val="ALL_HAULING_Mei5"/>
      <sheetName val="ALL_HAULING_Juni5"/>
      <sheetName val="ALL_HAULING_Juli_5"/>
      <sheetName val="ALL_HAULING_Agustus_5"/>
      <sheetName val="DATA_ERROR_DATA_VOID_AGUSTUS_5"/>
      <sheetName val="DATA_ERROR_DATA_VOID_JULI_5"/>
      <sheetName val="DATA_ERROR_DATA_VOID_JUNI5"/>
      <sheetName val="DATA_ERROR_DATA_VOID_MEI5"/>
      <sheetName val="DATA_ERROR_DATA_VOID_APRIL5"/>
      <sheetName val="DATA_ERROR_DATA_VOID_maret_5"/>
      <sheetName val="Kuota_Epi_&amp;_1075"/>
      <sheetName val="ALL_HAULING_September5"/>
      <sheetName val="DATA_ERROR_DATA_VOID_SEPTEMBER5"/>
      <sheetName val="M_POP_(2)5"/>
      <sheetName val="Leasing_Acct5"/>
      <sheetName val="RAPORT_TINGKAT_GAGAL5"/>
      <sheetName val="Plan_Reg5"/>
      <sheetName val="UNIT_GAM3"/>
      <sheetName val="TEMPLATE_POSITION3"/>
      <sheetName val="TB98,oct99&amp;sap99-WPL"/>
      <sheetName val="CONOCO"/>
      <sheetName val="OB Total"/>
      <sheetName val="summary_adjusted1"/>
      <sheetName val="Weather_Delays1"/>
      <sheetName val="POPULASI_UNIT_COAL"/>
      <sheetName val="Tyre_Life_Time10"/>
      <sheetName val="Operation_-_Prod10"/>
      <sheetName val="Attendance_Ratio10"/>
      <sheetName val="UNIT_EXISTING10"/>
      <sheetName val="Record_Problem10"/>
      <sheetName val="Print_(4)10"/>
      <sheetName val="LPA_OB10"/>
      <sheetName val="ocean_voyage10"/>
      <sheetName val="STATUS_UNIT9"/>
      <sheetName val="RM_Cost9"/>
      <sheetName val="Truck_Count8"/>
      <sheetName val="Joint_Survey_Actual8"/>
      <sheetName val="Budget_Cash_Out7"/>
      <sheetName val="dbase_EGI7"/>
      <sheetName val="CLAIM_EMBUNG7"/>
      <sheetName val="IBS_20127"/>
      <sheetName val="PRINT_CLAIM_KPP7"/>
      <sheetName val="list_data7"/>
      <sheetName val="list_unit8"/>
      <sheetName val="LIST_NEW8"/>
      <sheetName val="Nama_Operator-Driver10"/>
      <sheetName val="Distance_Pit-TSP_to_WBM7"/>
      <sheetName val="Distance_Pit-PSG_to_BJM7"/>
      <sheetName val="Distance_Pit-TSP_to_BJM7"/>
      <sheetName val="Rekapitulasi_Fuel6"/>
      <sheetName val="Setting_Unit8"/>
      <sheetName val="Day_&amp;_Date8"/>
      <sheetName val="Master_(2)6"/>
      <sheetName val="Trading_Statement6"/>
      <sheetName val="DATA_BASE6"/>
      <sheetName val="C1_NOV6"/>
      <sheetName val="DATE_&amp;_WEEK_SETT6"/>
      <sheetName val="ACT_HAUL6"/>
      <sheetName val="ACT_OB6"/>
      <sheetName val="ACT_COAL6"/>
      <sheetName val="COAL_CRUSH_PLAN6"/>
      <sheetName val="_COAL_MINE_PLAN6"/>
      <sheetName val="ACT_DIRTY_COAL6"/>
      <sheetName val="_OB_PLAN6"/>
      <sheetName val="Rain_&amp;_Slippery_Method6"/>
      <sheetName val="PIT_BBP_TO_SP_MB-AL6"/>
      <sheetName val="poductvty_JAN6"/>
      <sheetName val="Master_activity_WBS_6"/>
      <sheetName val="FR_MTD6"/>
      <sheetName val="DB_MANPOWER6"/>
      <sheetName val="DATA_BASE_UNIT7"/>
      <sheetName val="Daily_Report6"/>
      <sheetName val="Project_Report6"/>
      <sheetName val="Anal_Koef6"/>
      <sheetName val="Paretto_PDTY6"/>
      <sheetName val="WF_OB6"/>
      <sheetName val="DATA_BASE_ENG6"/>
      <sheetName val="March-april_(2)6"/>
      <sheetName val="Lamp_16"/>
      <sheetName val="Lamp_26"/>
      <sheetName val="Lamp_36"/>
      <sheetName val="IVT_TTB6"/>
      <sheetName val="inventory_timbau6"/>
      <sheetName val="SP_4_CUMULATIVE6"/>
      <sheetName val="SP_1_CUMULATIVE6"/>
      <sheetName val="SP_3_CUMULATIVE6"/>
      <sheetName val="Safety_24"/>
      <sheetName val="EPR_WEEKLY4"/>
      <sheetName val="Base_data4"/>
      <sheetName val="Row_Data6"/>
      <sheetName val="UA_PA_DZ6"/>
      <sheetName val="UA_PA_GR6"/>
      <sheetName val="UA_PA_PC6"/>
      <sheetName val="UA_PA_HM4006"/>
      <sheetName val="UA_PA_HD46576"/>
      <sheetName val="UA_PA_HD78576"/>
      <sheetName val="UA_PA_HD7857_(2)6"/>
      <sheetName val="UA_PA_P3806"/>
      <sheetName val="Productivity_PC_WR6"/>
      <sheetName val="Productivity_PC_800_CC6"/>
      <sheetName val="Productivity_HM4006"/>
      <sheetName val="Productivity_HD46576"/>
      <sheetName val="Productivity_HD78576"/>
      <sheetName val="Rain_Fall_pit6"/>
      <sheetName val="All_Stockpile_PT__GPS6"/>
      <sheetName val="BA_EMBUNG_S16"/>
      <sheetName val="Master_Unit6"/>
      <sheetName val="Check_Poin_Apa6"/>
      <sheetName val="Raw_Data_Cost6"/>
      <sheetName val="PT__SRIWIJAYA_LINTAS_RAYA6"/>
      <sheetName val="ALL_HAULING_Maret6"/>
      <sheetName val="ALL_HAULING_April6"/>
      <sheetName val="ALL_HAULING_Mei6"/>
      <sheetName val="ALL_HAULING_Juni6"/>
      <sheetName val="ALL_HAULING_Juli_6"/>
      <sheetName val="ALL_HAULING_Agustus_6"/>
      <sheetName val="DATA_ERROR_DATA_VOID_AGUSTUS_6"/>
      <sheetName val="DATA_ERROR_DATA_VOID_JULI_6"/>
      <sheetName val="DATA_ERROR_DATA_VOID_JUNI6"/>
      <sheetName val="DATA_ERROR_DATA_VOID_MEI6"/>
      <sheetName val="DATA_ERROR_DATA_VOID_APRIL6"/>
      <sheetName val="DATA_ERROR_DATA_VOID_maret_6"/>
      <sheetName val="Kuota_Epi_&amp;_1076"/>
      <sheetName val="ALL_HAULING_September6"/>
      <sheetName val="DATA_ERROR_DATA_VOID_SEPTEMBER6"/>
      <sheetName val="M_POP_(2)6"/>
      <sheetName val="Leasing_Acct6"/>
      <sheetName val="RAPORT_TINGKAT_GAGAL6"/>
      <sheetName val="Master_Data6"/>
      <sheetName val="UNIT_GAM4"/>
      <sheetName val="Unit_Database6"/>
      <sheetName val="MASTER_SIA4"/>
      <sheetName val="Sales_Seasonality_by_Month4"/>
      <sheetName val="Waterflow_OB4"/>
      <sheetName val="TEMPLATE_POSITION4"/>
      <sheetName val="Kode_Unit6"/>
      <sheetName val="RAPORT_PERFORMANCE4"/>
      <sheetName val="Plan_Reg6"/>
      <sheetName val="Internal_Process_Perspective1"/>
      <sheetName val="Rekap_Coal4"/>
      <sheetName val="HM_UPDATE4"/>
      <sheetName val="POP_Onsite4"/>
      <sheetName val="summary_adjusted2"/>
      <sheetName val="Input_Speed_Act1"/>
      <sheetName val="Report_HM1"/>
      <sheetName val="Comp_Code1"/>
      <sheetName val="MAN_POWER1"/>
      <sheetName val="POPULASI_UNIT1"/>
      <sheetName val="LIST_KARYAWAN1"/>
      <sheetName val="PLAN_COAL_PTR1"/>
      <sheetName val="PLAN_OB1"/>
      <sheetName val="OB_SAP1"/>
      <sheetName val="COAL_PTR1"/>
      <sheetName val="R_&amp;_S1"/>
      <sheetName val="Loss_MTD_OB1"/>
      <sheetName val="Total_OB1"/>
      <sheetName val="Review_OB1"/>
      <sheetName val="Water_Fall_OB1"/>
      <sheetName val="PICA_OB1"/>
      <sheetName val="Total_COAL1"/>
      <sheetName val="Review_COAL1"/>
      <sheetName val="Water_Fall_COAL_PTR1"/>
      <sheetName val="PICA_COAL1"/>
      <sheetName val="EWH_Loader1"/>
      <sheetName val="Resume_OB_SIS1"/>
      <sheetName val="Detail_OB_SIS1"/>
      <sheetName val="Resume_PTR_SIS1"/>
      <sheetName val="Detail_PTR_SIS1"/>
      <sheetName val="Review_Weekly1"/>
      <sheetName val="REV_21"/>
      <sheetName val="PROD_PLAN1"/>
      <sheetName val="PROD_JS1"/>
      <sheetName val="Summary_RTK_Wara1"/>
      <sheetName val="Existing_PPA_WARA1"/>
      <sheetName val="Resume_WH_STB_BD6"/>
      <sheetName val="PCR_OKT1"/>
      <sheetName val="Base_Unit1"/>
      <sheetName val="MTD_CHAIN1"/>
      <sheetName val="Cost_Code1"/>
      <sheetName val="Pivot_Control_Volume1"/>
      <sheetName val="Central_DB1"/>
      <sheetName val="HM_UNIT1"/>
      <sheetName val="Pivot_Ritase_BSI1"/>
      <sheetName val="DMR_BSI1"/>
      <sheetName val="DMR_Total1"/>
      <sheetName val="HM_SUPPORT__MMS1"/>
      <sheetName val="Dozing_Estimation1"/>
      <sheetName val="Weather_Delays2"/>
      <sheetName val="PLAN_IBS_SUBC1"/>
      <sheetName val="QUICK_COUNT1"/>
      <sheetName val="Cost_Center1"/>
      <sheetName val="Dbase_Man_Hours1"/>
      <sheetName val="FR_Cluster_MTD1"/>
      <sheetName val="POPULASI_UNIT_COAL1"/>
      <sheetName val="STEP_3_11"/>
      <sheetName val="Data_unit1"/>
      <sheetName val="Rekap_Operator_All1"/>
      <sheetName val="List_Down1"/>
      <sheetName val="Monthly_Plan6"/>
      <sheetName val="_SAF_02"/>
      <sheetName val="FC_&amp;_FR"/>
      <sheetName val="Production_by_Lokasi"/>
      <sheetName val="Input_OB"/>
      <sheetName val="BANKO_pit_1"/>
      <sheetName val="Perm__Test"/>
      <sheetName val="Permanent_info"/>
      <sheetName val="table_HGLO"/>
      <sheetName val="summary_RSF"/>
      <sheetName val="summary_BR1"/>
      <sheetName val="summary_DS"/>
      <sheetName val="summary_BR23"/>
      <sheetName val="summary_IKIP"/>
      <sheetName val="summary_PB"/>
      <sheetName val="table_rescat"/>
      <sheetName val="Stockpile_HGLO"/>
      <sheetName val="ENTRY_OB"/>
      <sheetName val="TRANSVERSE_OB"/>
      <sheetName val="ENTRY_COAL"/>
      <sheetName val="TRANSVERSE_COAL"/>
      <sheetName val="WATERFALL_ANALISIS"/>
      <sheetName val="OB_Total"/>
      <sheetName val="Data_OK"/>
      <sheetName val="Safety_26"/>
      <sheetName val="EPR_WEEKLY6"/>
      <sheetName val="Base_data6"/>
      <sheetName val="MASTER_SIA6"/>
      <sheetName val="Sales_Seasonality_by_Month6"/>
      <sheetName val="Waterflow_OB6"/>
      <sheetName val="RAPORT_PERFORMANCE6"/>
      <sheetName val="Internal_Process_Perspective3"/>
      <sheetName val="Rekap_Coal6"/>
      <sheetName val="HM_UPDATE6"/>
      <sheetName val="POP_Onsite6"/>
      <sheetName val="summary_adjusted4"/>
      <sheetName val="Input_Speed_Act3"/>
      <sheetName val="Report_HM3"/>
      <sheetName val="Comp_Code3"/>
      <sheetName val="MAN_POWER3"/>
      <sheetName val="POPULASI_UNIT3"/>
      <sheetName val="LIST_KARYAWAN3"/>
      <sheetName val="PLAN_COAL_PTR3"/>
      <sheetName val="PLAN_OB3"/>
      <sheetName val="OB_SAP3"/>
      <sheetName val="COAL_PTR3"/>
      <sheetName val="R_&amp;_S3"/>
      <sheetName val="Loss_MTD_OB3"/>
      <sheetName val="Total_OB3"/>
      <sheetName val="Review_OB3"/>
      <sheetName val="Water_Fall_OB3"/>
      <sheetName val="PICA_OB3"/>
      <sheetName val="Total_COAL3"/>
      <sheetName val="Review_COAL3"/>
      <sheetName val="Water_Fall_COAL_PTR3"/>
      <sheetName val="PICA_COAL3"/>
      <sheetName val="EWH_Loader3"/>
      <sheetName val="Resume_OB_SIS3"/>
      <sheetName val="Detail_OB_SIS3"/>
      <sheetName val="Resume_PTR_SIS3"/>
      <sheetName val="Detail_PTR_SIS3"/>
      <sheetName val="Review_Weekly3"/>
      <sheetName val="REV_23"/>
      <sheetName val="PROD_PLAN3"/>
      <sheetName val="PROD_JS3"/>
      <sheetName val="Summary_RTK_Wara3"/>
      <sheetName val="Existing_PPA_WARA3"/>
      <sheetName val="PCR_OKT3"/>
      <sheetName val="Base_Unit3"/>
      <sheetName val="MTD_CHAIN3"/>
      <sheetName val="Cost_Code3"/>
      <sheetName val="Pivot_Control_Volume3"/>
      <sheetName val="Central_DB3"/>
      <sheetName val="HM_UNIT3"/>
      <sheetName val="Pivot_Ritase_BSI3"/>
      <sheetName val="DMR_BSI3"/>
      <sheetName val="DMR_Total3"/>
      <sheetName val="HM_SUPPORT__MMS3"/>
      <sheetName val="Dozing_Estimation3"/>
      <sheetName val="Weather_Delays4"/>
      <sheetName val="PLAN_IBS_SUBC3"/>
      <sheetName val="QUICK_COUNT3"/>
      <sheetName val="Cost_Center3"/>
      <sheetName val="Dbase_Man_Hours3"/>
      <sheetName val="FR_Cluster_MTD3"/>
      <sheetName val="POPULASI_UNIT_COAL3"/>
      <sheetName val="STEP_3_13"/>
      <sheetName val="Data_unit3"/>
      <sheetName val="Rekap_Operator_All3"/>
      <sheetName val="List_Down3"/>
      <sheetName val="Safety_25"/>
      <sheetName val="EPR_WEEKLY5"/>
      <sheetName val="Base_data5"/>
      <sheetName val="MASTER_SIA5"/>
      <sheetName val="Sales_Seasonality_by_Month5"/>
      <sheetName val="Waterflow_OB5"/>
      <sheetName val="RAPORT_PERFORMANCE5"/>
      <sheetName val="Internal_Process_Perspective2"/>
      <sheetName val="Rekap_Coal5"/>
      <sheetName val="HM_UPDATE5"/>
      <sheetName val="POP_Onsite5"/>
      <sheetName val="summary_adjusted3"/>
      <sheetName val="Input_Speed_Act2"/>
      <sheetName val="Report_HM2"/>
      <sheetName val="Comp_Code2"/>
      <sheetName val="MAN_POWER2"/>
      <sheetName val="POPULASI_UNIT2"/>
      <sheetName val="LIST_KARYAWAN2"/>
      <sheetName val="PLAN_COAL_PTR2"/>
      <sheetName val="PLAN_OB2"/>
      <sheetName val="OB_SAP2"/>
      <sheetName val="COAL_PTR2"/>
      <sheetName val="R_&amp;_S2"/>
      <sheetName val="Loss_MTD_OB2"/>
      <sheetName val="Total_OB2"/>
      <sheetName val="Review_OB2"/>
      <sheetName val="Water_Fall_OB2"/>
      <sheetName val="PICA_OB2"/>
      <sheetName val="Total_COAL2"/>
      <sheetName val="Review_COAL2"/>
      <sheetName val="Water_Fall_COAL_PTR2"/>
      <sheetName val="PICA_COAL2"/>
      <sheetName val="EWH_Loader2"/>
      <sheetName val="Resume_OB_SIS2"/>
      <sheetName val="Detail_OB_SIS2"/>
      <sheetName val="Resume_PTR_SIS2"/>
      <sheetName val="Detail_PTR_SIS2"/>
      <sheetName val="Review_Weekly2"/>
      <sheetName val="REV_22"/>
      <sheetName val="PROD_PLAN2"/>
      <sheetName val="PROD_JS2"/>
      <sheetName val="Summary_RTK_Wara2"/>
      <sheetName val="Existing_PPA_WARA2"/>
      <sheetName val="PCR_OKT2"/>
      <sheetName val="Base_Unit2"/>
      <sheetName val="MTD_CHAIN2"/>
      <sheetName val="Cost_Code2"/>
      <sheetName val="Pivot_Control_Volume2"/>
      <sheetName val="Central_DB2"/>
      <sheetName val="HM_UNIT2"/>
      <sheetName val="Pivot_Ritase_BSI2"/>
      <sheetName val="DMR_BSI2"/>
      <sheetName val="DMR_Total2"/>
      <sheetName val="HM_SUPPORT__MMS2"/>
      <sheetName val="Dozing_Estimation2"/>
      <sheetName val="Weather_Delays3"/>
      <sheetName val="PLAN_IBS_SUBC2"/>
      <sheetName val="QUICK_COUNT2"/>
      <sheetName val="Cost_Center2"/>
      <sheetName val="Dbase_Man_Hours2"/>
      <sheetName val="FR_Cluster_MTD2"/>
      <sheetName val="POPULASI_UNIT_COAL2"/>
      <sheetName val="STEP_3_12"/>
      <sheetName val="Data_unit2"/>
      <sheetName val="Rekap_Operator_All2"/>
      <sheetName val="List_Down2"/>
      <sheetName val="Tyre_Life_Time11"/>
      <sheetName val="Operation_-_Prod11"/>
      <sheetName val="Attendance_Ratio11"/>
      <sheetName val="UNIT_EXISTING11"/>
      <sheetName val="Record_Problem11"/>
      <sheetName val="Print_(4)11"/>
      <sheetName val="LPA_OB11"/>
      <sheetName val="ocean_voyage11"/>
      <sheetName val="STATUS_UNIT10"/>
      <sheetName val="RM_Cost10"/>
      <sheetName val="Truck_Count9"/>
      <sheetName val="Joint_Survey_Actual9"/>
      <sheetName val="Budget_Cash_Out8"/>
      <sheetName val="dbase_EGI8"/>
      <sheetName val="CLAIM_EMBUNG8"/>
      <sheetName val="IBS_20128"/>
      <sheetName val="PRINT_CLAIM_KPP8"/>
      <sheetName val="list_data8"/>
      <sheetName val="list_unit9"/>
      <sheetName val="LIST_NEW9"/>
      <sheetName val="Nama_Operator-Driver11"/>
      <sheetName val="Distance_Pit-TSP_to_WBM8"/>
      <sheetName val="Distance_Pit-PSG_to_BJM8"/>
      <sheetName val="Distance_Pit-TSP_to_BJM8"/>
      <sheetName val="Rekapitulasi_Fuel7"/>
      <sheetName val="Setting_Unit9"/>
      <sheetName val="Day_&amp;_Date9"/>
      <sheetName val="Master_(2)7"/>
      <sheetName val="Trading_Statement7"/>
      <sheetName val="DATA_BASE7"/>
      <sheetName val="C1_NOV7"/>
      <sheetName val="DATE_&amp;_WEEK_SETT7"/>
      <sheetName val="ACT_HAUL7"/>
      <sheetName val="ACT_OB7"/>
      <sheetName val="ACT_COAL7"/>
      <sheetName val="COAL_CRUSH_PLAN7"/>
      <sheetName val="_COAL_MINE_PLAN7"/>
      <sheetName val="ACT_DIRTY_COAL7"/>
      <sheetName val="_OB_PLAN7"/>
      <sheetName val="Rain_&amp;_Slippery_Method7"/>
      <sheetName val="PIT_BBP_TO_SP_MB-AL7"/>
      <sheetName val="poductvty_JAN7"/>
      <sheetName val="Master_activity_WBS_7"/>
      <sheetName val="FR_MTD7"/>
      <sheetName val="DB_MANPOWER7"/>
      <sheetName val="DATA_BASE_UNIT8"/>
      <sheetName val="Daily_Report7"/>
      <sheetName val="Project_Report7"/>
      <sheetName val="Anal_Koef7"/>
      <sheetName val="Paretto_PDTY7"/>
      <sheetName val="WF_OB7"/>
      <sheetName val="DATA_BASE_ENG7"/>
      <sheetName val="March-april_(2)7"/>
      <sheetName val="Lamp_17"/>
      <sheetName val="Lamp_27"/>
      <sheetName val="Lamp_37"/>
      <sheetName val="IVT_TTB7"/>
      <sheetName val="inventory_timbau7"/>
      <sheetName val="SP_4_CUMULATIVE7"/>
      <sheetName val="SP_1_CUMULATIVE7"/>
      <sheetName val="SP_3_CUMULATIVE7"/>
      <sheetName val="Safety_27"/>
      <sheetName val="EPR_WEEKLY7"/>
      <sheetName val="Base_data7"/>
      <sheetName val="Row_Data7"/>
      <sheetName val="UA_PA_DZ7"/>
      <sheetName val="UA_PA_GR7"/>
      <sheetName val="UA_PA_PC7"/>
      <sheetName val="UA_PA_HM4007"/>
      <sheetName val="UA_PA_HD46577"/>
      <sheetName val="UA_PA_HD78577"/>
      <sheetName val="UA_PA_HD7857_(2)7"/>
      <sheetName val="UA_PA_P3807"/>
      <sheetName val="Productivity_PC_WR7"/>
      <sheetName val="Productivity_PC_800_CC7"/>
      <sheetName val="Productivity_HM4007"/>
      <sheetName val="Productivity_HD46577"/>
      <sheetName val="Productivity_HD78577"/>
      <sheetName val="Rain_Fall_pit7"/>
      <sheetName val="All_Stockpile_PT__GPS7"/>
      <sheetName val="BA_EMBUNG_S17"/>
      <sheetName val="Master_Unit7"/>
      <sheetName val="Check_Poin_Apa7"/>
      <sheetName val="Raw_Data_Cost7"/>
      <sheetName val="PT__SRIWIJAYA_LINTAS_RAYA7"/>
      <sheetName val="ALL_HAULING_Maret7"/>
      <sheetName val="ALL_HAULING_April7"/>
      <sheetName val="ALL_HAULING_Mei7"/>
      <sheetName val="ALL_HAULING_Juni7"/>
      <sheetName val="ALL_HAULING_Juli_7"/>
      <sheetName val="ALL_HAULING_Agustus_7"/>
      <sheetName val="DATA_ERROR_DATA_VOID_AGUSTUS_7"/>
      <sheetName val="DATA_ERROR_DATA_VOID_JULI_7"/>
      <sheetName val="DATA_ERROR_DATA_VOID_JUNI7"/>
      <sheetName val="DATA_ERROR_DATA_VOID_MEI7"/>
      <sheetName val="DATA_ERROR_DATA_VOID_APRIL7"/>
      <sheetName val="DATA_ERROR_DATA_VOID_maret_7"/>
      <sheetName val="Kuota_Epi_&amp;_1077"/>
      <sheetName val="ALL_HAULING_September7"/>
      <sheetName val="DATA_ERROR_DATA_VOID_SEPTEMBER7"/>
      <sheetName val="M_POP_(2)7"/>
      <sheetName val="Leasing_Acct7"/>
      <sheetName val="RAPORT_TINGKAT_GAGAL7"/>
      <sheetName val="UNIT_GAM5"/>
      <sheetName val="MASTER_SIA7"/>
      <sheetName val="Sales_Seasonality_by_Month7"/>
      <sheetName val="Waterflow_OB7"/>
      <sheetName val="TEMPLATE_POSITION5"/>
      <sheetName val="RAPORT_PERFORMANCE7"/>
      <sheetName val="Internal_Process_Perspective4"/>
      <sheetName val="Rekap_Coal7"/>
      <sheetName val="HM_UPDATE7"/>
      <sheetName val="POP_Onsite7"/>
      <sheetName val="summary_adjusted5"/>
      <sheetName val="Input_Speed_Act4"/>
      <sheetName val="Report_HM4"/>
      <sheetName val="Comp_Code4"/>
      <sheetName val="MAN_POWER4"/>
      <sheetName val="POPULASI_UNIT4"/>
      <sheetName val="LIST_KARYAWAN4"/>
      <sheetName val="PLAN_COAL_PTR4"/>
      <sheetName val="PLAN_OB4"/>
      <sheetName val="OB_SAP4"/>
      <sheetName val="COAL_PTR4"/>
      <sheetName val="R_&amp;_S4"/>
      <sheetName val="Loss_MTD_OB4"/>
      <sheetName val="Total_OB4"/>
      <sheetName val="Review_OB4"/>
      <sheetName val="Water_Fall_OB4"/>
      <sheetName val="PICA_OB4"/>
      <sheetName val="Total_COAL4"/>
      <sheetName val="Review_COAL4"/>
      <sheetName val="Water_Fall_COAL_PTR4"/>
      <sheetName val="PICA_COAL4"/>
      <sheetName val="EWH_Loader4"/>
      <sheetName val="Resume_OB_SIS4"/>
      <sheetName val="Detail_OB_SIS4"/>
      <sheetName val="Resume_PTR_SIS4"/>
      <sheetName val="Detail_PTR_SIS4"/>
      <sheetName val="Review_Weekly4"/>
      <sheetName val="REV_24"/>
      <sheetName val="PROD_PLAN4"/>
      <sheetName val="PROD_JS4"/>
      <sheetName val="Summary_RTK_Wara4"/>
      <sheetName val="Existing_PPA_WARA4"/>
      <sheetName val="PCR_OKT4"/>
      <sheetName val="Base_Unit4"/>
      <sheetName val="MTD_CHAIN4"/>
      <sheetName val="Cost_Code4"/>
      <sheetName val="Pivot_Control_Volume4"/>
      <sheetName val="Central_DB4"/>
      <sheetName val="HM_UNIT4"/>
      <sheetName val="Pivot_Ritase_BSI4"/>
      <sheetName val="DMR_BSI4"/>
      <sheetName val="DMR_Total4"/>
      <sheetName val="HM_SUPPORT__MMS4"/>
      <sheetName val="Dozing_Estimation4"/>
      <sheetName val="Weather_Delays5"/>
      <sheetName val="PLAN_IBS_SUBC4"/>
      <sheetName val="QUICK_COUNT4"/>
      <sheetName val="Cost_Center4"/>
      <sheetName val="Dbase_Man_Hours4"/>
      <sheetName val="FR_Cluster_MTD4"/>
      <sheetName val="POPULASI_UNIT_COAL4"/>
      <sheetName val="STEP_3_14"/>
      <sheetName val="Data_unit4"/>
      <sheetName val="Rekap_Operator_All4"/>
      <sheetName val="List_Down4"/>
      <sheetName val="PROBLEM PTY"/>
      <sheetName val="EPR DAILY"/>
      <sheetName val="epei "/>
      <sheetName val="Tyre_Life_Time12"/>
      <sheetName val="list_unit10"/>
      <sheetName val="Operation_-_Prod12"/>
      <sheetName val="LIST_NEW10"/>
      <sheetName val="STATUS_UNIT11"/>
      <sheetName val="RM_Cost11"/>
      <sheetName val="Nama_Operator-Driver12"/>
      <sheetName val="Attendance_Ratio12"/>
      <sheetName val="UNIT_EXISTING12"/>
      <sheetName val="Record_Problem12"/>
      <sheetName val="Print_(4)12"/>
      <sheetName val="LPA_OB12"/>
      <sheetName val="ocean_voyage12"/>
      <sheetName val="Truck_Count10"/>
      <sheetName val="Joint_Survey_Actual10"/>
      <sheetName val="Budget_Cash_Out9"/>
      <sheetName val="dbase_EGI9"/>
      <sheetName val="CLAIM_EMBUNG9"/>
      <sheetName val="Rekapitulasi_Fuel8"/>
      <sheetName val="Distance_Pit-TSP_to_WBM9"/>
      <sheetName val="Distance_Pit-PSG_to_BJM9"/>
      <sheetName val="Distance_Pit-TSP_to_BJM9"/>
      <sheetName val="Setting_Unit10"/>
      <sheetName val="Day_&amp;_Date10"/>
      <sheetName val="Master_(2)8"/>
      <sheetName val="IBS_20129"/>
      <sheetName val="PRINT_CLAIM_KPP9"/>
      <sheetName val="list_data9"/>
      <sheetName val="DATE_&amp;_WEEK_SETT8"/>
      <sheetName val="PIT_BBP_TO_SP_MB-AL8"/>
      <sheetName val="Trading_Statement8"/>
      <sheetName val="poductvty_JAN8"/>
      <sheetName val="Master_activity_WBS_8"/>
      <sheetName val="FR_MTD8"/>
      <sheetName val="DB_MANPOWER8"/>
      <sheetName val="All_Stockpile_PT__GPS8"/>
      <sheetName val="Master_Data7"/>
      <sheetName val="DATA_BASE_UNIT9"/>
      <sheetName val="DATA_BASE8"/>
      <sheetName val="ACT_HAUL8"/>
      <sheetName val="ACT_OB8"/>
      <sheetName val="ACT_COAL8"/>
      <sheetName val="COAL_CRUSH_PLAN8"/>
      <sheetName val="_COAL_MINE_PLAN8"/>
      <sheetName val="ACT_DIRTY_COAL8"/>
      <sheetName val="_OB_PLAN8"/>
      <sheetName val="Rain_&amp;_Slippery_Method8"/>
      <sheetName val="C1_NOV8"/>
      <sheetName val="Master_Unit8"/>
      <sheetName val="Check_Poin_Apa8"/>
      <sheetName val="M_POP_(2)8"/>
      <sheetName val="Leasing_Acct8"/>
      <sheetName val="RAPORT_TINGKAT_GAGAL8"/>
      <sheetName val="MASTER_SIA8"/>
      <sheetName val="TEMPLATE_POSITION6"/>
      <sheetName val="Project_Report8"/>
      <sheetName val="Daily_Report8"/>
      <sheetName val="Paretto_PDTY8"/>
      <sheetName val="WF_OB8"/>
      <sheetName val="Anal_Koef8"/>
      <sheetName val="DATA_BASE_ENG8"/>
      <sheetName val="March-april_(2)8"/>
      <sheetName val="Lamp_18"/>
      <sheetName val="Lamp_28"/>
      <sheetName val="Lamp_38"/>
      <sheetName val="IVT_TTB8"/>
      <sheetName val="inventory_timbau8"/>
      <sheetName val="SP_4_CUMULATIVE8"/>
      <sheetName val="SP_1_CUMULATIVE8"/>
      <sheetName val="SP_3_CUMULATIVE8"/>
      <sheetName val="Row_Data8"/>
      <sheetName val="UA_PA_DZ8"/>
      <sheetName val="UA_PA_GR8"/>
      <sheetName val="UA_PA_PC8"/>
      <sheetName val="UA_PA_HM4008"/>
      <sheetName val="UA_PA_HD46578"/>
      <sheetName val="UA_PA_HD78578"/>
      <sheetName val="UA_PA_HD7857_(2)8"/>
      <sheetName val="UA_PA_P3808"/>
      <sheetName val="Productivity_PC_WR8"/>
      <sheetName val="Productivity_PC_800_CC8"/>
      <sheetName val="Productivity_HM4008"/>
      <sheetName val="Productivity_HD46578"/>
      <sheetName val="Productivity_HD78578"/>
      <sheetName val="Rain_Fall_pit8"/>
      <sheetName val="Raw_Data_Cost8"/>
      <sheetName val="PT__SRIWIJAYA_LINTAS_RAYA8"/>
      <sheetName val="ALL_HAULING_Maret8"/>
      <sheetName val="ALL_HAULING_April8"/>
      <sheetName val="ALL_HAULING_Mei8"/>
      <sheetName val="ALL_HAULING_Juni8"/>
      <sheetName val="ALL_HAULING_Juli_8"/>
      <sheetName val="ALL_HAULING_Agustus_8"/>
      <sheetName val="DATA_ERROR_DATA_VOID_AGUSTUS_8"/>
      <sheetName val="DATA_ERROR_DATA_VOID_JULI_8"/>
      <sheetName val="DATA_ERROR_DATA_VOID_JUNI8"/>
      <sheetName val="DATA_ERROR_DATA_VOID_MEI8"/>
      <sheetName val="DATA_ERROR_DATA_VOID_APRIL8"/>
      <sheetName val="DATA_ERROR_DATA_VOID_maret_8"/>
      <sheetName val="Kuota_Epi_&amp;_1078"/>
      <sheetName val="ALL_HAULING_September8"/>
      <sheetName val="DATA_ERROR_DATA_VOID_SEPTEMBER8"/>
      <sheetName val="EPR_WEEKLY8"/>
      <sheetName val="Base_data8"/>
      <sheetName val="Safety_28"/>
      <sheetName val="BA_EMBUNG_S18"/>
      <sheetName val="Unit_Database7"/>
      <sheetName val="Plan_Reg7"/>
      <sheetName val="RAPORT_PERFORMANCE8"/>
      <sheetName val="Sales_Seasonality_by_Month8"/>
      <sheetName val="Waterflow_OB8"/>
      <sheetName val="Report_HM5"/>
      <sheetName val="Rekap_Coal8"/>
      <sheetName val="Internal_Process_Perspective5"/>
      <sheetName val="HM_UPDATE8"/>
      <sheetName val="POP_Onsite8"/>
      <sheetName val="summary_adjusted6"/>
      <sheetName val="UNIT_GAM6"/>
      <sheetName val="MAN_POWER5"/>
      <sheetName val="POPULASI_UNIT5"/>
      <sheetName val="LIST_KARYAWAN5"/>
      <sheetName val="Comp_Code5"/>
      <sheetName val="PLAN_IBS_SUBC5"/>
      <sheetName val="QUICK_COUNT5"/>
      <sheetName val="PCR_OKT5"/>
      <sheetName val="Base_Unit5"/>
      <sheetName val="POPULASI_UNIT_COAL5"/>
      <sheetName val="Input_Speed_Act5"/>
      <sheetName val="MTD_CHAIN5"/>
      <sheetName val="PLAN_COAL_PTR5"/>
      <sheetName val="PLAN_OB5"/>
      <sheetName val="OB_SAP5"/>
      <sheetName val="COAL_PTR5"/>
      <sheetName val="R_&amp;_S5"/>
      <sheetName val="Loss_MTD_OB5"/>
      <sheetName val="Total_OB5"/>
      <sheetName val="Review_OB5"/>
      <sheetName val="Water_Fall_OB5"/>
      <sheetName val="PICA_OB5"/>
      <sheetName val="Total_COAL5"/>
      <sheetName val="Review_COAL5"/>
      <sheetName val="Water_Fall_COAL_PTR5"/>
      <sheetName val="PICA_COAL5"/>
      <sheetName val="EWH_Loader5"/>
      <sheetName val="Resume_OB_SIS5"/>
      <sheetName val="Detail_OB_SIS5"/>
      <sheetName val="Resume_PTR_SIS5"/>
      <sheetName val="Detail_PTR_SIS5"/>
      <sheetName val="Review_Weekly5"/>
      <sheetName val="REV_25"/>
      <sheetName val="PROD_PLAN5"/>
      <sheetName val="PROD_JS5"/>
      <sheetName val="Summary_RTK_Wara5"/>
      <sheetName val="Existing_PPA_WARA5"/>
      <sheetName val="Dozing_Estimation5"/>
      <sheetName val="Dbase_Man_Hours5"/>
      <sheetName val="Cost_Center5"/>
      <sheetName val="Cost_Code5"/>
      <sheetName val="List_Down5"/>
      <sheetName val="STEP_3_15"/>
      <sheetName val="Pivot_Control_Volume5"/>
      <sheetName val="Central_DB5"/>
      <sheetName val="HM_UNIT5"/>
      <sheetName val="Pivot_Ritase_BSI5"/>
      <sheetName val="DMR_BSI5"/>
      <sheetName val="DMR_Total5"/>
      <sheetName val="HM_SUPPORT__MMS5"/>
      <sheetName val="Data_unit5"/>
      <sheetName val="FR_Cluster_MTD5"/>
      <sheetName val="Rekap_Operator_All5"/>
      <sheetName val="Weather_Delays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 refreshError="1"/>
      <sheetData sheetId="1738" refreshError="1"/>
      <sheetData sheetId="1739" refreshError="1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Filters"/>
      <sheetName val="Calc"/>
      <sheetName val="Input_Data"/>
      <sheetName val="Grade_Tonnes"/>
      <sheetName val="Graphs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2861"/>
      <sheetName val="Trading Statement"/>
      <sheetName val="ocean voyage"/>
      <sheetName val="OLDMAP"/>
      <sheetName val="Onshore Manpower"/>
      <sheetName val=""/>
      <sheetName val="Trading_Statement"/>
      <sheetName val="Onshore_Manpower"/>
      <sheetName val="Trading_Statement1"/>
      <sheetName val="Onshore_Manpower1"/>
      <sheetName val="Trading_Statement2"/>
      <sheetName val="Onshore_Manpower2"/>
      <sheetName val="ESCON"/>
      <sheetName val="PLAN_PROD"/>
      <sheetName val="Annual-Plan-1998-A-US$-Rupiah-F"/>
      <sheetName val="DATA3"/>
      <sheetName val="Trading_Statement3"/>
      <sheetName val="Onshore_Manpower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nthly checks"/>
      <sheetName val="Forex m'ment AUD USD"/>
      <sheetName val="Expats PA IDR"/>
      <sheetName val="FOREXUS$"/>
      <sheetName val="Trading Statement"/>
      <sheetName val="选择报表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AC"/>
      <sheetName val="lintec-sumicon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LIST"/>
      <sheetName val="tifico"/>
      <sheetName val="sort2"/>
      <sheetName val="Fill this out first___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I-KAMAR"/>
      <sheetName val="Cover Daf-2"/>
      <sheetName val="CAT_HAR"/>
      <sheetName val="Cash Flow bulanan"/>
      <sheetName val="I_KAMAR"/>
      <sheetName val="#REF"/>
      <sheetName val="Bill of Qty MEP"/>
      <sheetName val="DSBDY"/>
      <sheetName val="BAG-2"/>
      <sheetName val="NAMES"/>
      <sheetName val="Daftar Upah"/>
      <sheetName val="harsat"/>
      <sheetName val="H.Satuan"/>
      <sheetName val="Cover"/>
      <sheetName val="PRD 01-7"/>
      <sheetName val="PRD 01-8"/>
      <sheetName val="PRD 01-9"/>
      <sheetName val="PRD 01-10"/>
      <sheetName val="PRD 01-11"/>
      <sheetName val="PRD 01-3"/>
      <sheetName val="PRD 01-4"/>
      <sheetName val="4-Basic Price"/>
      <sheetName val="Material"/>
      <sheetName val="RAB AR&amp;STR"/>
      <sheetName val="Bahan"/>
      <sheetName val="HRG BHN"/>
      <sheetName val="DAF-1"/>
      <sheetName val="Pers"/>
      <sheetName val="HM"/>
      <sheetName val="COVERUSRP"/>
      <sheetName val="SITE"/>
      <sheetName val="ESCOND"/>
      <sheetName val="BQUSRP"/>
      <sheetName val="HB "/>
      <sheetName val="EE-PROP"/>
      <sheetName val="HARGA MATERIAL"/>
      <sheetName val="Mat"/>
      <sheetName val="Kuantitas &amp; Harga"/>
      <sheetName val="FINISHING"/>
      <sheetName val="LOADDAT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Isolasi Luar Dalam"/>
      <sheetName val="Isolasi Luar"/>
      <sheetName val="Analisa STR"/>
      <sheetName val="GSMTOWER"/>
      <sheetName val="BQ-E20-02(Rp)"/>
      <sheetName val="RAB T-95 BK"/>
      <sheetName val="GTS I PS"/>
      <sheetName val="SUM 200"/>
      <sheetName val="Fill this out first..."/>
      <sheetName val="Tabel Berat"/>
      <sheetName val="STRUKTUR"/>
      <sheetName val="JKT (2)"/>
      <sheetName val="Markup"/>
      <sheetName val="NET表"/>
      <sheetName val="BQ表"/>
      <sheetName val="DAFTAR 7"/>
      <sheetName val="SITE-E"/>
      <sheetName val="STR"/>
      <sheetName val="Sheet1"/>
      <sheetName val="351BQMCN"/>
      <sheetName val="Analisa"/>
      <sheetName val="Estimate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 Rencana Vol per Section"/>
      <sheetName val="JAD-PEL"/>
      <sheetName val="NET?"/>
      <sheetName val="BQ?"/>
      <sheetName val="Prelim"/>
      <sheetName val="CODE"/>
      <sheetName val="24V"/>
      <sheetName val="Div2"/>
      <sheetName val="L-Mechanical"/>
      <sheetName val="Faktor"/>
      <sheetName val="TS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Plafond"/>
      <sheetName val="Panel,feeder,elek"/>
      <sheetName val="an. struktur"/>
      <sheetName val="Dashboard"/>
      <sheetName val="index"/>
      <sheetName val="struktur tdk dipakai"/>
      <sheetName val="Urai _Resap pengikat"/>
      <sheetName val="NET_"/>
      <sheetName val="BQ_"/>
      <sheetName val="rekap ahs"/>
      <sheetName val="rekap-bialat"/>
      <sheetName val="villa"/>
      <sheetName val="01A- 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VLOOKUP"/>
      <sheetName val="Currency Rate"/>
      <sheetName val="TJ1Q47"/>
      <sheetName val="Sch"/>
      <sheetName val="Duc-3"/>
      <sheetName val="Isolasi_Luar_Dalam"/>
      <sheetName val="Isolasi_Luar"/>
      <sheetName val="AHSbj"/>
      <sheetName val="RAB"/>
      <sheetName val="TOTAL"/>
      <sheetName val="PL1"/>
      <sheetName val="PL2"/>
      <sheetName val="PL3"/>
      <sheetName val="PL4"/>
      <sheetName val="Piping"/>
      <sheetName val="H. Satuan"/>
      <sheetName val="AHS. Keg"/>
      <sheetName val="Bahan upah"/>
      <sheetName val="BQ ARS"/>
      <sheetName val="____"/>
      <sheetName val="Elec-ins"/>
      <sheetName val="SAT-BHN"/>
      <sheetName val="INPUT DATAS"/>
      <sheetName val="plumbing"/>
      <sheetName val="플랜트 설치"/>
      <sheetName val="TABEL BAJA"/>
      <sheetName val="DAF-2"/>
      <sheetName val="Quantity"/>
      <sheetName val="HRG_BHN"/>
      <sheetName val="HB_"/>
      <sheetName val="HARGA_MATERIAL"/>
      <sheetName val="DAF-9"/>
      <sheetName val="REKAP A BESAR"/>
      <sheetName val="hrg_sat"/>
      <sheetName val="Summary"/>
      <sheetName val="BQ-Str"/>
      <sheetName val="Memb Schd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ocean voyage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산근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Unit_Rate2"/>
      <sheetName val="Cover_Daf-21"/>
      <sheetName val="INPUT_DATAS"/>
      <sheetName val="Fill_this_out_first___2"/>
      <sheetName val="Cash_Flow_bulanan1"/>
      <sheetName val="Daftar_Upah1"/>
      <sheetName val="H_Satuan1"/>
      <sheetName val="Bill_of_Qty_MEP1"/>
      <sheetName val="PRD_01-71"/>
      <sheetName val="PRD_01-81"/>
      <sheetName val="PRD_01-91"/>
      <sheetName val="PRD_01-101"/>
      <sheetName val="PRD_01-111"/>
      <sheetName val="PRD_01-31"/>
      <sheetName val="PRD_01-41"/>
      <sheetName val="4-Basic_Price1"/>
      <sheetName val="RAB_AR&amp;STR1"/>
      <sheetName val="Analisa_STR"/>
      <sheetName val="RAB_T-95_BK"/>
      <sheetName val="GTS_I_PS"/>
      <sheetName val="SUM_200"/>
      <sheetName val="Kuantitas_&amp;_Harga"/>
      <sheetName val="DAFTAR_7"/>
      <sheetName val="Fill_this_out_first___3"/>
      <sheetName val="Tabel_Berat"/>
      <sheetName val="JKT_(2)"/>
      <sheetName val="_Rencana_Vol_per_Section"/>
      <sheetName val="D_1_7"/>
      <sheetName val="D_1_5"/>
      <sheetName val="D_2_3"/>
      <sheetName val="D_2_2"/>
      <sheetName val="D_&amp;_W_sizes"/>
      <sheetName val="hrg-sat_pek"/>
      <sheetName val="Currency_Rate"/>
      <sheetName val="an__struktur"/>
      <sheetName val="overall"/>
      <sheetName val="BQMPALOC"/>
      <sheetName val="Fill_this_out_first___4"/>
      <sheetName val="Tabel_Berat1"/>
      <sheetName val="Analisa_STR1"/>
      <sheetName val="HARGA_MATERIAL1"/>
      <sheetName val="HRG_BHN1"/>
      <sheetName val="JKT_(2)1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Hrg Sat"/>
      <sheetName val="HRG-DASAR"/>
      <sheetName val="rate"/>
      <sheetName val="D985"/>
      <sheetName val="LR-APR-06"/>
      <sheetName val="hARGA SAT"/>
      <sheetName val="aN-suku"/>
      <sheetName val="BAB_5_13_Anal"/>
      <sheetName val="LR-JUN-06"/>
      <sheetName val="3-DIV4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DATA PROYEK"/>
      <sheetName val="bialangsung"/>
      <sheetName val="Perm. Test"/>
      <sheetName val="Galian 1"/>
      <sheetName val="uraian analisa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UPAH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Sheet9"/>
      <sheetName val="Harga Dasar"/>
      <sheetName val="TBM"/>
      <sheetName val="Basic Price"/>
      <sheetName val="RAB PRO"/>
      <sheetName val="NP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REKAP TOTAL"/>
      <sheetName val="REKAP STR"/>
      <sheetName val="REKAP UNIT"/>
      <sheetName val="hs-str"/>
      <sheetName val="Rekap Direct Cost"/>
      <sheetName val="D.3.1 Dinding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"/>
      <sheetName val="Meth "/>
      <sheetName val="GLP's_and_PSPC's1"/>
      <sheetName val="Mat_Tower"/>
      <sheetName val="Mat_Tower2"/>
      <sheetName val="US_indoor_vs_macro_outdoor"/>
      <sheetName val="63_Swap"/>
      <sheetName val="berlang"/>
      <sheetName val="CRITERIA2"/>
      <sheetName val="COSY"/>
      <sheetName val="Parameters"/>
      <sheetName val="Project_Summary1"/>
      <sheetName val="Factors"/>
      <sheetName val="Rekapsub-total-ME"/>
      <sheetName val="SITAC-Model"/>
      <sheetName val="BS_pricing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AnalisaSIPIL RIIL"/>
      <sheetName val="Sheet2"/>
      <sheetName val="H S D"/>
      <sheetName val="anal"/>
      <sheetName val="schbhn"/>
      <sheetName val="schalt"/>
      <sheetName val="schtng"/>
      <sheetName val="REF.ONLY"/>
      <sheetName val="Analisa Upah &amp; Bahan Plum"/>
      <sheetName val="DIV1"/>
      <sheetName val="Tabel"/>
      <sheetName val="TRANS"/>
      <sheetName val="Balok_1"/>
      <sheetName val="tb. besi"/>
      <sheetName val="tulang"/>
      <sheetName val="Input"/>
      <sheetName val="DIV-03"/>
      <sheetName val="Q_01__BLL_per_kode"/>
      <sheetName val="Q_02__PO_per_kode"/>
      <sheetName val="EVALUASI"/>
      <sheetName val="#REF!"/>
      <sheetName val="Rekap Addendum"/>
      <sheetName val="BQ Dudukan Fascade OT KC"/>
      <sheetName val="ANALISA HARGA SATUAN"/>
      <sheetName val="Mall"/>
      <sheetName val="3ဵ1BQMCN"/>
      <sheetName val="概総括1"/>
      <sheetName val="Ahs.2"/>
      <sheetName val="Ahs.1"/>
      <sheetName val="name"/>
      <sheetName val="L_TIGA"/>
      <sheetName val="L-TIGA"/>
      <sheetName val="PPC"/>
      <sheetName val="Pt"/>
      <sheetName val="SUB TOTAL "/>
      <sheetName val="Daf Pekerjaan"/>
      <sheetName val="Perm__Test"/>
      <sheetName val="Urai__Resap_pengikat"/>
      <sheetName val="uraian_analisa"/>
      <sheetName val="DATA_PROYEK"/>
      <sheetName val="RBP-_2"/>
      <sheetName val="Galian_1"/>
      <sheetName val="rekap_ahs"/>
      <sheetName val="DAF-5"/>
      <sheetName val="BAG-III"/>
      <sheetName val="ALEK"/>
      <sheetName val="Rinci-Biaya"/>
      <sheetName val="Rinci-Pendapatan"/>
      <sheetName val="CPO 16-9-TID "/>
      <sheetName val="ah sanitary"/>
      <sheetName val="Analisa Alat"/>
      <sheetName val="rab j17"/>
      <sheetName val="HB_1"/>
      <sheetName val="Isolasi_Luar_Dalam1"/>
      <sheetName val="Isolasi_Luar1"/>
      <sheetName val="H__Satuan"/>
      <sheetName val="AHS__Keg"/>
      <sheetName val="struktur_tdk_dipakai"/>
      <sheetName val="01A-_RAB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upah"/>
      <sheetName val="BQ_ARS"/>
      <sheetName val="Eta-maxC_Lager"/>
      <sheetName val="6_Felder_-_Md"/>
      <sheetName val="AG25_inner_maxQ-Truck"/>
      <sheetName val="6_Felder_-_maxQ"/>
      <sheetName val="RAB_KapukII"/>
      <sheetName val="Memb_Schd"/>
      <sheetName val="REKAP_A_BESAR"/>
      <sheetName val="플랜트_설치"/>
      <sheetName val="TABEL_BAJA"/>
      <sheetName val="GLP's_and_PSPC's"/>
      <sheetName val="Internal_Summary"/>
      <sheetName val="BS_pricing1"/>
      <sheetName val="Project_Summary"/>
      <sheetName val="Alloc_1"/>
      <sheetName val="BER_CAL"/>
      <sheetName val="Problem_Class1"/>
      <sheetName val="ah_sanitary"/>
      <sheetName val="Analisa_Alat"/>
      <sheetName val="On_Time"/>
      <sheetName val="Rekap_Direct_Cost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hARGA_SAT"/>
      <sheetName val="BARU-4_"/>
      <sheetName val="rab_j17"/>
      <sheetName val="H_S_D"/>
      <sheetName val="TYPE_A"/>
      <sheetName val="TYPE_B"/>
      <sheetName val="TYPE_C"/>
      <sheetName val="TYPE_D"/>
      <sheetName val="BOR_PILE"/>
      <sheetName val="BASEMENT_PELATARAN"/>
      <sheetName val="SIRKULASI,_PELATARAN,_EKSTERNAL"/>
      <sheetName val="JARINGAN_AIR_BERSIH"/>
      <sheetName val="JARINGAN_LISTRIK"/>
      <sheetName val="JARINGAN_TELEPHON"/>
      <sheetName val="REKAP_ME"/>
      <sheetName val="TYPIKAL_UNIT"/>
      <sheetName val="_Rencana_Vol_per_Section1"/>
      <sheetName val="HB_2"/>
      <sheetName val="Kuantitas_&amp;_Harga1"/>
      <sheetName val="DAFTAR_71"/>
      <sheetName val="Isolasi_Luar_Dalam2"/>
      <sheetName val="Isolasi_Luar2"/>
      <sheetName val="rekap_ahs1"/>
      <sheetName val="RAB_T-95_BK1"/>
      <sheetName val="GTS_I_PS1"/>
      <sheetName val="SUM_2001"/>
      <sheetName val="Urai__Resap_pengikat1"/>
      <sheetName val="D_1_71"/>
      <sheetName val="D_1_51"/>
      <sheetName val="D_2_31"/>
      <sheetName val="D_2_21"/>
      <sheetName val="D_&amp;_W_sizes1"/>
      <sheetName val="hrg-sat_pek1"/>
      <sheetName val="H__Satuan1"/>
      <sheetName val="AHS__Keg1"/>
      <sheetName val="struktur_tdk_dipakai1"/>
      <sheetName val="an__struktur1"/>
      <sheetName val="Currency_Rate1"/>
      <sheetName val="01A-_RAB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upah1"/>
      <sheetName val="BQ_ARS1"/>
      <sheetName val="Perm__Test1"/>
      <sheetName val="Eta-maxC_Lager1"/>
      <sheetName val="6_Felder_-_Md1"/>
      <sheetName val="AG25_inner_maxQ-Truck1"/>
      <sheetName val="6_Felder_-_maxQ1"/>
      <sheetName val="RAB_KapukII1"/>
      <sheetName val="Memb_Schd1"/>
      <sheetName val="REKAP_A_BESAR1"/>
      <sheetName val="INPUT_DATAS1"/>
      <sheetName val="플랜트_설치1"/>
      <sheetName val="TABEL_BAJA1"/>
      <sheetName val="uraian_analisa1"/>
      <sheetName val="DATA_PROYEK1"/>
      <sheetName val="RBP-_21"/>
      <sheetName val="GLP's_and_PSPC's2"/>
      <sheetName val="Internal_Summary1"/>
      <sheetName val="BS_pricing2"/>
      <sheetName val="Project_Summary2"/>
      <sheetName val="Alloc_11"/>
      <sheetName val="BER_CAL1"/>
      <sheetName val="Problem_Class2"/>
      <sheetName val="ah_sanitary1"/>
      <sheetName val="Analisa_Alat1"/>
      <sheetName val="On_Time1"/>
      <sheetName val="Rekap_Direct_Cost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hARGA_SAT1"/>
      <sheetName val="BARU-4_1"/>
      <sheetName val="Galian_11"/>
      <sheetName val="rab_j171"/>
      <sheetName val="H_S_D1"/>
      <sheetName val="TYPE_A1"/>
      <sheetName val="TYPE_B1"/>
      <sheetName val="TYPE_C1"/>
      <sheetName val="TYPE_D1"/>
      <sheetName val="BOR_PILE1"/>
      <sheetName val="BASEMENT_PELATARAN1"/>
      <sheetName val="SIRKULASI,_PELATARAN,_EKSTERNA1"/>
      <sheetName val="JARINGAN_AIR_BERSIH1"/>
      <sheetName val="JARINGAN_LISTRIK1"/>
      <sheetName val="JARINGAN_TELEPHON1"/>
      <sheetName val="REKAP_ME1"/>
      <sheetName val="TYPIKAL_UNIT1"/>
      <sheetName val="FitOutConfCentre"/>
      <sheetName val="RUPS"/>
      <sheetName val="An Arsitektur"/>
      <sheetName val="An Struktur"/>
      <sheetName val="2.3.5-Bsmt-Elc (ADD)"/>
      <sheetName val="2.3.6-Bsmt-Fire"/>
      <sheetName val="3.3.1-Apt-Sanitary (AD)"/>
      <sheetName val="3.3.2-Apt-Plb"/>
      <sheetName val="3.3.2-Apt-Plb (ADD)"/>
      <sheetName val="3.3.3-Apt-AC"/>
      <sheetName val="3.3.5-Apt-Elc (ADD)"/>
      <sheetName val="3.3.6-Apt-Fire"/>
      <sheetName val="6.1.Genset"/>
      <sheetName val="2.3.5-Bsmt-AC (ADD)"/>
      <sheetName val="2.3.3-Bsmt-AC (ADD)"/>
      <sheetName val="Balok"/>
      <sheetName val="BOQ CBM"/>
      <sheetName val="PileCap"/>
      <sheetName val="Mech. BQ"/>
      <sheetName val="Cover Daf_2"/>
      <sheetName val="BOQ"/>
      <sheetName val="B. Arch"/>
      <sheetName val="TOWN"/>
      <sheetName val="Compressor Air Blow Cleaning"/>
      <sheetName val="S-curve MKBC"/>
      <sheetName val="AT 2"/>
      <sheetName val="주관사업"/>
      <sheetName val="요약배부"/>
      <sheetName val="Terbilang"/>
      <sheetName val="Q'TY"/>
      <sheetName val="DIV.1"/>
      <sheetName val="DIV.2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3"/>
      <sheetName val="DIV.5"/>
      <sheetName val="DIV.6"/>
      <sheetName val="DIV.8"/>
      <sheetName val="DIV.8.a"/>
      <sheetName val="DIV.9"/>
      <sheetName val="ALAT"/>
      <sheetName val="INFO"/>
      <sheetName val="SKEDUL"/>
      <sheetName val="PANEL"/>
      <sheetName val="BASIC"/>
      <sheetName val="EVAL-ANAL"/>
      <sheetName val="MAP"/>
      <sheetName val="div-6"/>
      <sheetName val="RKP"/>
      <sheetName val="div-2"/>
      <sheetName val="schtot"/>
      <sheetName val="PRICE (2)"/>
      <sheetName val="A-ars"/>
      <sheetName val="harga dasar T-M-A"/>
      <sheetName val="Bill rekap"/>
      <sheetName val="Bill of Qty"/>
      <sheetName val="HARGA ALAT"/>
      <sheetName val="UMUM"/>
      <sheetName val="SAP"/>
      <sheetName val="Gudang non AC-AC Struktur"/>
      <sheetName val="D _ W sizes"/>
      <sheetName val="kalibrasi-Tank"/>
      <sheetName val="L-4a,b"/>
      <sheetName val="INF"/>
      <sheetName val="9 PEK-HARIAN"/>
      <sheetName val="Form PKT"/>
      <sheetName val="Volume (2)"/>
      <sheetName val="Daftar Harga"/>
      <sheetName val="SIRKULASI, PELATAR_xdcdd_廛_x0000_ഀ쮚_x0000__x0000_Ԁ_x0000_퀀"/>
      <sheetName val="Material Bangunan"/>
      <sheetName val="Analisa Bang"/>
      <sheetName val="ANK"/>
      <sheetName val="FORM X COST"/>
      <sheetName val="5.EMT1-MASTER SCH S_curve (r.1)"/>
      <sheetName val="S_Suramadu"/>
      <sheetName val="Rekapitulasi"/>
      <sheetName val="ISIAN"/>
      <sheetName val="Eng_Hrs (HO)"/>
      <sheetName val="5-ALAT(1)"/>
      <sheetName val="ana-alat"/>
      <sheetName val="DHSD"/>
      <sheetName val="TTL"/>
      <sheetName val="Akun Pajak"/>
      <sheetName val="U&amp;B"/>
      <sheetName val="duct"/>
      <sheetName val="Ana Fin"/>
      <sheetName val="Scurty"/>
      <sheetName val="Power House"/>
      <sheetName val="BOOsTER PUMP"/>
      <sheetName val="Additional"/>
      <sheetName val="NP (2)"/>
      <sheetName val="Upah "/>
      <sheetName val="Anls teknis"/>
      <sheetName val="Gal tanah"/>
      <sheetName val="Pancang"/>
      <sheetName val="5-ALAT"/>
      <sheetName val="基本ﾃﾞｰﾀ"/>
      <sheetName val="hotel"/>
      <sheetName val="WAREHOUSE"/>
      <sheetName val="Daftmat"/>
      <sheetName val="DHS AC"/>
      <sheetName val="Summary_Tech"/>
      <sheetName val="skejul"/>
      <sheetName val="General Schedule"/>
      <sheetName val="hrg-dsr"/>
      <sheetName val="Sat Bah _ Up"/>
      <sheetName val="ANALISA PEK.UMUM"/>
      <sheetName val="UPAH DAN BAHAN"/>
      <sheetName val="BasicPrice"/>
      <sheetName val="Analisa H.Sat.Pek."/>
      <sheetName val="H.Material, Upah &amp; Alat"/>
      <sheetName val="1.Entry data."/>
      <sheetName val="PO-2"/>
      <sheetName val="SLNK (1)"/>
      <sheetName val="Progress"/>
      <sheetName val="Cash2"/>
      <sheetName val="Z"/>
      <sheetName val="SIRKULASI, PELATAR?廛"/>
      <sheetName val="analpp"/>
      <sheetName val="bhnpp"/>
      <sheetName val="1.General "/>
      <sheetName val="analis standar(8m)"/>
      <sheetName val="U,B"/>
      <sheetName val="An.Q"/>
      <sheetName val="B.Dsr"/>
      <sheetName val="DAF.HRG"/>
      <sheetName val="2. MVAC R1"/>
      <sheetName val="MASTER 1"/>
      <sheetName val="pivot2"/>
      <sheetName val="pivot1"/>
      <sheetName val="SAT_BHN"/>
      <sheetName val="bldg list"/>
      <sheetName val="fee"/>
      <sheetName val="LAMPU &amp; STK"/>
      <sheetName val="CABLE"/>
      <sheetName val="COMPONENT"/>
      <sheetName val="AHS SAKLAR &amp;STK"/>
      <sheetName val="AHS LAMPU"/>
      <sheetName val="AHS INSTALASI"/>
      <sheetName val="AHS PANEL"/>
      <sheetName val="TRAY"/>
      <sheetName val="AHS TRAFO"/>
      <sheetName val="AHS KABEL"/>
      <sheetName val="AHS TRAY "/>
      <sheetName val="AHS PHBUTM"/>
      <sheetName val="(3)RAB-Labuan"/>
      <sheetName val="PIK_QUO"/>
      <sheetName val="Agregat Halus &amp; Kasar"/>
      <sheetName val="detail"/>
      <sheetName val="DOORWINDOW"/>
      <sheetName val="DETAIL 1"/>
      <sheetName val="Fill_this_out_firstìÁ_x0009_"/>
      <sheetName val="_x0000_Â8B_x0000__x0000__x0000__x0000__x0000__x0000__x0000__x0000__x0000_6"/>
      <sheetName val="숯䈸숀䈶ༀ_x0000_ༀ_x0000_Ā_x0000_䐀ሑℰ_x0004_℀_x0004_Ā_x0000__x0000__x0000__x0000__x0000_㈀_x0009_저䈺ᵡ숯䈸숀"/>
      <sheetName val="Electrikal"/>
      <sheetName val="Elektronik"/>
      <sheetName val="Fire Fighting"/>
      <sheetName val="Item Kompensasi"/>
      <sheetName val="My Kitchen"/>
      <sheetName val="Earthwork"/>
      <sheetName val="FitOutConfCent@¥"/>
      <sheetName val="FitOutConfCent_x0003_"/>
      <sheetName val="H-BHN"/>
      <sheetName val="Peralatan"/>
      <sheetName val="HS-2"/>
      <sheetName val="New Box(20022018)"/>
      <sheetName val="PKK"/>
      <sheetName val="発注稟議決裁処理フロー"/>
      <sheetName val="ﾃﾞｰﾀ入力ｼｰﾄ"/>
      <sheetName val="発注稟議書"/>
      <sheetName val="対象予算（今後所要）"/>
      <sheetName val="業者見積り"/>
      <sheetName val="前渡金支払申請書"/>
      <sheetName val="発注稟議書2頁目"/>
      <sheetName val="ｺｰﾄﾞ表"/>
      <sheetName val="Procurement Approval Form"/>
      <sheetName val="Fill_this_out_firstìÁ "/>
      <sheetName val="숯䈸숀䈶ༀ_x0000_ༀ_x0000_Ā_x0000_䐀ሑℰ_x0004_℀_x0004_Ā_x0000__x0000__x0000__x0000__x0000_㈀ 저䈺ᵡ숯䈸숀"/>
      <sheetName val="IPL_SCHEDULE"/>
      <sheetName val="mob (2)"/>
      <sheetName val="price"/>
      <sheetName val="出図表"/>
      <sheetName val="BQ (Case-A Rev-2)"/>
      <sheetName val="SUM (CASE-A Rev-2)"/>
      <sheetName val="Sheet3"/>
      <sheetName val="BQ (Case-A Rev-2) (2)"/>
      <sheetName val="Analisa 2"/>
      <sheetName val="STAF"/>
      <sheetName val="HS_TRG"/>
      <sheetName val="SUM-PRO_(4)6"/>
      <sheetName val="SUM-PRO_(3)6"/>
      <sheetName val="SUM-PRO_(2)6"/>
      <sheetName val="SEX_(4)6"/>
      <sheetName val="SEX_(3)6"/>
      <sheetName val="SEX_(2)6"/>
      <sheetName val="B_-_Norelec6"/>
      <sheetName val="Unit_Rate5"/>
      <sheetName val="Cover_Daf-24"/>
      <sheetName val="Fill_this_out_first___9"/>
      <sheetName val="H_Satuan4"/>
      <sheetName val="Cash_Flow_bulanan4"/>
      <sheetName val="Daftar_Upah4"/>
      <sheetName val="Bill_of_Qty_MEP4"/>
      <sheetName val="RAB_AR&amp;STR4"/>
      <sheetName val="4-Basic_Price4"/>
      <sheetName val="PRD_01-74"/>
      <sheetName val="PRD_01-84"/>
      <sheetName val="PRD_01-94"/>
      <sheetName val="PRD_01-104"/>
      <sheetName val="PRD_01-114"/>
      <sheetName val="PRD_01-34"/>
      <sheetName val="PRD_01-44"/>
      <sheetName val="HRG_BHN4"/>
      <sheetName val="HB_3"/>
      <sheetName val="Isolasi_Luar_Dalam3"/>
      <sheetName val="Isolasi_Luar3"/>
      <sheetName val="Fill_this_out_first___10"/>
      <sheetName val="Tabel_Berat4"/>
      <sheetName val="Analisa_STR4"/>
      <sheetName val="HARGA_MATERIAL4"/>
      <sheetName val="JKT_(2)4"/>
      <sheetName val="DAFTAR_72"/>
      <sheetName val="_Rencana_Vol_per_Section2"/>
      <sheetName val="rekap_ahs2"/>
      <sheetName val="Kuantitas_&amp;_Harga2"/>
      <sheetName val="RAB_T-95_BK2"/>
      <sheetName val="GTS_I_PS2"/>
      <sheetName val="SUM_2002"/>
      <sheetName val="Urai__Resap_pengikat2"/>
      <sheetName val="D_1_72"/>
      <sheetName val="D_1_52"/>
      <sheetName val="D_2_32"/>
      <sheetName val="D_2_22"/>
      <sheetName val="D_&amp;_W_sizes2"/>
      <sheetName val="hrg-sat_pek2"/>
      <sheetName val="H__Satuan2"/>
      <sheetName val="AHS__Keg2"/>
      <sheetName val="struktur_tdk_dipakai2"/>
      <sheetName val="an__struktur2"/>
      <sheetName val="Currency_Rate2"/>
      <sheetName val="01A-_RAB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Bahan_upah2"/>
      <sheetName val="BQ_ARS2"/>
      <sheetName val="Perm__Test2"/>
      <sheetName val="Eta-maxC_Lager2"/>
      <sheetName val="6_Felder_-_Md2"/>
      <sheetName val="AG25_inner_maxQ-Truck2"/>
      <sheetName val="6_Felder_-_maxQ2"/>
      <sheetName val="RAB_KapukII2"/>
      <sheetName val="Memb_Schd2"/>
      <sheetName val="REKAP_A_BESAR2"/>
      <sheetName val="uraian_analisa2"/>
      <sheetName val="DATA_PROYEK2"/>
      <sheetName val="RBP-_22"/>
      <sheetName val="INPUT_DATAS2"/>
      <sheetName val="플랜트_설치2"/>
      <sheetName val="TABEL_BAJA2"/>
      <sheetName val="GLP's_and_PSPC's3"/>
      <sheetName val="Internal_Summary2"/>
      <sheetName val="BS_pricing3"/>
      <sheetName val="Project_Summary3"/>
      <sheetName val="Alloc_12"/>
      <sheetName val="BER_CAL2"/>
      <sheetName val="Problem_Class3"/>
      <sheetName val="ah_sanitary2"/>
      <sheetName val="Analisa_Alat2"/>
      <sheetName val="On_Time2"/>
      <sheetName val="Rekap_Direct_Cost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TYPE_A2"/>
      <sheetName val="TYPE_B2"/>
      <sheetName val="TYPE_C2"/>
      <sheetName val="TYPE_D2"/>
      <sheetName val="BOR_PILE2"/>
      <sheetName val="BASEMENT_PELATARAN2"/>
      <sheetName val="SIRKULASI,_PELATARAN,_EKSTERNA2"/>
      <sheetName val="JARINGAN_AIR_BERSIH2"/>
      <sheetName val="JARINGAN_LISTRIK2"/>
      <sheetName val="JARINGAN_TELEPHON2"/>
      <sheetName val="REKAP_ME2"/>
      <sheetName val="TYPIKAL_UNIT2"/>
      <sheetName val="hARGA_SAT2"/>
      <sheetName val="BARU-4_2"/>
      <sheetName val="Galian_12"/>
      <sheetName val="rab_j172"/>
      <sheetName val="H_S_D2"/>
      <sheetName val="Harga_Dasar"/>
      <sheetName val="Basic_Price"/>
      <sheetName val="RAB_PRO"/>
      <sheetName val="ocean_voyage"/>
      <sheetName val="tb__besi"/>
      <sheetName val="AnalisaSIPIL_RIIL"/>
      <sheetName val="Meth_"/>
      <sheetName val="REKAP_TOTAL"/>
      <sheetName val="REKAP_STR"/>
      <sheetName val="REKAP_UNIT"/>
      <sheetName val="D_3_1_Dinding"/>
      <sheetName val="CPO_16-9-TID_"/>
      <sheetName val="REF_ONLY"/>
      <sheetName val="Analisa_Upah_&amp;_Bahan_Plum"/>
      <sheetName val="Ahs_2"/>
      <sheetName val="Ahs_1"/>
      <sheetName val="PRICE_(2)"/>
      <sheetName val="harga_dasar_T-M-A"/>
      <sheetName val="Rekap_Addendum"/>
      <sheetName val="BQ_Dudukan_Fascade_OT_KC"/>
      <sheetName val="ANALISA_HARGA_SATUAN"/>
      <sheetName val="SUB_TOTAL_"/>
      <sheetName val="Daf_Pekerjaan"/>
      <sheetName val="Anls_teknis"/>
      <sheetName val="TB"/>
      <sheetName val="Balok L_2"/>
      <sheetName val="Spec ME"/>
      <sheetName val="SUM-PRO_(4)7"/>
      <sheetName val="SUM-PRO_(3)7"/>
      <sheetName val="SUM-PRO_(2)7"/>
      <sheetName val="SEX_(4)7"/>
      <sheetName val="SEX_(3)7"/>
      <sheetName val="SEX_(2)7"/>
      <sheetName val="B_-_Norelec7"/>
      <sheetName val="Unit_Rate6"/>
      <sheetName val="Cover_Daf-25"/>
      <sheetName val="Fill_this_out_first___11"/>
      <sheetName val="Cash_Flow_bulanan5"/>
      <sheetName val="Daftar_Upah5"/>
      <sheetName val="H_Satuan5"/>
      <sheetName val="Bill_of_Qty_MEP5"/>
      <sheetName val="RAB_AR&amp;STR5"/>
      <sheetName val="HRG_BHN5"/>
      <sheetName val="HARGA_MATERIAL5"/>
      <sheetName val="Analisa_STR5"/>
      <sheetName val="4-Basic_Price5"/>
      <sheetName val="PRD_01-75"/>
      <sheetName val="PRD_01-85"/>
      <sheetName val="PRD_01-95"/>
      <sheetName val="PRD_01-105"/>
      <sheetName val="PRD_01-115"/>
      <sheetName val="PRD_01-35"/>
      <sheetName val="PRD_01-45"/>
      <sheetName val="Fill_this_out_first___12"/>
      <sheetName val="Tabel_Berat5"/>
      <sheetName val="JKT_(2)5"/>
      <sheetName val="Meth_1"/>
      <sheetName val="Harga_Dasar1"/>
      <sheetName val="Basic_Price1"/>
      <sheetName val="RAB_PRO1"/>
      <sheetName val="AnalisaSIPIL_RIIL1"/>
      <sheetName val="REKAP_TOTAL1"/>
      <sheetName val="REKAP_STR1"/>
      <sheetName val="REKAP_UNIT1"/>
      <sheetName val="D_3_1_Dinding1"/>
      <sheetName val="REF_ONLY1"/>
      <sheetName val="Analisa_Upah_&amp;_Bahan_Plum1"/>
      <sheetName val="CPO_16-9-TID_1"/>
      <sheetName val="SUM-PRO_(4)8"/>
      <sheetName val="SUM-PRO_(3)8"/>
      <sheetName val="SUM-PRO_(2)8"/>
      <sheetName val="SEX_(4)8"/>
      <sheetName val="SEX_(3)8"/>
      <sheetName val="SEX_(2)8"/>
      <sheetName val="B_-_Norelec8"/>
      <sheetName val="Unit_Rate7"/>
      <sheetName val="Cover_Daf-26"/>
      <sheetName val="Fill_this_out_first___13"/>
      <sheetName val="Cash_Flow_bulanan6"/>
      <sheetName val="Daftar_Upah6"/>
      <sheetName val="H_Satuan6"/>
      <sheetName val="Bill_of_Qty_MEP6"/>
      <sheetName val="RAB_AR&amp;STR6"/>
      <sheetName val="HRG_BHN6"/>
      <sheetName val="HARGA_MATERIAL6"/>
      <sheetName val="Analisa_STR6"/>
      <sheetName val="4-Basic_Price6"/>
      <sheetName val="PRD_01-76"/>
      <sheetName val="PRD_01-86"/>
      <sheetName val="PRD_01-96"/>
      <sheetName val="PRD_01-106"/>
      <sheetName val="PRD_01-116"/>
      <sheetName val="PRD_01-36"/>
      <sheetName val="PRD_01-46"/>
      <sheetName val="Fill_this_out_first___14"/>
      <sheetName val="Tabel_Berat6"/>
      <sheetName val="JKT_(2)6"/>
      <sheetName val="Meth_2"/>
      <sheetName val="Harga_Dasar2"/>
      <sheetName val="Basic_Price2"/>
      <sheetName val="RAB_PRO2"/>
      <sheetName val="AnalisaSIPIL_RIIL2"/>
      <sheetName val="REKAP_TOTAL2"/>
      <sheetName val="REKAP_STR2"/>
      <sheetName val="REKAP_UNIT2"/>
      <sheetName val="D_3_1_Dinding2"/>
      <sheetName val="REF_ONLY2"/>
      <sheetName val="Analisa_Upah_&amp;_Bahan_Plum2"/>
      <sheetName val="CPO_16-9-TID_2"/>
      <sheetName val="MEP"/>
      <sheetName val="page 1"/>
      <sheetName val="Analisa ELC"/>
      <sheetName val="Titik"/>
      <sheetName val="Eqp. EL"/>
      <sheetName val="Eqp. ELC"/>
      <sheetName val="Grounding"/>
      <sheetName val="_x0000_Â8B_x0000__x0000__x0000_"/>
      <sheetName val="숯䈸숀䈶ༀ_x0000_ༀ_x0000_Ā_x0000_䐀ሑℰ"/>
      <sheetName val="SIRKULASI, PELATAR_xdcdd_廛_x00"/>
      <sheetName val="SIRKULASI, PELATAR廛"/>
      <sheetName val="숯䈸숀䈶ༀ"/>
      <sheetName val="基本"/>
      <sheetName val="BÁO GIÁ TỔNG"/>
      <sheetName val="6MONTHS"/>
      <sheetName val="NKC6"/>
      <sheetName val="単価表"/>
      <sheetName val="Architectural（建築）"/>
      <sheetName val="Measured Qty Demarcation"/>
      <sheetName val="Floor Area 24 June 2019"/>
      <sheetName val="Floor Area 31 July 2019"/>
      <sheetName val="Floor Area 12 July 2019"/>
      <sheetName val="Exchange rate 2019.07"/>
      <sheetName val="Harsat Bahan"/>
      <sheetName val="Harsat Upah"/>
      <sheetName val="대비표"/>
      <sheetName val="KET"/>
      <sheetName val="BONGKARAN"/>
      <sheetName val="STR-ARS OFFICE"/>
      <sheetName val="STR-ARS BAKHUM"/>
      <sheetName val="REKAP MEK BAKHUM"/>
      <sheetName val="1.MEKANIKAL DAKSINAPATI"/>
      <sheetName val="REKAP ELEKT BAKHUM"/>
      <sheetName val="2.ELEKTRIKAL DAKSINAPAT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Statprod gab"/>
      <sheetName val="Basic P"/>
      <sheetName val="Harga Sat Dasar"/>
      <sheetName val="Quary"/>
      <sheetName val="TEST LINK"/>
      <sheetName val="KURS VALAS"/>
      <sheetName val="SATUAN"/>
      <sheetName val="DIMENSI STEEL PROFIL"/>
      <sheetName val="DIMENSI PIPA"/>
      <sheetName val="SIZE Fitting Pipa"/>
      <sheetName val="TOP"/>
      <sheetName val="CORET KERAMIK"/>
      <sheetName val="ICT"/>
      <sheetName val="TENAGA KERJA 2019-A"/>
      <sheetName val="SATUAN UPAH"/>
      <sheetName val="CORET MASTER"/>
      <sheetName val="AHS MASTER"/>
      <sheetName val="Elektrikal"/>
      <sheetName val="JAN2002"/>
      <sheetName val="Corptax2003"/>
      <sheetName val="2_3_5-Bsmt-Elc_(ADD)"/>
      <sheetName val="2_3_6-Bsmt-Fire"/>
      <sheetName val="3_3_1-Apt-Sanitary_(AD)"/>
      <sheetName val="3_3_2-Apt-Plb"/>
      <sheetName val="3_3_2-Apt-Plb_(ADD)"/>
      <sheetName val="3_3_3-Apt-AC"/>
      <sheetName val="3_3_5-Apt-Elc_(ADD)"/>
      <sheetName val="3_3_6-Apt-Fire"/>
      <sheetName val="6_1_Genset"/>
      <sheetName val="2_3_5-Bsmt-AC_(ADD)"/>
      <sheetName val="2_3_3-Bsmt-AC_(ADD)"/>
      <sheetName val="S-curve_MKBC"/>
      <sheetName val="An_Arsitektur"/>
      <sheetName val="An_Struktur"/>
      <sheetName val="Mech__BQ"/>
      <sheetName val="Cover_Daf_2"/>
      <sheetName val="5_EMT1-MASTER_SCH_S_curve_(r_1)"/>
      <sheetName val="B__Arch"/>
      <sheetName val="Compressor_Air_Blow_Cleaning"/>
      <sheetName val="BOQ_CBM"/>
      <sheetName val="Bill_rekap"/>
      <sheetName val="Bill_of_Qty"/>
      <sheetName val="DHS_AC"/>
      <sheetName val="AT_2"/>
      <sheetName val="DIV_1"/>
      <sheetName val="DIV_2"/>
      <sheetName val="DIV_2a"/>
      <sheetName val="DIV_2a_(2)"/>
      <sheetName val="DIV_2a_BET"/>
      <sheetName val="DIV_2a_TUL"/>
      <sheetName val="DIV_2b"/>
      <sheetName val="DIV_2b_(2)"/>
      <sheetName val="DIV_2c"/>
      <sheetName val="DIV_2d"/>
      <sheetName val="DIV_3"/>
      <sheetName val="DIV_5"/>
      <sheetName val="DIV_6"/>
      <sheetName val="DIV_8"/>
      <sheetName val="DIV_8_a"/>
      <sheetName val="DIV_9"/>
      <sheetName val="Gudang_non_AC-AC_Struktur"/>
      <sheetName val="Ana_Fin"/>
      <sheetName val="Upah_"/>
      <sheetName val="Daftar_Harga"/>
      <sheetName val="Fire_Fighting"/>
      <sheetName val="Item_Kompensasi"/>
      <sheetName val="My_Kitchen"/>
      <sheetName val="D___W_sizes"/>
      <sheetName val="9_PEK-HARIAN"/>
      <sheetName val="Form_PKT"/>
      <sheetName val="Volume_(2)"/>
      <sheetName val="SIRKULASI,_PELATAR廛ഀ쮚Ԁ퀀"/>
      <sheetName val="Material_Bangunan"/>
      <sheetName val="Analisa_Bang"/>
      <sheetName val="FORM_X_COST"/>
      <sheetName val="SIRKULASI, PELATAR_xdcdd_廛"/>
      <sheetName val="Menu"/>
      <sheetName val="Daf Harga"/>
      <sheetName val="Rekap Bill"/>
      <sheetName val="An_ Harga"/>
      <sheetName val="BAG_2"/>
      <sheetName val="Subcont"/>
      <sheetName val="supporting data"/>
      <sheetName val="ALAT1"/>
      <sheetName val="RAB_KL"/>
      <sheetName val="Rekap RAB_Amd"/>
      <sheetName val="RAB_Amd"/>
      <sheetName val="REKAP_Dftr_Kuan_Hrg_Amd"/>
      <sheetName val="Dftr_Kuan_Hrg Amd"/>
      <sheetName val="Schedule"/>
      <sheetName val="Penwrn"/>
      <sheetName val="Mobilisasi"/>
      <sheetName val="PNT-QUOT-#3"/>
      <sheetName val="COAT&amp;WRAP-QIOT-#3"/>
      <sheetName val="ANALIS2"/>
      <sheetName val="ANALISAGATE"/>
      <sheetName val="D-3"/>
      <sheetName val="komponen"/>
      <sheetName val="Anls"/>
      <sheetName val="HSAT"/>
      <sheetName val="SPEC"/>
      <sheetName val="PROTECTION "/>
      <sheetName val="extern"/>
      <sheetName val="Du_lieu"/>
      <sheetName val="Weekly"/>
      <sheetName val="SIRKULASI, PELATAR?廛_x0000_ഀ쮚_x0000__x0000_Ԁ_x0000_퀀"/>
      <sheetName val="10"/>
      <sheetName val="5"/>
      <sheetName val="uph"/>
      <sheetName val="Har Sat"/>
      <sheetName val="Mob"/>
      <sheetName val="D7"/>
      <sheetName val="daf_1"/>
      <sheetName val="Project List"/>
      <sheetName val="PASOK"/>
      <sheetName val="BIALANG"/>
      <sheetName val="cat"/>
      <sheetName val="HARDAS-ALAT"/>
      <sheetName val="jadual material"/>
      <sheetName val="HARDAS-UPAH"/>
      <sheetName val="HARDAS-MAT"/>
      <sheetName val="LNPB-2"/>
      <sheetName val="RBP1"/>
      <sheetName val="bd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Sat Bah &amp; Up"/>
      <sheetName val="daywork- Tham khao"/>
      <sheetName val="03 Detailed"/>
      <sheetName val="01 Bid Price summary"/>
      <sheetName val="Rumus2"/>
      <sheetName val="CALCULATION"/>
      <sheetName val="PO."/>
      <sheetName val="TABEL ORDER"/>
      <sheetName val="TABEL BOOK"/>
      <sheetName val="XL4Poppy"/>
      <sheetName val="TTDZ22"/>
      <sheetName val="JANGAN HAPUS"/>
      <sheetName val="Budget"/>
      <sheetName val="RekapSubCont"/>
      <sheetName val="Scedule"/>
      <sheetName val="Summary "/>
      <sheetName val="KOL 50 X 125"/>
      <sheetName val="L I C O 50 x 50"/>
      <sheetName val="KOL D 1200"/>
      <sheetName val="KOL 65 x 65"/>
      <sheetName val="BLK tower (lt 1)"/>
      <sheetName val="BLK tower (lt 1) add (2)"/>
      <sheetName val="BLK tower (lt 2)"/>
      <sheetName val="BLK tower (lt 2) add"/>
      <sheetName val="BLK lt base (ball rom)"/>
      <sheetName val="SLB Balroom"/>
      <sheetName val="SLB (2 3) tower"/>
      <sheetName val="SLB"/>
      <sheetName val="WAll"/>
      <sheetName val="pd8"/>
      <sheetName val="KOL_K3"/>
      <sheetName val="PERI UP_ok"/>
      <sheetName val="PERI UP TANGGA"/>
      <sheetName val="HANDSET_ok"/>
      <sheetName val="CLAMBING"/>
      <sheetName val="BEAM&amp;SLAB_ok"/>
      <sheetName val="SCF LT 1"/>
      <sheetName val="SCF LT 1~3"/>
      <sheetName val="Tabel-tabel"/>
      <sheetName val="Cash Flow _2_"/>
      <sheetName val="合成単価作成・-BLDG"/>
      <sheetName val="K.6DEPOSIT"/>
      <sheetName val="tuong"/>
      <sheetName val="Har-mat"/>
      <sheetName val="GiaVL"/>
      <sheetName val="gVL"/>
      <sheetName val="van khuon"/>
      <sheetName val="VL,NC,MTC"/>
      <sheetName val="MTO REV.2(ARMOR)"/>
      <sheetName val="2"/>
      <sheetName val="TBO"/>
      <sheetName val="Breadown-Nop"/>
      <sheetName val="A6"/>
      <sheetName val="GKP"/>
      <sheetName val="Trading Statement"/>
      <sheetName val="S"/>
      <sheetName val="NC"/>
      <sheetName val="SUM-PRO_(4)9"/>
      <sheetName val="SUM-PRO_(3)9"/>
      <sheetName val="SUM-PRO_(2)9"/>
      <sheetName val="SEX_(4)9"/>
      <sheetName val="SEX_(3)9"/>
      <sheetName val="SEX_(2)9"/>
      <sheetName val="B_-_Norelec9"/>
      <sheetName val="Unit_Rate8"/>
      <sheetName val="Cover_Daf-27"/>
      <sheetName val="Fill_this_out_first___15"/>
      <sheetName val="Cash_Flow_bulanan7"/>
      <sheetName val="Daftar_Upah7"/>
      <sheetName val="H_Satuan7"/>
      <sheetName val="Bill_of_Qty_MEP7"/>
      <sheetName val="RAB_AR&amp;STR7"/>
      <sheetName val="4-Basic_Price7"/>
      <sheetName val="PRD_01-77"/>
      <sheetName val="PRD_01-87"/>
      <sheetName val="PRD_01-97"/>
      <sheetName val="PRD_01-107"/>
      <sheetName val="PRD_01-117"/>
      <sheetName val="PRD_01-37"/>
      <sheetName val="PRD_01-47"/>
      <sheetName val="HRG_BHN7"/>
      <sheetName val="HARGA_MATERIAL7"/>
      <sheetName val="Analisa_STR7"/>
      <sheetName val="Fill_this_out_first___16"/>
      <sheetName val="Tabel_Berat7"/>
      <sheetName val="JKT_(2)7"/>
      <sheetName val="HB_4"/>
      <sheetName val="DAFTAR_73"/>
      <sheetName val="Isolasi_Luar_Dalam4"/>
      <sheetName val="Isolasi_Luar4"/>
      <sheetName val="Kuantitas_&amp;_Harga3"/>
      <sheetName val="BQ_ARS3"/>
      <sheetName val="RAB_T-95_BK3"/>
      <sheetName val="GTS_I_PS3"/>
      <sheetName val="SUM_2003"/>
      <sheetName val="_Rencana_Vol_per_Section3"/>
      <sheetName val="D_1_73"/>
      <sheetName val="D_1_53"/>
      <sheetName val="D_2_33"/>
      <sheetName val="D_2_23"/>
      <sheetName val="D_&amp;_W_sizes3"/>
      <sheetName val="hrg-sat_pek3"/>
      <sheetName val="struktur_tdk_dipakai3"/>
      <sheetName val="rekap_ahs3"/>
      <sheetName val="Currency_Rate3"/>
      <sheetName val="Urai__Resap_pengikat3"/>
      <sheetName val="an__struktur3"/>
      <sheetName val="H__Satuan3"/>
      <sheetName val="AHS__Keg3"/>
      <sheetName val="01A-_RAB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Bahan_upah3"/>
      <sheetName val="On_Time3"/>
      <sheetName val="Eta-maxC_Lager3"/>
      <sheetName val="6_Felder_-_Md3"/>
      <sheetName val="AG25_inner_maxQ-Truck3"/>
      <sheetName val="6_Felder_-_maxQ3"/>
      <sheetName val="RAB_KapukII3"/>
      <sheetName val="Memb_Schd3"/>
      <sheetName val="Rekap_Direct_Cost3"/>
      <sheetName val="INPUT_DATAS3"/>
      <sheetName val="플랜트_설치3"/>
      <sheetName val="TABEL_BAJA3"/>
      <sheetName val="GLP's_and_PSPC's4"/>
      <sheetName val="Internal_Summary3"/>
      <sheetName val="BS_pricing4"/>
      <sheetName val="Project_Summary4"/>
      <sheetName val="Alloc_13"/>
      <sheetName val="BER_CAL3"/>
      <sheetName val="Problem_Class4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Meth_3"/>
      <sheetName val="TYPE_A3"/>
      <sheetName val="TYPE_B3"/>
      <sheetName val="TYPE_C3"/>
      <sheetName val="TYPE_D3"/>
      <sheetName val="BOR_PILE3"/>
      <sheetName val="BASEMENT_PELATARAN3"/>
      <sheetName val="SIRKULASI,_PELATARAN,_EKSTERNA3"/>
      <sheetName val="JARINGAN_AIR_BERSIH3"/>
      <sheetName val="JARINGAN_LISTRIK3"/>
      <sheetName val="JARINGAN_TELEPHON3"/>
      <sheetName val="REKAP_ME3"/>
      <sheetName val="TYPIKAL_UNIT3"/>
      <sheetName val="Harga_Dasar3"/>
      <sheetName val="Basic_Price3"/>
      <sheetName val="RAB_PRO3"/>
      <sheetName val="AnalisaSIPIL_RIIL3"/>
      <sheetName val="Perm__Test3"/>
      <sheetName val="Galian_13"/>
      <sheetName val="uraian_analisa3"/>
      <sheetName val="DATA_PROYEK3"/>
      <sheetName val="RBP-_23"/>
      <sheetName val="REKAP_TOTAL3"/>
      <sheetName val="REKAP_STR3"/>
      <sheetName val="REKAP_UNIT3"/>
      <sheetName val="D_3_1_Dinding3"/>
      <sheetName val="H_S_D3"/>
      <sheetName val="hARGA_SAT3"/>
      <sheetName val="BARU-4_3"/>
      <sheetName val="REF_ONLY3"/>
      <sheetName val="Analisa_Upah_&amp;_Bahan_Plum3"/>
      <sheetName val="CPO_16-9-TID_3"/>
      <sheetName val="REKAP_A_BESAR3"/>
      <sheetName val="Gal_tanah"/>
      <sheetName val="PROTECTION_"/>
      <sheetName val="DAF_HRG"/>
      <sheetName val="2__MVAC_R1"/>
      <sheetName val="SUM-PRO_(4)10"/>
      <sheetName val="SUM-PRO_(3)10"/>
      <sheetName val="SUM-PRO_(2)10"/>
      <sheetName val="SEX_(4)10"/>
      <sheetName val="SEX_(3)10"/>
      <sheetName val="SEX_(2)10"/>
      <sheetName val="B_-_Norelec10"/>
      <sheetName val="Unit_Rate9"/>
      <sheetName val="Cover_Daf-28"/>
      <sheetName val="Fill_this_out_first___17"/>
      <sheetName val="Cash_Flow_bulanan8"/>
      <sheetName val="Daftar_Upah8"/>
      <sheetName val="H_Satuan8"/>
      <sheetName val="Bill_of_Qty_MEP8"/>
      <sheetName val="RAB_AR&amp;STR8"/>
      <sheetName val="4-Basic_Price8"/>
      <sheetName val="PRD_01-78"/>
      <sheetName val="PRD_01-88"/>
      <sheetName val="PRD_01-98"/>
      <sheetName val="PRD_01-108"/>
      <sheetName val="PRD_01-118"/>
      <sheetName val="PRD_01-38"/>
      <sheetName val="PRD_01-48"/>
      <sheetName val="HRG_BHN8"/>
      <sheetName val="HARGA_MATERIAL8"/>
      <sheetName val="Analisa_STR8"/>
      <sheetName val="Fill_this_out_first___18"/>
      <sheetName val="Tabel_Berat8"/>
      <sheetName val="JKT_(2)8"/>
      <sheetName val="HB_5"/>
      <sheetName val="DAFTAR_74"/>
      <sheetName val="Isolasi_Luar_Dalam5"/>
      <sheetName val="Isolasi_Luar5"/>
      <sheetName val="Kuantitas_&amp;_Harga4"/>
      <sheetName val="BQ_ARS4"/>
      <sheetName val="RAB_T-95_BK4"/>
      <sheetName val="GTS_I_PS4"/>
      <sheetName val="SUM_2004"/>
      <sheetName val="_Rencana_Vol_per_Section4"/>
      <sheetName val="D_1_74"/>
      <sheetName val="D_1_54"/>
      <sheetName val="D_2_34"/>
      <sheetName val="D_2_24"/>
      <sheetName val="D_&amp;_W_sizes4"/>
      <sheetName val="hrg-sat_pek4"/>
      <sheetName val="struktur_tdk_dipakai4"/>
      <sheetName val="rekap_ahs4"/>
      <sheetName val="Currency_Rate4"/>
      <sheetName val="Urai__Resap_pengikat4"/>
      <sheetName val="an__struktur4"/>
      <sheetName val="H__Satuan4"/>
      <sheetName val="AHS__Keg4"/>
      <sheetName val="01A-_RAB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Bahan_upah4"/>
      <sheetName val="On_Time4"/>
      <sheetName val="Eta-maxC_Lager4"/>
      <sheetName val="6_Felder_-_Md4"/>
      <sheetName val="AG25_inner_maxQ-Truck4"/>
      <sheetName val="6_Felder_-_maxQ4"/>
      <sheetName val="RAB_KapukII4"/>
      <sheetName val="Memb_Schd4"/>
      <sheetName val="Rekap_Direct_Cost4"/>
      <sheetName val="INPUT_DATAS4"/>
      <sheetName val="플랜트_설치4"/>
      <sheetName val="TABEL_BAJA4"/>
      <sheetName val="GLP's_and_PSPC's5"/>
      <sheetName val="Internal_Summary4"/>
      <sheetName val="BS_pricing5"/>
      <sheetName val="Project_Summary5"/>
      <sheetName val="Alloc_14"/>
      <sheetName val="BER_CAL4"/>
      <sheetName val="Problem_Class5"/>
      <sheetName val="AC_unit4"/>
      <sheetName val="EL_acc4"/>
      <sheetName val="EL_lamp4"/>
      <sheetName val="EL_outlet4"/>
      <sheetName val="Chiller_acc4"/>
      <sheetName val="Pipa_PL4"/>
      <sheetName val="PK_acc4"/>
      <sheetName val="PL_acc4"/>
      <sheetName val="PK_valve4"/>
      <sheetName val="PL_valve4"/>
      <sheetName val="AC_valve4"/>
      <sheetName val="PK_pipe4"/>
      <sheetName val="EL_kabel4"/>
      <sheetName val="AC_power4"/>
      <sheetName val="EL_tray4"/>
      <sheetName val="PL_power4"/>
      <sheetName val="PL_unit4"/>
      <sheetName val="PK_unit4"/>
      <sheetName val="EL_arde4"/>
      <sheetName val="Meth_4"/>
      <sheetName val="TYPE_A4"/>
      <sheetName val="TYPE_B4"/>
      <sheetName val="TYPE_C4"/>
      <sheetName val="TYPE_D4"/>
      <sheetName val="BOR_PILE4"/>
      <sheetName val="BASEMENT_PELATARAN4"/>
      <sheetName val="SIRKULASI,_PELATARAN,_EKSTERNA4"/>
      <sheetName val="JARINGAN_AIR_BERSIH4"/>
      <sheetName val="JARINGAN_LISTRIK4"/>
      <sheetName val="JARINGAN_TELEPHON4"/>
      <sheetName val="REKAP_ME4"/>
      <sheetName val="TYPIKAL_UNIT4"/>
      <sheetName val="Harga_Dasar4"/>
      <sheetName val="Basic_Price4"/>
      <sheetName val="RAB_PRO4"/>
      <sheetName val="AnalisaSIPIL_RIIL4"/>
      <sheetName val="Perm__Test4"/>
      <sheetName val="Galian_14"/>
      <sheetName val="uraian_analisa4"/>
      <sheetName val="DATA_PROYEK4"/>
      <sheetName val="RBP-_24"/>
      <sheetName val="REKAP_TOTAL4"/>
      <sheetName val="REKAP_STR4"/>
      <sheetName val="REKAP_UNIT4"/>
      <sheetName val="D_3_1_Dinding4"/>
      <sheetName val="H_S_D4"/>
      <sheetName val="Hrg_Sat1"/>
      <sheetName val="hARGA_SAT4"/>
      <sheetName val="BARU-4_4"/>
      <sheetName val="REF_ONLY4"/>
      <sheetName val="Analisa_Upah_&amp;_Bahan_Plum4"/>
      <sheetName val="SUB_TOTAL_1"/>
      <sheetName val="Daf_Pekerjaan1"/>
      <sheetName val="ocean_voyage1"/>
      <sheetName val="tb__besi1"/>
      <sheetName val="CPO_16-9-TID_4"/>
      <sheetName val="REKAP_A_BESAR4"/>
      <sheetName val="Ahs_21"/>
      <sheetName val="Ahs_11"/>
      <sheetName val="Rekap_Addendum1"/>
      <sheetName val="BQ_Dudukan_Fascade_OT_KC1"/>
      <sheetName val="ANALISA_HARGA_SATUAN1"/>
      <sheetName val="ah_sanitary3"/>
      <sheetName val="Analisa_Alat3"/>
      <sheetName val="DIV_11"/>
      <sheetName val="DIV_21"/>
      <sheetName val="DIV_2a1"/>
      <sheetName val="DIV_2a_(2)1"/>
      <sheetName val="DIV_2a_BET1"/>
      <sheetName val="DIV_2a_TUL1"/>
      <sheetName val="DIV_2b1"/>
      <sheetName val="DIV_2b_(2)1"/>
      <sheetName val="DIV_2c1"/>
      <sheetName val="DIV_2d1"/>
      <sheetName val="DIV_31"/>
      <sheetName val="DIV_51"/>
      <sheetName val="DIV_61"/>
      <sheetName val="DIV_81"/>
      <sheetName val="DIV_8_a1"/>
      <sheetName val="DIV_91"/>
      <sheetName val="Gudang_non_AC-AC_Struktur1"/>
      <sheetName val="rab_j173"/>
      <sheetName val="Cover_Daf_21"/>
      <sheetName val="BOQ_CBM1"/>
      <sheetName val="D___W_sizes1"/>
      <sheetName val="Ana_Fin1"/>
      <sheetName val="PRICE_(2)1"/>
      <sheetName val="An_Arsitektur1"/>
      <sheetName val="An_Struktur1"/>
      <sheetName val="9_PEK-HARIAN1"/>
      <sheetName val="2_3_5-Bsmt-Elc_(ADD)1"/>
      <sheetName val="2_3_6-Bsmt-Fire1"/>
      <sheetName val="3_3_1-Apt-Sanitary_(AD)1"/>
      <sheetName val="3_3_2-Apt-Plb1"/>
      <sheetName val="3_3_2-Apt-Plb_(ADD)1"/>
      <sheetName val="3_3_3-Apt-AC1"/>
      <sheetName val="3_3_5-Apt-Elc_(ADD)1"/>
      <sheetName val="3_3_6-Apt-Fire1"/>
      <sheetName val="6_1_Genset1"/>
      <sheetName val="2_3_5-Bsmt-AC_(ADD)1"/>
      <sheetName val="2_3_3-Bsmt-AC_(ADD)1"/>
      <sheetName val="Bill_rekap1"/>
      <sheetName val="Bill_of_Qty1"/>
      <sheetName val="Form_PKT1"/>
      <sheetName val="Volume_(2)1"/>
      <sheetName val="AT_21"/>
      <sheetName val="Mech__BQ1"/>
      <sheetName val="Upah_1"/>
      <sheetName val="Daftar_Harga1"/>
      <sheetName val="harga_dasar_T-M-A1"/>
      <sheetName val="Anls_teknis1"/>
      <sheetName val="Gal_tanah1"/>
      <sheetName val="PROTECTION_1"/>
      <sheetName val="DAF_HRG1"/>
      <sheetName val="2__MVAC_R11"/>
      <sheetName val="S-curve_MKBC1"/>
      <sheetName val="Material_Bangunan1"/>
      <sheetName val="Analisa_Bang1"/>
      <sheetName val="B__Arch1"/>
      <sheetName val="2-resume"/>
      <sheetName val="UP MINOR"/>
      <sheetName val="Konfirm"/>
      <sheetName val="Analis Kusen okk"/>
      <sheetName val="HRG BAHAN &amp; UPAH okk"/>
      <sheetName val="PNT"/>
      <sheetName val="upah_borong"/>
      <sheetName val="satuan_pek"/>
      <sheetName val="Embank"/>
      <sheetName val="Volume"/>
      <sheetName val="Harga Bahan"/>
      <sheetName val="SNI"/>
      <sheetName val="SNI STRUKTUR"/>
      <sheetName val="8LT 12"/>
      <sheetName val="Resume Investasi Awal"/>
      <sheetName val="Rincian Penjualan Tahunan"/>
      <sheetName val="Rincian Biaya Operasional"/>
      <sheetName val="Rincian Belanja Alat Dapur"/>
      <sheetName val="Rincian Belanja Keb Karyawan"/>
      <sheetName val="Boq-civil"/>
      <sheetName val="Urugan Pasir"/>
      <sheetName val="Vibro_Roller"/>
      <sheetName val="MASTER BAHAN ME"/>
      <sheetName val="Master Edit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Hargamat"/>
      <sheetName val="daftar upah,bahan,alat"/>
      <sheetName val="DB MTC SKJ "/>
      <sheetName val="ANALISA railing"/>
      <sheetName val="REKAP MEP GD.I"/>
      <sheetName val="RAB MEP GD.I"/>
      <sheetName val="REKAP MEP GD.K"/>
      <sheetName val="RAB MEP GD.K"/>
      <sheetName val="ANSAT"/>
      <sheetName val="SPJ"/>
      <sheetName val="OP. ALAT"/>
      <sheetName val="OP. PERJAM"/>
      <sheetName val="B. PERSONIL"/>
      <sheetName val="KAN. LOKAL"/>
      <sheetName val="KLHT"/>
      <sheetName val="ct"/>
      <sheetName val="Rupiah"/>
      <sheetName val="HK&amp;Mat"/>
      <sheetName val="Peralatan (2)"/>
      <sheetName val="共機計算"/>
      <sheetName val="共機J"/>
      <sheetName val="Tai khoan"/>
      <sheetName val="PEDESB"/>
      <sheetName val="Fin-model"/>
      <sheetName val="JSiar"/>
      <sheetName val="3-DIV10"/>
      <sheetName val="3-DIV8"/>
      <sheetName val="pemel-rutin"/>
      <sheetName val="3-DIV2"/>
      <sheetName val="3-DIV3"/>
      <sheetName val="3-DIV5"/>
      <sheetName val="3-DIV6"/>
      <sheetName val="3-DIV7"/>
      <sheetName val="Py.Schedule"/>
      <sheetName val="Rekap_"/>
      <sheetName val="Transfer_Master"/>
      <sheetName val="K3-Gaji_Kontrak"/>
      <sheetName val="Gaji_Kontrak"/>
      <sheetName val="Kwitansi_Honor"/>
      <sheetName val="Basic_P"/>
      <sheetName val="Harga_Sat_Dasar"/>
      <sheetName val="Statprod_gab"/>
      <sheetName val="Act_Bgdt"/>
      <sheetName val="MA"/>
      <sheetName val="jadw"/>
      <sheetName val="RPP-6"/>
      <sheetName val="sdm"/>
      <sheetName val="61004"/>
      <sheetName val="61005"/>
      <sheetName val="61006"/>
      <sheetName val="61007"/>
      <sheetName val="61008"/>
      <sheetName val="HRG"/>
      <sheetName val="UPH,BHN,ALT"/>
      <sheetName val="Analis harga"/>
      <sheetName val="UPAH &amp; BHN ARS"/>
      <sheetName val="AHS ARS"/>
      <sheetName val="TE TS FA LAN MATV"/>
      <sheetName val="갑지"/>
      <sheetName val="D-1"/>
      <sheetName val="Eq. Mobilization"/>
      <sheetName val="Spec_ME"/>
      <sheetName val="Harga_Bahan"/>
      <sheetName val="SNI_STRUKTUR"/>
      <sheetName val="Sat_Bah_&amp;_Up"/>
      <sheetName val="PO_"/>
      <sheetName val="TABEL_ORDER"/>
      <sheetName val="TABEL_BOOK"/>
      <sheetName val="Balok_L_2"/>
      <sheetName val="Other"/>
      <sheetName val="Unit"/>
      <sheetName val="Sumber Daya"/>
      <sheetName val="BOQ_Aula"/>
      <sheetName val="Kolom UT"/>
      <sheetName val="HB"/>
      <sheetName val="SAT-DAS"/>
      <sheetName val="QUARI"/>
      <sheetName val="Rek_SA"/>
      <sheetName val="ES_T_B_C"/>
      <sheetName val="Diffuser, Grille R1"/>
      <sheetName val="FAN"/>
      <sheetName val="CFS3"/>
      <sheetName val="Daf 1"/>
      <sheetName val="FitOutConfCent_x0010__x0000_"/>
      <sheetName val="FitOutConfCent_x0005__x0000_"/>
      <sheetName val="FitOutConfCent §"/>
      <sheetName val="FitOutConfCent_x0000_Î"/>
      <sheetName val="FitOutConfCenttó"/>
      <sheetName val="FitOutConfCent_x0010_"/>
      <sheetName val="FitOutConfCent_x0005_"/>
      <sheetName val="FitOutConfCent"/>
      <sheetName val="Master 1.0"/>
      <sheetName val="SIRKULASI, PELATAR_廛"/>
      <sheetName val="Duc_3"/>
      <sheetName val="ABB_Trans"/>
      <sheetName val="Main Feeder"/>
      <sheetName val="Capacitor"/>
      <sheetName val="Input_Data-1"/>
      <sheetName val="PE Wire"/>
      <sheetName val="XLPE_Cable"/>
      <sheetName val="電気設備表"/>
      <sheetName val="COMP"/>
      <sheetName val="钢管人工"/>
      <sheetName val="一発シート"/>
      <sheetName val="预算"/>
      <sheetName val="GIAVLIEU"/>
      <sheetName val="Manpower (M)"/>
      <sheetName val="Site Infrastructure"/>
      <sheetName val="L3 An H Sat Mob"/>
      <sheetName val="Readme"/>
      <sheetName val="L"/>
      <sheetName val="F801"/>
      <sheetName val="F802"/>
      <sheetName val="Breakdown"/>
      <sheetName val="Costing"/>
      <sheetName val="BMS IO"/>
      <sheetName val="IO Summary"/>
      <sheetName val="Labour"/>
      <sheetName val="Installation"/>
      <sheetName val="Jenis Pekerjaan"/>
      <sheetName val="Harga Satuan"/>
      <sheetName val="Terbilang &quot;Risalah DP&quot;"/>
      <sheetName val="Terbilang &quot;Risalah&quot;"/>
      <sheetName val="Password PPN"/>
      <sheetName val="rt2"/>
      <sheetName val="Index Proyek"/>
      <sheetName val="Data Rekanan"/>
      <sheetName val="Harga dan Jenis Pekerjaan"/>
      <sheetName val="Data Risalah"/>
      <sheetName val="Rumus Terbilang"/>
      <sheetName val="Data Rekap Berita Acara"/>
      <sheetName val="RISALAH Termin"/>
      <sheetName val="BA Progress"/>
      <sheetName val="BA PEMBAYARAN"/>
      <sheetName val="RISALAH DP"/>
      <sheetName val="BA PEMBAYARAN DP"/>
      <sheetName val="BA PO"/>
      <sheetName val="RISALAH Retensi"/>
      <sheetName val="BA Retensi"/>
      <sheetName val="304-06"/>
      <sheetName val="Aggr"/>
      <sheetName val="Ch"/>
      <sheetName val="Uraian"/>
      <sheetName val="telp"/>
      <sheetName val="FR"/>
      <sheetName val="Analisa Gabungan"/>
      <sheetName val="Sub"/>
      <sheetName val="内訳"/>
      <sheetName val="Penawaran"/>
      <sheetName val="BQ Banding "/>
      <sheetName val="VERSI-PP"/>
      <sheetName val="RBP-1"/>
      <sheetName val="Des"/>
      <sheetName val="Connections"/>
      <sheetName val="DWTables"/>
      <sheetName val="DivVII"/>
      <sheetName val="CH-RANC"/>
      <sheetName val="OLDMAP"/>
      <sheetName val="Page2"/>
      <sheetName val="Hx_A"/>
      <sheetName val="Sat~Bahu"/>
      <sheetName val="Lamp_V"/>
      <sheetName val="RINCIAN BPP"/>
      <sheetName val="HM.MEK."/>
      <sheetName val="Koordinat"/>
      <sheetName val="Kolom"/>
      <sheetName val="WT-LIST"/>
      <sheetName val="PkRp"/>
      <sheetName val="lap harian kebalen darmo"/>
      <sheetName val="lap harian waru gempol"/>
      <sheetName val="SUM"/>
      <sheetName val="kurva"/>
      <sheetName val="Waru-gempol"/>
      <sheetName val="babad-kebalen"/>
      <sheetName val="kebalen-Tandes"/>
      <sheetName val="kebalen-Darmo"/>
      <sheetName val="muncar-srono"/>
      <sheetName val="curah-kobohan"/>
      <sheetName val="SITE ORG.CHART"/>
      <sheetName val="SITE MANNING"/>
      <sheetName val="Jadwal"/>
      <sheetName val="SIRKULASI,_PELATARAN,_EKSTERNÐf"/>
      <sheetName val="손익차9월2"/>
      <sheetName val="a03"/>
      <sheetName val="Penjualan"/>
      <sheetName val="grafik"/>
      <sheetName val="pro ra op"/>
      <sheetName val="SLNK"/>
      <sheetName val="SAT"/>
      <sheetName val="Power_SG"/>
      <sheetName val="Process Data"/>
      <sheetName val="database"/>
      <sheetName val="mg (2)"/>
      <sheetName val="KH-Q1,Q2,01"/>
      <sheetName val="CAB 2"/>
      <sheetName val="AnlSpek"/>
      <sheetName val="BQ Detail"/>
      <sheetName val="Rekap Biaya"/>
      <sheetName val="General_Schedule"/>
      <sheetName val="Analisa_H_Sat_Pek_"/>
      <sheetName val="H_Material,_Upah_&amp;_Alat"/>
      <sheetName val="1_Entry_data_"/>
      <sheetName val="SLNK_(1)"/>
      <sheetName val="Sat_Bah___Up"/>
      <sheetName val="ANALISA_PEK_UMUM"/>
      <sheetName val="UPAH_DAN_BAHAN"/>
      <sheetName val="supporting_data"/>
      <sheetName val="Rekap_RAB_Amd"/>
      <sheetName val="Dftr_Kuan_Hrg_Amd"/>
      <sheetName val="LAMPU_&amp;_STK"/>
      <sheetName val="AHS_SAKLAR_&amp;STK"/>
      <sheetName val="AHS_LAMPU"/>
      <sheetName val="AHS_INSTALASI"/>
      <sheetName val="AHS_PANEL"/>
      <sheetName val="AHS_TRAFO"/>
      <sheetName val="AHS_KABEL"/>
      <sheetName val="AHS_TRAY_"/>
      <sheetName val="AHS_PHBUTM"/>
      <sheetName val="jadual_material"/>
      <sheetName val="MASTER_1"/>
      <sheetName val="jadual_bobot"/>
      <sheetName val="Trading_Statement"/>
      <sheetName val="PAKET2-namohalu"/>
      <sheetName val="F1.4"/>
      <sheetName val="Kuantitas"/>
      <sheetName val="grpsr2"/>
      <sheetName val="AHS"/>
      <sheetName val="CATEGORY"/>
      <sheetName val="IN OUT"/>
      <sheetName val="H-Dasar"/>
      <sheetName val="Analisa-H"/>
      <sheetName val="REKAP ANALISA"/>
      <sheetName val="1-Rekap"/>
      <sheetName val="Kuantitas &amp; Harga Seg.1"/>
      <sheetName val="SUM-PRO_(4)11"/>
      <sheetName val="SUM-PRO_(3)11"/>
      <sheetName val="SUM-PRO_(2)11"/>
      <sheetName val="SEX_(4)11"/>
      <sheetName val="SEX_(3)11"/>
      <sheetName val="SEX_(2)11"/>
      <sheetName val="B_-_Norelec11"/>
      <sheetName val="Unit_Rate10"/>
      <sheetName val="Cover_Daf-29"/>
      <sheetName val="Fill_this_out_first___19"/>
      <sheetName val="Cash_Flow_bulanan9"/>
      <sheetName val="Daftar_Upah9"/>
      <sheetName val="H_Satuan9"/>
      <sheetName val="Bill_of_Qty_MEP9"/>
      <sheetName val="RAB_AR&amp;STR9"/>
      <sheetName val="4-Basic_Price9"/>
      <sheetName val="PRD_01-79"/>
      <sheetName val="PRD_01-89"/>
      <sheetName val="PRD_01-99"/>
      <sheetName val="PRD_01-109"/>
      <sheetName val="PRD_01-119"/>
      <sheetName val="PRD_01-39"/>
      <sheetName val="PRD_01-49"/>
      <sheetName val="HRG_BHN9"/>
      <sheetName val="HARGA_MATERIAL9"/>
      <sheetName val="Analisa_STR9"/>
      <sheetName val="Fill_this_out_first___20"/>
      <sheetName val="Tabel_Berat9"/>
      <sheetName val="JKT_(2)9"/>
      <sheetName val="HB_6"/>
      <sheetName val="DAFTAR_75"/>
      <sheetName val="Isolasi_Luar_Dalam6"/>
      <sheetName val="Isolasi_Luar6"/>
      <sheetName val="Kuantitas_&amp;_Harga5"/>
      <sheetName val="BQ_ARS5"/>
      <sheetName val="RAB_T-95_BK5"/>
      <sheetName val="GTS_I_PS5"/>
      <sheetName val="SUM_2005"/>
      <sheetName val="_Rencana_Vol_per_Section5"/>
      <sheetName val="D_1_75"/>
      <sheetName val="D_1_55"/>
      <sheetName val="D_2_35"/>
      <sheetName val="D_2_25"/>
      <sheetName val="D_&amp;_W_sizes5"/>
      <sheetName val="hrg-sat_pek5"/>
      <sheetName val="struktur_tdk_dipakai5"/>
      <sheetName val="rekap_ahs5"/>
      <sheetName val="Currency_Rate5"/>
      <sheetName val="Urai__Resap_pengikat5"/>
      <sheetName val="an__struktur5"/>
      <sheetName val="H__Satuan5"/>
      <sheetName val="AHS__Keg5"/>
      <sheetName val="01A-_RAB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Bahan_upah5"/>
      <sheetName val="On_Time5"/>
      <sheetName val="Eta-maxC_Lager5"/>
      <sheetName val="6_Felder_-_Md5"/>
      <sheetName val="AG25_inner_maxQ-Truck5"/>
      <sheetName val="6_Felder_-_maxQ5"/>
      <sheetName val="RAB_KapukII5"/>
      <sheetName val="Memb_Schd5"/>
      <sheetName val="Rekap_Direct_Cost5"/>
      <sheetName val="INPUT_DATAS5"/>
      <sheetName val="플랜트_설치5"/>
      <sheetName val="TABEL_BAJA5"/>
      <sheetName val="GLP's_and_PSPC's6"/>
      <sheetName val="Internal_Summary5"/>
      <sheetName val="BS_pricing6"/>
      <sheetName val="Project_Summary6"/>
      <sheetName val="Alloc_15"/>
      <sheetName val="BER_CAL5"/>
      <sheetName val="Problem_Class6"/>
      <sheetName val="AC_unit5"/>
      <sheetName val="EL_acc5"/>
      <sheetName val="EL_lamp5"/>
      <sheetName val="EL_outlet5"/>
      <sheetName val="Chiller_acc5"/>
      <sheetName val="Pipa_PL5"/>
      <sheetName val="PK_acc5"/>
      <sheetName val="PL_acc5"/>
      <sheetName val="PK_valve5"/>
      <sheetName val="PL_valve5"/>
      <sheetName val="AC_valve5"/>
      <sheetName val="PK_pipe5"/>
      <sheetName val="EL_kabel5"/>
      <sheetName val="AC_power5"/>
      <sheetName val="EL_tray5"/>
      <sheetName val="PL_power5"/>
      <sheetName val="PL_unit5"/>
      <sheetName val="PK_unit5"/>
      <sheetName val="EL_arde5"/>
      <sheetName val="Meth_5"/>
      <sheetName val="TYPE_A5"/>
      <sheetName val="TYPE_B5"/>
      <sheetName val="TYPE_C5"/>
      <sheetName val="TYPE_D5"/>
      <sheetName val="BOR_PILE5"/>
      <sheetName val="BASEMENT_PELATARAN5"/>
      <sheetName val="SIRKULASI,_PELATARAN,_EKSTERNA5"/>
      <sheetName val="JARINGAN_AIR_BERSIH5"/>
      <sheetName val="JARINGAN_LISTRIK5"/>
      <sheetName val="JARINGAN_TELEPHON5"/>
      <sheetName val="REKAP_ME5"/>
      <sheetName val="TYPIKAL_UNIT5"/>
      <sheetName val="Harga_Dasar5"/>
      <sheetName val="Basic_Price5"/>
      <sheetName val="RAB_PRO5"/>
      <sheetName val="AnalisaSIPIL_RIIL5"/>
      <sheetName val="Perm__Test5"/>
      <sheetName val="Galian_15"/>
      <sheetName val="uraian_analisa5"/>
      <sheetName val="DATA_PROYEK5"/>
      <sheetName val="RBP-_25"/>
      <sheetName val="REKAP_TOTAL5"/>
      <sheetName val="REKAP_STR5"/>
      <sheetName val="REKAP_UNIT5"/>
      <sheetName val="D_3_1_Dinding5"/>
      <sheetName val="H_S_D5"/>
      <sheetName val="hARGA_SAT5"/>
      <sheetName val="BARU-4_5"/>
      <sheetName val="REF_ONLY5"/>
      <sheetName val="Analisa_Upah_&amp;_Bahan_Plum5"/>
      <sheetName val="SUB_TOTAL_2"/>
      <sheetName val="Daf_Pekerjaan2"/>
      <sheetName val="ocean_voyage2"/>
      <sheetName val="tb__besi2"/>
      <sheetName val="CPO_16-9-TID_5"/>
      <sheetName val="REKAP_A_BESAR5"/>
      <sheetName val="Ahs_22"/>
      <sheetName val="Ahs_12"/>
      <sheetName val="Rekap_Addendum2"/>
      <sheetName val="BQ_Dudukan_Fascade_OT_KC2"/>
      <sheetName val="ANALISA_HARGA_SATUAN2"/>
      <sheetName val="ah_sanitary4"/>
      <sheetName val="Analisa_Alat4"/>
      <sheetName val="DIV_12"/>
      <sheetName val="DIV_22"/>
      <sheetName val="DIV_2a2"/>
      <sheetName val="DIV_2a_(2)2"/>
      <sheetName val="DIV_2a_BET2"/>
      <sheetName val="DIV_2a_TUL2"/>
      <sheetName val="DIV_2b2"/>
      <sheetName val="DIV_2b_(2)2"/>
      <sheetName val="DIV_2c2"/>
      <sheetName val="DIV_2d2"/>
      <sheetName val="DIV_32"/>
      <sheetName val="DIV_52"/>
      <sheetName val="DIV_62"/>
      <sheetName val="DIV_82"/>
      <sheetName val="DIV_8_a2"/>
      <sheetName val="DIV_92"/>
      <sheetName val="Gudang_non_AC-AC_Struktur2"/>
      <sheetName val="rab_j174"/>
      <sheetName val="Cover_Daf_22"/>
      <sheetName val="BOQ_CBM2"/>
      <sheetName val="D___W_sizes2"/>
      <sheetName val="Ana_Fin2"/>
      <sheetName val="PRICE_(2)2"/>
      <sheetName val="An_Arsitektur2"/>
      <sheetName val="An_Struktur2"/>
      <sheetName val="9_PEK-HARIAN2"/>
      <sheetName val="2_3_5-Bsmt-Elc_(ADD)2"/>
      <sheetName val="2_3_6-Bsmt-Fire2"/>
      <sheetName val="3_3_1-Apt-Sanitary_(AD)2"/>
      <sheetName val="3_3_2-Apt-Plb2"/>
      <sheetName val="3_3_2-Apt-Plb_(ADD)2"/>
      <sheetName val="3_3_3-Apt-AC2"/>
      <sheetName val="3_3_5-Apt-Elc_(ADD)2"/>
      <sheetName val="3_3_6-Apt-Fire2"/>
      <sheetName val="6_1_Genset2"/>
      <sheetName val="2_3_5-Bsmt-AC_(ADD)2"/>
      <sheetName val="2_3_3-Bsmt-AC_(ADD)2"/>
      <sheetName val="Bill_rekap2"/>
      <sheetName val="Bill_of_Qty2"/>
      <sheetName val="Form_PKT2"/>
      <sheetName val="Volume_(2)2"/>
      <sheetName val="AT_22"/>
      <sheetName val="Mech__BQ2"/>
      <sheetName val="Upah_2"/>
      <sheetName val="Daftar_Harga2"/>
      <sheetName val="harga_dasar_T-M-A2"/>
      <sheetName val="Anls_teknis2"/>
      <sheetName val="Gal_tanah2"/>
      <sheetName val="PROTECTION_2"/>
      <sheetName val="DAF_HRG2"/>
      <sheetName val="2__MVAC_R12"/>
      <sheetName val="S-curve_MKBC2"/>
      <sheetName val="Material_Bangunan2"/>
      <sheetName val="Analisa_Bang2"/>
      <sheetName val="B__Arch2"/>
      <sheetName val="Daftar Kuantitas dan Harga"/>
      <sheetName val="bq analisa"/>
      <sheetName val="harsat sdy"/>
      <sheetName val="Laboratorium"/>
      <sheetName val="B D_AHS6"/>
      <sheetName val="BASIC-PRICE"/>
      <sheetName val="PC"/>
      <sheetName val="21"/>
      <sheetName val="GRAND REKAP"/>
      <sheetName val="Analisa Harga"/>
      <sheetName val="Listrik"/>
      <sheetName val="analis standar(20m)"/>
      <sheetName val="ANAL BETON"/>
      <sheetName val="DAF-3"/>
      <sheetName val="Public Area"/>
      <sheetName val="data_dci"/>
      <sheetName val="data_mci"/>
      <sheetName val="Main"/>
      <sheetName val="DRUM"/>
      <sheetName val="UP_an"/>
      <sheetName val="Hrg.Sat"/>
      <sheetName val="HS-DASAR"/>
      <sheetName val="idx-03"/>
      <sheetName val="igp-03"/>
      <sheetName val="Alat R"/>
      <sheetName val="Analisa K"/>
      <sheetName val="blend"/>
      <sheetName val="Upah &amp; Bahan"/>
      <sheetName val="Rekap1"/>
      <sheetName val="INST#512768"/>
      <sheetName val="Gas Pilot-ZEF "/>
      <sheetName val="HRSG#5 375340"/>
      <sheetName val="HUFF &amp; PUFF"/>
      <sheetName val="Manufacturing Materials"/>
      <sheetName val="Codes"/>
      <sheetName val="SIRKULASI, PELATAR?廛_x00"/>
      <sheetName val="BQ-1A"/>
      <sheetName val="WBS Code"/>
      <sheetName val="DQE-MEN-EXT"/>
      <sheetName val="95삼성급(본사)"/>
      <sheetName val="M-EQPT-Z"/>
      <sheetName val="Manhole"/>
      <sheetName val="TPI"/>
      <sheetName val="Outline"/>
      <sheetName val="daf-3(OK)"/>
      <sheetName val="daf-7(OK)"/>
      <sheetName val="1"/>
      <sheetName val="PRIMARY BEAM"/>
      <sheetName val="COLUMN) "/>
      <sheetName val="RFP003D"/>
      <sheetName val="1100"/>
      <sheetName val="Civil Price Schedule"/>
      <sheetName val="Eng_Hrs_(HO)"/>
      <sheetName val="FitOutConfCent"/>
      <sheetName val="bldg_list"/>
      <sheetName val="BQ_(Case-A_Rev-2)"/>
      <sheetName val="SUM_(CASE-A_Rev-2)"/>
      <sheetName val="BQ_(Case-A_Rev-2)_(2)"/>
      <sheetName val="Analisa_2"/>
      <sheetName val="Agregat_Halus_&amp;_Kasar"/>
      <sheetName val="DETAIL_1"/>
      <sheetName val="숯䈸숀䈶ༀༀĀ䐀ሑℰ℀Ā㈀ 저䈺ᵡ숯䈸숀"/>
      <sheetName val="Procurement_Approval_Form"/>
      <sheetName val="Fill_this_out_firstìÁ_"/>
      <sheetName val="숯䈸숀䈶ༀༀĀ䐀ሑℰ℀Ā㈀_저䈺ᵡ숯䈸숀"/>
      <sheetName val="New_Box(20022018)"/>
      <sheetName val="SIRKULASI,_PELATAR廛"/>
      <sheetName val="FitOutConfCent_§"/>
      <sheetName val="Project_List"/>
      <sheetName val="Harsat_Bahan"/>
      <sheetName val="Harsat_Upah"/>
      <sheetName val="mob_(2)"/>
      <sheetName val="page_1"/>
      <sheetName val="Analisa_ELC"/>
      <sheetName val="Eqp__EL"/>
      <sheetName val="Eqp__ELC"/>
      <sheetName val="BÁO_GIÁ_TỔNG"/>
      <sheetName val="Measured_Qty_Demarcation"/>
      <sheetName val="Floor_Area_24_June_2019"/>
      <sheetName val="Floor_Area_31_July_2019"/>
      <sheetName val="Floor_Area_12_July_2019"/>
      <sheetName val="Exchange_rate_2019_07"/>
      <sheetName val="Daf_Harga"/>
      <sheetName val="Rekap_Bill"/>
      <sheetName val="An__Harga"/>
      <sheetName val="STR-ARS_OFFICE"/>
      <sheetName val="STR-ARS_BAKHUM"/>
      <sheetName val="REKAP_MEK_BAKHUM"/>
      <sheetName val="1_MEKANIKAL_DAKSINAPATI"/>
      <sheetName val="REKAP_ELEKT_BAKHUM"/>
      <sheetName val="2_ELEKTRIKAL_DAKSINAPATI"/>
      <sheetName val="SIRKULASI,_PELATAR廛_x00"/>
      <sheetName val="HS"/>
      <sheetName val="610.04"/>
      <sheetName val="610.05"/>
      <sheetName val="610.06"/>
      <sheetName val="610.07"/>
      <sheetName val="610.08"/>
      <sheetName val="Har_mat"/>
      <sheetName val="Harga Mat "/>
      <sheetName val="SKTR"/>
      <sheetName val="SKTR1"/>
      <sheetName val="ESC"/>
      <sheetName val="DIVISI 3"/>
      <sheetName val="k250"/>
      <sheetName val="anal Lamp 2"/>
      <sheetName val="TL"/>
      <sheetName val="S&amp;P2-6"/>
      <sheetName val="Analisa RAB"/>
      <sheetName val="CekList"/>
      <sheetName val="Sch Tender"/>
      <sheetName val="Alat B"/>
      <sheetName val="Bahan B"/>
      <sheetName val="Upah B"/>
      <sheetName val="Lain-Lain"/>
      <sheetName val="Telusur"/>
      <sheetName val="BQ RAB"/>
      <sheetName val="THR"/>
      <sheetName val="ovrhead"/>
      <sheetName val="Penjumlahan"/>
      <sheetName val="Cover1"/>
      <sheetName val="Finishing Warehouse"/>
      <sheetName val="TRNS-C1"/>
      <sheetName val="Bahan "/>
      <sheetName val="97 사업추정(WEKI)"/>
      <sheetName val="수입"/>
      <sheetName val="Bahan.BQ"/>
      <sheetName val="EQ_an"/>
      <sheetName val="daf-alat"/>
      <sheetName val="Anal alat"/>
      <sheetName val="amtek"/>
      <sheetName val="ANALISA-1"/>
      <sheetName val="Peny_Bdn Jln"/>
      <sheetName val="Base B Bahu"/>
      <sheetName val="Gali Biasa"/>
      <sheetName val="Gali_Sal"/>
      <sheetName val="bhn-upah"/>
      <sheetName val="ANALISA-2"/>
      <sheetName val="Rutin Jembatan"/>
      <sheetName val="Rutin Saluran"/>
      <sheetName val="Prime"/>
      <sheetName val="Tack"/>
      <sheetName val="matrix"/>
      <sheetName val="Ur_Pil"/>
      <sheetName val="Analisa Harga Electronic"/>
      <sheetName val="SPREAD SHEET"/>
      <sheetName val="Analisa Quarry"/>
      <sheetName val="1. BQ"/>
      <sheetName val="pricing"/>
      <sheetName val="hst.alat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ode"/>
      <sheetName val="FINAL"/>
      <sheetName val="KEBALAT"/>
      <sheetName val="hst_mat"/>
      <sheetName val="hst,upah"/>
      <sheetName val="dasar"/>
      <sheetName val="ENC.14"/>
      <sheetName val="FAK"/>
      <sheetName val="DivIV"/>
      <sheetName val="DivV"/>
      <sheetName val="DivVIII"/>
      <sheetName val="DivIII"/>
      <sheetName val="divII"/>
      <sheetName val="rekI"/>
      <sheetName val="mobilisation"/>
      <sheetName val="Analisa HSP"/>
      <sheetName val="AnalAdjust"/>
      <sheetName val="ANAL KOEF"/>
      <sheetName val="TENAGA"/>
      <sheetName val="Daftar BOQ"/>
      <sheetName val="Reference"/>
      <sheetName val="D3"/>
      <sheetName val="Perhit.Alat"/>
      <sheetName val="SPK"/>
      <sheetName val="7.3 RAB per SDY"/>
      <sheetName val="DAFTAR ISI"/>
      <sheetName val="Harga bahan _ upah"/>
      <sheetName val="9"/>
      <sheetName val="14"/>
      <sheetName val="15"/>
      <sheetName val="D"/>
      <sheetName val="7"/>
      <sheetName val="DKH"/>
      <sheetName val="SIRKULASI,_PELATAR?廛"/>
      <sheetName val="Har_Sat"/>
      <sheetName val="Harga_Sat_Dasar1"/>
      <sheetName val="Basic_P1"/>
      <sheetName val="Rekap_1"/>
      <sheetName val="Transfer_Master1"/>
      <sheetName val="K3-Gaji_Kontrak1"/>
      <sheetName val="Gaji_Kontrak1"/>
      <sheetName val="Kwitansi_Honor1"/>
      <sheetName val="Statprod_gab1"/>
      <sheetName val="ANALISA_railing"/>
      <sheetName val="Urugan_Pasir"/>
      <sheetName val="Master_Edit"/>
      <sheetName val="REKAP_MEP_GD_I"/>
      <sheetName val="RAB_MEP_GD_I"/>
      <sheetName val="REKAP_MEP_GD_K"/>
      <sheetName val="RAB_MEP_GD_K"/>
      <sheetName val="8LT_12"/>
      <sheetName val="Resume_Investasi_Awal"/>
      <sheetName val="Rincian_Penjualan_Tahunan"/>
      <sheetName val="Rincian_Biaya_Operasional"/>
      <sheetName val="Rincian_Belanja_Alat_Dapur"/>
      <sheetName val="Rincian_Belanja_Keb_Karyawan"/>
      <sheetName val="DB_MTC_SKJ_"/>
      <sheetName val="MASTER_BAHAN_ME"/>
      <sheetName val="NP_(2)"/>
      <sheetName val="UP_MINOR"/>
      <sheetName val="Akun_Pajak"/>
      <sheetName val="Power_House"/>
      <sheetName val="BOOsTER_PUMP"/>
      <sheetName val="daftar_upah,bahan,alat"/>
      <sheetName val="Py_Schedule"/>
      <sheetName val="Kolom_UT"/>
      <sheetName val="HARGA_ALAT"/>
      <sheetName val="UPAH_&amp;_BHN_ARS"/>
      <sheetName val="AHS_ARS"/>
      <sheetName val="Analis_Kusen_okk"/>
      <sheetName val="HRG_BAHAN_&amp;_UPAH_okk"/>
      <sheetName val="A_Card"/>
      <sheetName val="D_Kamar"/>
      <sheetName val="Eq__Mobilization"/>
      <sheetName val="BQ_Banding_"/>
      <sheetName val="OP__ALAT"/>
      <sheetName val="OP__PERJAM"/>
      <sheetName val="B__PERSONIL"/>
      <sheetName val="KAN__LOKAL"/>
      <sheetName val="HM_MEK_"/>
      <sheetName val="PROD 15-11"/>
      <sheetName val="PROD 15-10"/>
      <sheetName val="Material + upah"/>
      <sheetName val="PROD 15-7"/>
      <sheetName val="Dimension Sheet "/>
      <sheetName val="banding"/>
      <sheetName val="prd01-6"/>
      <sheetName val="6106"/>
      <sheetName val="prd01-5"/>
      <sheetName val="Sheet4"/>
      <sheetName val="ANALIS"/>
      <sheetName val="Pintu"/>
      <sheetName val="負荷集計（断熱不燃）"/>
      <sheetName val="차액보증"/>
      <sheetName val="SORT"/>
      <sheetName val="개산공사비"/>
      <sheetName val="노임단가"/>
      <sheetName val="Cst Pkg-Eden"/>
      <sheetName val="경비2내역"/>
      <sheetName val="外国人所得税Table"/>
      <sheetName val="車会集約"/>
      <sheetName val="合成単価作成表-BLDG"/>
      <sheetName val="汇总表"/>
      <sheetName val="FAB별"/>
      <sheetName val="전기"/>
      <sheetName val="Lap Mingguan"/>
      <sheetName val="SIRKULASI, PELATAR�廛_x0000_ഀ쮚_x0000__x0000_Ԁ_x0000_퀀"/>
      <sheetName val="2_9"/>
      <sheetName val="BQ-Tenis"/>
      <sheetName val="Arsitektur"/>
      <sheetName val="04"/>
      <sheetName val="07"/>
      <sheetName val="08"/>
      <sheetName val="05"/>
      <sheetName val="06"/>
      <sheetName val="HSD"/>
      <sheetName val="VL"/>
      <sheetName val="ND"/>
      <sheetName val="SUM-AIR-Submit"/>
      <sheetName val="5-Peralatan"/>
      <sheetName val="PETUNJUK PENGISIAN"/>
      <sheetName val="BOQ JN45"/>
      <sheetName val="Legend2"/>
      <sheetName val="Sitelist"/>
      <sheetName val="Reff"/>
      <sheetName val="Validasi2"/>
      <sheetName val="Pivot"/>
      <sheetName val="Validasi NEw"/>
      <sheetName val="Read Me"/>
      <sheetName val="remark"/>
      <sheetName val="Details"/>
      <sheetName val="SRFI"/>
      <sheetName val="GENERAL"/>
      <sheetName val="resume-bu"/>
      <sheetName val="Validasi_NEw"/>
      <sheetName val="lap_harian_kebalen_darmo"/>
      <sheetName val="lap_harian_waru_gempol"/>
      <sheetName val="Read_Me"/>
      <sheetName val="SITE_ORG_CHART"/>
      <sheetName val="SITE_MANNING"/>
      <sheetName val="Process_Data"/>
      <sheetName val="DATA UMUM"/>
      <sheetName val="Daftar No MAPPI"/>
      <sheetName val="BEFORE ALLOCATION"/>
      <sheetName val="cvlRKYS"/>
      <sheetName val="Bill.1.VAC-Supply-A"/>
      <sheetName val="hrg dasar"/>
      <sheetName val="D5"/>
      <sheetName val="Peta Quarry"/>
      <sheetName val="Jembatan Sementara"/>
      <sheetName val="Agg B"/>
      <sheetName val="RAW MATERIALS "/>
      <sheetName val="BAG_III"/>
      <sheetName val="INPUT DATA"/>
      <sheetName val="unitrate22"/>
      <sheetName val="Frontline-Melbourne1"/>
      <sheetName val="Frontline-Melbourne"/>
      <sheetName val="Advanzco-DSP1"/>
      <sheetName val="PERALATAN PROYEK GOL III A"/>
      <sheetName val="BBM-03"/>
      <sheetName val="BELAGIO"/>
      <sheetName val="ARTAGDING"/>
      <sheetName val="MANHATTAN"/>
      <sheetName val="SENTUL"/>
      <sheetName val="T.ABANG"/>
      <sheetName val="kriteria"/>
      <sheetName val="Div-1"/>
      <sheetName val="UPAH BAHAN"/>
      <sheetName val="REN2000"/>
      <sheetName val="Daf-Harga"/>
      <sheetName val="TS (A3)"/>
      <sheetName val="ANALIS ALAT"/>
      <sheetName val="FMU"/>
      <sheetName val="Uph&amp;bhn"/>
      <sheetName val="Master"/>
      <sheetName val="4334-Summary"/>
      <sheetName val="손익차총괄2"/>
      <sheetName val="Daf Alat"/>
      <sheetName val="Jdw Alat"/>
      <sheetName val="Plant"/>
      <sheetName val="S Penawar"/>
      <sheetName val="O"/>
      <sheetName val="MT-C"/>
      <sheetName val="SIRKULASI, PELATAR�廛_x00"/>
      <sheetName val="Pengalaman Per"/>
      <sheetName val=" PE-F-42 MR 9 Manpower"/>
      <sheetName val="Gorong2"/>
      <sheetName val="Sirtu"/>
      <sheetName val="Aspal"/>
      <sheetName val="Market Positioning"/>
      <sheetName val="Rkp-Jdwl"/>
      <sheetName val="pek tanah utk irigasi"/>
      <sheetName val="Bank"/>
      <sheetName val="PK"/>
      <sheetName val="%"/>
      <sheetName val="NOV 2019"/>
      <sheetName val="tgp-02"/>
      <sheetName val="BASEMENT"/>
      <sheetName val="REK"/>
      <sheetName val="Breakdown Instrument"/>
      <sheetName val="Sew-Tahan"/>
      <sheetName val="011C101"/>
      <sheetName val="DATASHT"/>
      <sheetName val="IA drier Page 1"/>
      <sheetName val="Register"/>
      <sheetName val="BQMP"/>
      <sheetName val="지급제한자"/>
      <sheetName val="bahan,upah,alat"/>
      <sheetName val="Hsatuan-OK"/>
      <sheetName val="BoQ(APBN)"/>
      <sheetName val="DAFTAR_7_x0000_"/>
      <sheetName val="II.5"/>
      <sheetName val="Dafmat"/>
      <sheetName val="Meto"/>
      <sheetName val="rincian A"/>
      <sheetName val="COST SUMM"/>
      <sheetName val="rap"/>
      <sheetName val="div 8"/>
      <sheetName val="div 2"/>
      <sheetName val="div 3"/>
      <sheetName val="div 5"/>
      <sheetName val="div 6"/>
      <sheetName val="div 7"/>
      <sheetName val="Baja"/>
      <sheetName val="Beton K-250"/>
      <sheetName val="div 9"/>
      <sheetName val="Indirect_Const"/>
      <sheetName val="DIV 10"/>
      <sheetName val="AWAL"/>
      <sheetName val="Informasi"/>
      <sheetName val="beton"/>
      <sheetName val="rcnpdp"/>
      <sheetName val="Rek-Analisa"/>
      <sheetName val="DAF-4"/>
      <sheetName val="Sheet1 (4)"/>
      <sheetName val="Market"/>
      <sheetName val="Up &amp; bhn"/>
      <sheetName val="Section 1~5"/>
      <sheetName val="eq_data"/>
      <sheetName val="BAST"/>
      <sheetName val="BAP"/>
      <sheetName val="BAPP"/>
      <sheetName val="BAPKP"/>
      <sheetName val="Proggres"/>
      <sheetName val="Penawaran  "/>
      <sheetName val="BID"/>
      <sheetName val="CVL"/>
      <sheetName val="BQNK"/>
      <sheetName val="BA_ADD"/>
      <sheetName val="Rate Analysis"/>
      <sheetName val="Renc.Prod"/>
      <sheetName val="적용환율"/>
      <sheetName val="HARSAT_BAH"/>
      <sheetName val="Compressor_Air_Blow_Cleaning1"/>
      <sheetName val="FORM_X_COST1"/>
      <sheetName val="5_EMT1-MASTER_SCH_S_curve_(r_11"/>
      <sheetName val="DHS_AC1"/>
      <sheetName val="1_General_"/>
      <sheetName val="analis_standar(8m)"/>
      <sheetName val="An_Q"/>
      <sheetName val="B_Dsr"/>
      <sheetName val="Fire_Fighting1"/>
      <sheetName val="Item_Kompensasi1"/>
      <sheetName val="My_Kitchen1"/>
      <sheetName val="Balok_L_21"/>
      <sheetName val="Spec_ME1"/>
      <sheetName val="TEST_LINK"/>
      <sheetName val="KURS_VALAS"/>
      <sheetName val="DIMENSI_STEEL_PROFIL"/>
      <sheetName val="DIMENSI_PIPA"/>
      <sheetName val="SIZE_Fitting_Pipa"/>
      <sheetName val="CORET_KERAMIK"/>
      <sheetName val="TENAGA_KERJA_2019-A"/>
      <sheetName val="SATUAN_UPAH"/>
      <sheetName val="CORET_MASTER"/>
      <sheetName val="AHS_MASTER"/>
      <sheetName val="SIRKULASI,_PELATAR?廛ഀ쮚Ԁ퀀"/>
      <sheetName val="Sat_Bah_&amp;_Up1"/>
      <sheetName val="daywork-_Tham_khao"/>
      <sheetName val="03_Detailed"/>
      <sheetName val="01_Bid_Price_summary"/>
      <sheetName val="PO_1"/>
      <sheetName val="TABEL_ORDER1"/>
      <sheetName val="TABEL_BOOK1"/>
      <sheetName val="JANGAN_HAPUS"/>
      <sheetName val="Summary_"/>
      <sheetName val="KOL_50_X_125"/>
      <sheetName val="L_I_C_O_50_x_50"/>
      <sheetName val="KOL_D_1200"/>
      <sheetName val="KOL_65_x_65"/>
      <sheetName val="BLK_tower_(lt_1)"/>
      <sheetName val="BLK_tower_(lt_1)_add_(2)"/>
      <sheetName val="BLK_tower_(lt_2)"/>
      <sheetName val="BLK_tower_(lt_2)_add"/>
      <sheetName val="BLK_lt_base_(ball_rom)"/>
      <sheetName val="SLB_Balroom"/>
      <sheetName val="SLB_(2_3)_tower"/>
      <sheetName val="PERI_UP_ok"/>
      <sheetName val="PERI_UP_TANGGA"/>
      <sheetName val="SCF_LT_1"/>
      <sheetName val="SCF_LT_1~3"/>
      <sheetName val="Cash_Flow__2_"/>
      <sheetName val="K_6DEPOSIT"/>
      <sheetName val="van_khuon"/>
      <sheetName val="MTO_REV_2(ARMOR)"/>
      <sheetName val="Harga_Bahan1"/>
      <sheetName val="SNI_STRUKTUR1"/>
      <sheetName val="Peralatan_(2)"/>
      <sheetName val="Tai_khoan"/>
      <sheetName val="Analis_harga"/>
      <sheetName val="TE_TS_FA_LAN_MATV"/>
      <sheetName val="Diffuser,_Grille_R1"/>
      <sheetName val="Master_1_0"/>
      <sheetName val="SIRKULASI,_PELATAR_廛"/>
      <sheetName val="Main_Feeder"/>
      <sheetName val="PE_Wire"/>
      <sheetName val="Manpower_(M)"/>
      <sheetName val="Site_Infrastructure"/>
      <sheetName val="L3_An_H_Sat_Mob"/>
      <sheetName val="BMS_IO"/>
      <sheetName val="IO_Summary"/>
      <sheetName val="Jenis_Pekerjaan"/>
      <sheetName val="Harga_Satuan"/>
      <sheetName val="Terbilang_&quot;Risalah_DP&quot;"/>
      <sheetName val="Terbilang_&quot;Risalah&quot;"/>
      <sheetName val="Password_PPN"/>
      <sheetName val="Index_Proyek"/>
      <sheetName val="Data_Rekanan"/>
      <sheetName val="Harga_dan_Jenis_Pekerjaan"/>
      <sheetName val="Data_Risalah"/>
      <sheetName val="Rumus_Terbilang"/>
      <sheetName val="Data_Rekap_Berita_Acara"/>
      <sheetName val="RISALAH_Termin"/>
      <sheetName val="BA_Progress"/>
      <sheetName val="BA_PEMBAYARAN"/>
      <sheetName val="RISALAH_DP"/>
      <sheetName val="BA_PEMBAYARAN_DP"/>
      <sheetName val="BA_PO"/>
      <sheetName val="RISALAH_Retensi"/>
      <sheetName val="BA_Retensi"/>
      <sheetName val="Analisa_Gabungan"/>
      <sheetName val="Sumber_Daya"/>
      <sheetName val="RINCIAN_BPP"/>
      <sheetName val="SUM-PRO_(4)12"/>
      <sheetName val="SUM-PRO_(3)12"/>
      <sheetName val="SUM-PRO_(2)12"/>
      <sheetName val="SEX_(4)12"/>
      <sheetName val="SEX_(3)12"/>
      <sheetName val="SEX_(2)12"/>
      <sheetName val="B_-_Norelec12"/>
      <sheetName val="Unit_Rate11"/>
      <sheetName val="Cover_Daf-210"/>
      <sheetName val="INPUT_DATAS6"/>
      <sheetName val="Fill_this_out_first___21"/>
      <sheetName val="Cash_Flow_bulanan10"/>
      <sheetName val="Daftar_Upah10"/>
      <sheetName val="H_Satuan10"/>
      <sheetName val="Bill_of_Qty_MEP10"/>
      <sheetName val="PRD_01-710"/>
      <sheetName val="PRD_01-810"/>
      <sheetName val="PRD_01-910"/>
      <sheetName val="PRD_01-1010"/>
      <sheetName val="PRD_01-1110"/>
      <sheetName val="PRD_01-310"/>
      <sheetName val="PRD_01-410"/>
      <sheetName val="4-Basic_Price10"/>
      <sheetName val="RAB_AR&amp;STR10"/>
      <sheetName val="Isolasi_Luar_Dalam7"/>
      <sheetName val="Isolasi_Luar7"/>
      <sheetName val="HB_7"/>
      <sheetName val="HRG_BHN10"/>
      <sheetName val="HARGA_MATERIAL10"/>
      <sheetName val="Analisa_STR10"/>
      <sheetName val="RAB_T-95_BK6"/>
      <sheetName val="GTS_I_PS6"/>
      <sheetName val="SUM_2006"/>
      <sheetName val="Kuantitas_&amp;_Harga6"/>
      <sheetName val="DAFTAR_76"/>
      <sheetName val="Fill_this_out_first___22"/>
      <sheetName val="Tabel_Berat10"/>
      <sheetName val="JKT_(2)10"/>
      <sheetName val="_Rencana_Vol_per_Section6"/>
      <sheetName val="D_1_76"/>
      <sheetName val="D_1_56"/>
      <sheetName val="D_2_36"/>
      <sheetName val="D_2_26"/>
      <sheetName val="D_&amp;_W_sizes6"/>
      <sheetName val="hrg-sat_pek6"/>
      <sheetName val="Currency_Rate6"/>
      <sheetName val="an__struktur6"/>
      <sheetName val="Bahan_upah6"/>
      <sheetName val="struktur_tdk_dipakai6"/>
      <sheetName val="Urai__Resap_pengikat6"/>
      <sheetName val="rekap_ahs6"/>
      <sheetName val="01A-_RAB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__Satuan6"/>
      <sheetName val="AHS__Keg6"/>
      <sheetName val="BQ_ARS6"/>
      <sheetName val="On_Time6"/>
      <sheetName val="Eta-maxC_Lager6"/>
      <sheetName val="6_Felder_-_Md6"/>
      <sheetName val="AG25_inner_maxQ-Truck6"/>
      <sheetName val="6_Felder_-_maxQ6"/>
      <sheetName val="RAB_KapukII6"/>
      <sheetName val="Memb_Schd6"/>
      <sheetName val="GLP's_and_PSPC's7"/>
      <sheetName val="Internal_Summary6"/>
      <sheetName val="BS_pricing7"/>
      <sheetName val="Project_Summary7"/>
      <sheetName val="Alloc_16"/>
      <sheetName val="BER_CAL6"/>
      <sheetName val="Problem_Class7"/>
      <sheetName val="TABEL_BAJA6"/>
      <sheetName val="플랜트_설치6"/>
      <sheetName val="hARGA_SAT6"/>
      <sheetName val="BARU-4_6"/>
      <sheetName val="DATA_PROYEK6"/>
      <sheetName val="Perm__Test6"/>
      <sheetName val="Galian_16"/>
      <sheetName val="uraian_analisa6"/>
      <sheetName val="RBP-_26"/>
      <sheetName val="Harga_Dasar6"/>
      <sheetName val="Basic_Price6"/>
      <sheetName val="RAB_PRO6"/>
      <sheetName val="TYPE_A6"/>
      <sheetName val="TYPE_B6"/>
      <sheetName val="TYPE_C6"/>
      <sheetName val="TYPE_D6"/>
      <sheetName val="BOR_PILE6"/>
      <sheetName val="BASEMENT_PELATARAN6"/>
      <sheetName val="SIRKULASI,_PELATARAN,_EKSTERNA6"/>
      <sheetName val="JARINGAN_AIR_BERSIH6"/>
      <sheetName val="JARINGAN_LISTRIK6"/>
      <sheetName val="JARINGAN_TELEPHON6"/>
      <sheetName val="REKAP_ME6"/>
      <sheetName val="TYPIKAL_UNIT6"/>
      <sheetName val="REKAP_TOTAL6"/>
      <sheetName val="REKAP_STR6"/>
      <sheetName val="REKAP_UNIT6"/>
      <sheetName val="Rekap_Direct_Cost6"/>
      <sheetName val="D_3_1_Dinding6"/>
      <sheetName val="AC_unit6"/>
      <sheetName val="EL_acc6"/>
      <sheetName val="EL_lamp6"/>
      <sheetName val="EL_outlet6"/>
      <sheetName val="Chiller_acc6"/>
      <sheetName val="Pipa_PL6"/>
      <sheetName val="PK_acc6"/>
      <sheetName val="PL_acc6"/>
      <sheetName val="PK_valve6"/>
      <sheetName val="PL_valve6"/>
      <sheetName val="AC_valve6"/>
      <sheetName val="PK_pipe6"/>
      <sheetName val="EL_kabel6"/>
      <sheetName val="AC_power6"/>
      <sheetName val="EL_tray6"/>
      <sheetName val="PL_power6"/>
      <sheetName val="PL_unit6"/>
      <sheetName val="PK_unit6"/>
      <sheetName val="EL_arde6"/>
      <sheetName val="Meth_6"/>
      <sheetName val="AnalisaSIPIL_RIIL6"/>
      <sheetName val="H_S_D6"/>
      <sheetName val="REF_ONLY6"/>
      <sheetName val="Analisa_Upah_&amp;_Bahan_Plum6"/>
      <sheetName val="ocean_voyage3"/>
      <sheetName val="REKAP_A_BESAR6"/>
      <sheetName val="tb__besi3"/>
      <sheetName val="Rekap_Addendum3"/>
      <sheetName val="BQ_Dudukan_Fascade_OT_KC3"/>
      <sheetName val="ANALISA_HARGA_SATUAN3"/>
      <sheetName val="Gudang_non_AC-AC_Struktur3"/>
      <sheetName val="D___W_sizes3"/>
      <sheetName val="Ahs_23"/>
      <sheetName val="Ahs_13"/>
      <sheetName val="Bill_rekap3"/>
      <sheetName val="Bill_of_Qty3"/>
      <sheetName val="SUB_TOTAL_3"/>
      <sheetName val="Daf_Pekerjaan3"/>
      <sheetName val="CPO_16-9-TID_6"/>
      <sheetName val="ah_sanitary5"/>
      <sheetName val="Analisa_Alat5"/>
      <sheetName val="rab_j175"/>
      <sheetName val="DIV_13"/>
      <sheetName val="DIV_23"/>
      <sheetName val="DIV_2a3"/>
      <sheetName val="DIV_2a_(2)3"/>
      <sheetName val="DIV_2a_BET3"/>
      <sheetName val="DIV_2a_TUL3"/>
      <sheetName val="DIV_2b3"/>
      <sheetName val="DIV_2b_(2)3"/>
      <sheetName val="DIV_2c3"/>
      <sheetName val="DIV_2d3"/>
      <sheetName val="DIV_33"/>
      <sheetName val="DIV_53"/>
      <sheetName val="DIV_63"/>
      <sheetName val="DIV_83"/>
      <sheetName val="DIV_8_a3"/>
      <sheetName val="DIV_93"/>
      <sheetName val="An_Arsitektur3"/>
      <sheetName val="An_Struktur3"/>
      <sheetName val="2_3_5-Bsmt-Elc_(ADD)3"/>
      <sheetName val="2_3_6-Bsmt-Fire3"/>
      <sheetName val="3_3_1-Apt-Sanitary_(AD)3"/>
      <sheetName val="3_3_2-Apt-Plb3"/>
      <sheetName val="3_3_2-Apt-Plb_(ADD)3"/>
      <sheetName val="3_3_3-Apt-AC3"/>
      <sheetName val="3_3_5-Apt-Elc_(ADD)3"/>
      <sheetName val="3_3_6-Apt-Fire3"/>
      <sheetName val="6_1_Genset3"/>
      <sheetName val="2_3_5-Bsmt-AC_(ADD)3"/>
      <sheetName val="2_3_3-Bsmt-AC_(ADD)3"/>
      <sheetName val="BOQ_CBM3"/>
      <sheetName val="Mech__BQ3"/>
      <sheetName val="Cover_Daf_23"/>
      <sheetName val="B__Arch3"/>
      <sheetName val="S-curve_MKBC3"/>
      <sheetName val="AT_23"/>
      <sheetName val="PRICE_(2)3"/>
      <sheetName val="harga_dasar_T-M-A3"/>
      <sheetName val="HARGA_ALAT1"/>
      <sheetName val="9_PEK-HARIAN3"/>
      <sheetName val="Form_PKT3"/>
      <sheetName val="Volume_(2)3"/>
      <sheetName val="Daftar_Harga3"/>
      <sheetName val="Material_Bangunan3"/>
      <sheetName val="Analisa_Bang3"/>
      <sheetName val="Eng_Hrs_(HO)1"/>
      <sheetName val="Akun_Pajak1"/>
      <sheetName val="Ana_Fin3"/>
      <sheetName val="Power_House1"/>
      <sheetName val="BOOsTER_PUMP1"/>
      <sheetName val="NP_(2)1"/>
      <sheetName val="Upah_3"/>
      <sheetName val="Anls_teknis3"/>
      <sheetName val="Gal_tanah3"/>
      <sheetName val="General_Schedule1"/>
      <sheetName val="Sat_Bah___Up1"/>
      <sheetName val="ANALISA_PEK_UMUM1"/>
      <sheetName val="UPAH_DAN_BAHAN1"/>
      <sheetName val="Analisa_H_Sat_Pek_1"/>
      <sheetName val="H_Material,_Upah_&amp;_Alat1"/>
      <sheetName val="1_Entry_data_1"/>
      <sheetName val="SLNK_(1)1"/>
      <sheetName val="SIRKULASI,_PELATAR?廛1"/>
      <sheetName val="DAF_HRG3"/>
      <sheetName val="2__MVAC_R13"/>
      <sheetName val="MASTER_11"/>
      <sheetName val="bldg_list1"/>
      <sheetName val="LAMPU_&amp;_STK1"/>
      <sheetName val="AHS_SAKLAR_&amp;STK1"/>
      <sheetName val="AHS_LAMPU1"/>
      <sheetName val="AHS_INSTALASI1"/>
      <sheetName val="AHS_PANEL1"/>
      <sheetName val="AHS_TRAFO1"/>
      <sheetName val="AHS_KABEL1"/>
      <sheetName val="AHS_TRAY_1"/>
      <sheetName val="AHS_PHBUTM1"/>
      <sheetName val="Agregat_Halus_&amp;_Kasar1"/>
      <sheetName val="DETAIL_11"/>
      <sheetName val="New_Box(20022018)1"/>
      <sheetName val="Procurement_Approval_Form1"/>
      <sheetName val="Fill_this_out_firstìÁ_1"/>
      <sheetName val="mob_(2)1"/>
      <sheetName val="BQ_(Case-A_Rev-2)1"/>
      <sheetName val="SUM_(CASE-A_Rev-2)1"/>
      <sheetName val="BQ_(Case-A_Rev-2)_(2)1"/>
      <sheetName val="Analisa_21"/>
      <sheetName val="page_11"/>
      <sheetName val="Analisa_ELC1"/>
      <sheetName val="Eqp__EL1"/>
      <sheetName val="Eqp__ELC1"/>
      <sheetName val="SIRKULASI,_PELATAR廛1"/>
      <sheetName val="BÁO_GIÁ_TỔNG1"/>
      <sheetName val="Measured_Qty_Demarcation1"/>
      <sheetName val="Floor_Area_24_June_20191"/>
      <sheetName val="Floor_Area_31_July_20191"/>
      <sheetName val="Floor_Area_12_July_20191"/>
      <sheetName val="Exchange_rate_2019_071"/>
      <sheetName val="Harsat_Bahan1"/>
      <sheetName val="Harsat_Upah1"/>
      <sheetName val="STR-ARS_OFFICE1"/>
      <sheetName val="STR-ARS_BAKHUM1"/>
      <sheetName val="REKAP_MEK_BAKHUM1"/>
      <sheetName val="1_MEKANIKAL_DAKSINAPATI1"/>
      <sheetName val="REKAP_ELEKT_BAKHUM1"/>
      <sheetName val="2_ELEKTRIKAL_DAKSINAPATI1"/>
      <sheetName val="Rekap_2"/>
      <sheetName val="Transfer_Master2"/>
      <sheetName val="K3-Gaji_Kontrak2"/>
      <sheetName val="Gaji_Kontrak2"/>
      <sheetName val="Kwitansi_Honor2"/>
      <sheetName val="Statprod_gab2"/>
      <sheetName val="Basic_P2"/>
      <sheetName val="Harga_Sat_Dasar2"/>
      <sheetName val="Daf_Harga1"/>
      <sheetName val="Rekap_Bill1"/>
      <sheetName val="An__Harga1"/>
      <sheetName val="supporting_data1"/>
      <sheetName val="Rekap_RAB_Amd1"/>
      <sheetName val="Dftr_Kuan_Hrg_Amd1"/>
      <sheetName val="PROTECTION_3"/>
      <sheetName val="Har_Sat1"/>
      <sheetName val="Project_List1"/>
      <sheetName val="jadual_material1"/>
      <sheetName val="jadual_bobot1"/>
      <sheetName val="Trading_Statement1"/>
      <sheetName val="UP_MINOR1"/>
      <sheetName val="Analis_Kusen_okk1"/>
      <sheetName val="HRG_BAHAN_&amp;_UPAH_okk1"/>
      <sheetName val="8LT_121"/>
      <sheetName val="Resume_Investasi_Awal1"/>
      <sheetName val="Rincian_Penjualan_Tahunan1"/>
      <sheetName val="Rincian_Biaya_Operasional1"/>
      <sheetName val="Rincian_Belanja_Alat_Dapur1"/>
      <sheetName val="Rincian_Belanja_Keb_Karyawan1"/>
      <sheetName val="Urugan_Pasir1"/>
      <sheetName val="MASTER_BAHAN_ME1"/>
      <sheetName val="Master_Edit1"/>
      <sheetName val="A_Card1"/>
      <sheetName val="D_Kamar1"/>
      <sheetName val="daftar_upah,bahan,alat1"/>
      <sheetName val="DB_MTC_SKJ_1"/>
      <sheetName val="ANALISA_railing1"/>
      <sheetName val="REKAP_MEP_GD_I1"/>
      <sheetName val="RAB_MEP_GD_I1"/>
      <sheetName val="REKAP_MEP_GD_K1"/>
      <sheetName val="RAB_MEP_GD_K1"/>
      <sheetName val="OP__ALAT1"/>
      <sheetName val="OP__PERJAM1"/>
      <sheetName val="B__PERSONIL1"/>
      <sheetName val="KAN__LOKAL1"/>
      <sheetName val="Py_Schedule1"/>
      <sheetName val="UPAH_&amp;_BHN_ARS1"/>
      <sheetName val="AHS_ARS1"/>
      <sheetName val="Eq__Mobilization1"/>
      <sheetName val="Kolom_UT1"/>
      <sheetName val="FitOutConfCent_§1"/>
      <sheetName val="BQ_Banding_1"/>
      <sheetName val="HM_MEK_1"/>
      <sheetName val="lap_harian_kebalen_darmo1"/>
      <sheetName val="lap_harian_waru_gempol1"/>
      <sheetName val="SITE_ORG_CHART1"/>
      <sheetName val="SITE_MANNING1"/>
      <sheetName val="pro_ra_op"/>
      <sheetName val="Process_Data1"/>
      <sheetName val="mg_(2)"/>
      <sheetName val="CAB_2"/>
      <sheetName val="BQ_Detail"/>
      <sheetName val="Rekap_Biaya"/>
      <sheetName val="F1_4"/>
      <sheetName val="IN_OUT"/>
      <sheetName val="REKAP_ANALISA"/>
      <sheetName val="Kuantitas_&amp;_Harga_Seg_1"/>
      <sheetName val="Daftar_Kuantitas_dan_Harga"/>
      <sheetName val="bq_analisa"/>
      <sheetName val="harsat_sdy"/>
      <sheetName val="B_D_AHS6"/>
      <sheetName val="GRAND_REKAP"/>
      <sheetName val="Analisa_Harga"/>
      <sheetName val="analis_standar(20m)"/>
      <sheetName val="ANAL_BETON"/>
      <sheetName val="Public_Area"/>
      <sheetName val="Hrg_Sat2"/>
      <sheetName val="Alat_R"/>
      <sheetName val="Analisa_K"/>
      <sheetName val="Upah_&amp;_Bahan"/>
      <sheetName val="Gas_Pilot-ZEF_"/>
      <sheetName val="HRSG#5_375340"/>
      <sheetName val="HUFF_&amp;_PUFF"/>
      <sheetName val="Manufacturing_Materials"/>
      <sheetName val="SIRKULASI,_PELATAR?廛_x00"/>
      <sheetName val="WBS_Code"/>
      <sheetName val="PRIMARY_BEAM"/>
      <sheetName val="COLUMN)_"/>
      <sheetName val="Civil_Price_Schedule"/>
      <sheetName val="숯䈸숀䈶ༀༀĀ䐀ሑℰ℀Ā㈀_저䈺ᵡ숯䈸숀1"/>
      <sheetName val="610_04"/>
      <sheetName val="610_05"/>
      <sheetName val="610_06"/>
      <sheetName val="610_07"/>
      <sheetName val="610_08"/>
      <sheetName val="Harga_Mat_"/>
      <sheetName val="DIVISI_3"/>
      <sheetName val="anal_Lamp_2"/>
      <sheetName val="Analisa_RAB"/>
      <sheetName val="Sch_Tender"/>
      <sheetName val="Alat_B"/>
      <sheetName val="Bahan_B"/>
      <sheetName val="Upah_B"/>
      <sheetName val="BQ_RAB"/>
      <sheetName val="Finishing_Warehouse"/>
      <sheetName val="Bahan_"/>
      <sheetName val="97_사업추정(WEKI)"/>
      <sheetName val="Bahan_BQ"/>
      <sheetName val="Anal_alat"/>
      <sheetName val="Peny_Bdn_Jln"/>
      <sheetName val="Base_B_Bahu"/>
      <sheetName val="Gali_Biasa"/>
      <sheetName val="Rutin_Jembatan"/>
      <sheetName val="Rutin_Saluran"/>
      <sheetName val="Analisa_Harga_Electronic"/>
      <sheetName val="SPREAD_SHEET"/>
      <sheetName val="Analisa_Quarry"/>
      <sheetName val="1__BQ"/>
      <sheetName val="hst_alat"/>
      <sheetName val="ENC_14"/>
      <sheetName val="Analisa_HSP"/>
      <sheetName val="ANAL_KOEF"/>
      <sheetName val="Daftar_BOQ"/>
      <sheetName val="Perhit_Alat"/>
      <sheetName val="7_3_RAB_per_SDY"/>
      <sheetName val="DAFTAR_ISI"/>
      <sheetName val="Harga_bahan___upah"/>
      <sheetName val="PROD_15-11"/>
      <sheetName val="PROD_15-10"/>
      <sheetName val="Material_+_upah"/>
      <sheetName val="PROD_15-7"/>
      <sheetName val="Dimension_Sheet_"/>
      <sheetName val="Cst_Pkg-Eden"/>
      <sheetName val="Lap_Mingguan"/>
      <sheetName val="PETUNJUK_PENGISIAN"/>
      <sheetName val="BOQ_JN45"/>
      <sheetName val="Validasi_NEw1"/>
      <sheetName val="Read_Me1"/>
      <sheetName val="DATA_UMUM"/>
      <sheetName val="Daftar_No_MAPPI"/>
      <sheetName val="BEFORE_ALLOCATION"/>
      <sheetName val="Bill_1_VAC-Supply-A"/>
      <sheetName val="hrg_dasar"/>
      <sheetName val="Peta_Quarry"/>
      <sheetName val="Jembatan_Sementara"/>
      <sheetName val="Agg_B"/>
      <sheetName val="RAW_MATERIALS_"/>
      <sheetName val="INPUT_DATA"/>
      <sheetName val="PERALATAN_PROYEK_GOL_III_A"/>
      <sheetName val="T_ABANG"/>
      <sheetName val="UPAH_BAHAN"/>
      <sheetName val="TS_(A3)"/>
      <sheetName val="ANALIS_ALAT"/>
      <sheetName val="Daf_Alat"/>
      <sheetName val="Jdw_Alat"/>
      <sheetName val="S_Penawar"/>
      <sheetName val="Pengalaman_Per"/>
      <sheetName val="_PE-F-42_MR_9_Manpower"/>
      <sheetName val="Market_Positioning"/>
      <sheetName val="pek_tanah_utk_irigasi"/>
      <sheetName val="NOV_2019"/>
      <sheetName val="Breakdown_Instrument"/>
      <sheetName val="IA_drier_Page_1"/>
      <sheetName val="II_5"/>
      <sheetName val="rincian_A"/>
      <sheetName val="COST_SUMM"/>
      <sheetName val="div_7"/>
      <sheetName val="Beton_K-250"/>
      <sheetName val="DIV_10"/>
      <sheetName val="Sheet1_(4)"/>
      <sheetName val="Up_&amp;_bhn"/>
      <sheetName val="Section_1~5"/>
      <sheetName val="Penawaran__"/>
      <sheetName val="Rate_Analysis"/>
      <sheetName val="Renc_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 refreshError="1"/>
      <sheetData sheetId="545"/>
      <sheetData sheetId="546"/>
      <sheetData sheetId="547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 refreshError="1"/>
      <sheetData sheetId="810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 refreshError="1"/>
      <sheetData sheetId="918" refreshError="1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/>
      <sheetData sheetId="1293"/>
      <sheetData sheetId="1294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/>
      <sheetData sheetId="1395" refreshError="1"/>
      <sheetData sheetId="1396" refreshError="1"/>
      <sheetData sheetId="1397" refreshError="1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/>
      <sheetData sheetId="1759"/>
      <sheetData sheetId="1760"/>
      <sheetData sheetId="176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/>
      <sheetData sheetId="1815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/>
      <sheetData sheetId="1857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/>
      <sheetData sheetId="2510"/>
      <sheetData sheetId="2511"/>
      <sheetData sheetId="2512"/>
      <sheetData sheetId="2513"/>
      <sheetData sheetId="2514"/>
      <sheetData sheetId="2515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les scen"/>
      <sheetName val="sales"/>
      <sheetName val="var-cost"/>
      <sheetName val="cogs calc"/>
      <sheetName val="capex-used"/>
      <sheetName val="investment"/>
      <sheetName val="cash budget"/>
      <sheetName val="a-r schedule"/>
      <sheetName val="a-p schedule"/>
      <sheetName val="report"/>
      <sheetName val="CF"/>
      <sheetName val="highlight"/>
      <sheetName val="chtop-cashidr"/>
      <sheetName val="title"/>
      <sheetName val="Sheet1"/>
      <sheetName val="sen"/>
      <sheetName val="228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arning"/>
      <sheetName val="Summary"/>
      <sheetName val="Cost Split weekly"/>
      <sheetName val="Cost Split weekly Sum"/>
      <sheetName val="Cost Split Summary"/>
      <sheetName val="Cost without Split"/>
      <sheetName val="Prod weekly"/>
      <sheetName val="Capital"/>
      <sheetName val="Production data"/>
      <sheetName val="Cost Summary"/>
      <sheetName val="Cost Split"/>
      <sheetName val="Extraordinary Items"/>
      <sheetName val="Annual Bonus"/>
      <sheetName val="MOD"/>
      <sheetName val="Contr_mining related"/>
      <sheetName val="MSD"/>
      <sheetName val="PID"/>
      <sheetName val="HSE"/>
      <sheetName val="COM"/>
      <sheetName val="MKT"/>
      <sheetName val="HR"/>
      <sheetName val="ESD"/>
      <sheetName val="PD"/>
      <sheetName val="TCI"/>
      <sheetName val="Adjustments to MOD Costs"/>
      <sheetName val="Add_Melawan_Rev"/>
      <sheetName val="Civil and rehab"/>
      <sheetName val="shipping_program"/>
      <sheetName val="Revenue"/>
      <sheetName val="Pit Sheet"/>
      <sheetName val="Stock p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_COAL"/>
      <sheetName val="BUMA MP 310812"/>
      <sheetName val="rekap target Blast"/>
      <sheetName val="Prod_Coal-03"/>
      <sheetName val="LPit"/>
      <sheetName val="LRom"/>
      <sheetName val="LStock"/>
      <sheetName val="LLoad"/>
      <sheetName val="LClose"/>
      <sheetName val="SPit"/>
      <sheetName val="SRom"/>
      <sheetName val="SStock"/>
      <sheetName val="SLoad"/>
      <sheetName val="SClose"/>
      <sheetName val="Safe"/>
      <sheetName val="Env"/>
      <sheetName val="DAILY"/>
      <sheetName val="Processing_2001"/>
      <sheetName val="Master"/>
      <sheetName val=""/>
      <sheetName val="PDL"/>
      <sheetName val="Sheet1"/>
      <sheetName val="Database"/>
      <sheetName val="Graph"/>
      <sheetName val="POP"/>
      <sheetName val="Hauler"/>
      <sheetName val="date"/>
      <sheetName val="Nama Operator-Driver"/>
      <sheetName val="23a"/>
      <sheetName val="19a"/>
      <sheetName val="SALES_SUMMARY"/>
      <sheetName val="shipping_program"/>
      <sheetName val="KPC_PRINANG_MO_CF"/>
      <sheetName val="WeeklyPrices"/>
      <sheetName val="week Mar"/>
      <sheetName val="RESUME"/>
      <sheetName val="Data"/>
      <sheetName val="Datavalidation"/>
      <sheetName val="Loss time"/>
      <sheetName val="M"/>
      <sheetName val="LIST"/>
      <sheetName val="DB"/>
      <sheetName val="General"/>
      <sheetName val="DB MP"/>
      <sheetName val="Data Base"/>
      <sheetName val="OPERATOR"/>
      <sheetName val="BUMA_MP_310812"/>
      <sheetName val="rekap_target_Blast"/>
      <sheetName val="val"/>
      <sheetName val="ContaminationTable"/>
      <sheetName val="BUMA_MP_3108121"/>
      <sheetName val="rekap_target_Blast1"/>
      <sheetName val="BUMA_MP_3108122"/>
      <sheetName val="rekap_target_Blast2"/>
      <sheetName val="ocean voyage"/>
      <sheetName val="LOADDAT"/>
      <sheetName val="BUMA_MP_3108123"/>
      <sheetName val="rekap_target_Blast3"/>
      <sheetName val="ocean_voyage"/>
      <sheetName val="PA Achievement"/>
      <sheetName val="UA Achievement "/>
      <sheetName val="PMSS"/>
      <sheetName val="Dashboard"/>
      <sheetName val="Sheet1 (2)"/>
      <sheetName val="VD"/>
      <sheetName val="Busang2"/>
      <sheetName val="Busang3"/>
      <sheetName val="Busang1"/>
      <sheetName val="Jonggon1"/>
      <sheetName val="Jonggon2"/>
      <sheetName val="Jonggon3"/>
      <sheetName val="OB per we"/>
      <sheetName val="SUBKON"/>
      <sheetName val="OVERBURDEN"/>
      <sheetName val="MAINTENANCE"/>
      <sheetName val="9"/>
      <sheetName val="PrepaidTaxArt.23"/>
      <sheetName val="22861"/>
      <sheetName val="GeneralInfo"/>
      <sheetName val="Description"/>
      <sheetName val="OLDMAP"/>
      <sheetName val="4334-Summary"/>
      <sheetName val="A"/>
      <sheetName val="Remarks"/>
      <sheetName val="Input"/>
      <sheetName val="Coal"/>
      <sheetName val="Input2"/>
      <sheetName val="Block"/>
      <sheetName val="DaiRep"/>
      <sheetName val="Safety"/>
      <sheetName val="CondMonthly"/>
      <sheetName val="Weather"/>
      <sheetName val="Manpower"/>
      <sheetName val="Proporsional"/>
      <sheetName val="Detail PS"/>
      <sheetName val="Parts"/>
      <sheetName val="Ref"/>
      <sheetName val="Budget-Reforecast"/>
      <sheetName val="Performance"/>
      <sheetName val="Base On WH"/>
      <sheetName val="G&amp;LFuel HO"/>
      <sheetName val="Coretan"/>
      <sheetName val="PICA HO"/>
      <sheetName val="List BUMA"/>
      <sheetName val="Budget R6"/>
      <sheetName val="Budget R7"/>
      <sheetName val="GAP"/>
      <sheetName val="Prod."/>
      <sheetName val="Excess EQP"/>
      <sheetName val="Trading Statement"/>
      <sheetName val="BUMA_MP_3108124"/>
      <sheetName val="rekap_target_Blast4"/>
      <sheetName val="ocean_voyage1"/>
      <sheetName val="PA_Achievement"/>
      <sheetName val="UA_Achievement_"/>
      <sheetName val="DB_MP"/>
      <sheetName val="Data_Base"/>
      <sheetName val="Nama_Operator-Driver"/>
      <sheetName val="week_Mar"/>
      <sheetName val="Loss_time"/>
      <sheetName val="Sheet1_(2)"/>
      <sheetName val="OB_per_we"/>
      <sheetName val="PrepaidTaxArt_23"/>
      <sheetName val="Base_On_WH"/>
      <sheetName val="G&amp;LFuel_HO"/>
      <sheetName val="PICA_HO"/>
      <sheetName val="Loss_time1"/>
      <sheetName val="DB_MP1"/>
      <sheetName val="Data_Base1"/>
      <sheetName val="NRP"/>
      <sheetName val="A-GL-SUMMARY"/>
      <sheetName val="Data Opr"/>
      <sheetName val="Data Unit"/>
      <sheetName val="QC"/>
      <sheetName val="Engine"/>
      <sheetName val="Parameter"/>
      <sheetName val="RF"/>
      <sheetName val="PAR"/>
      <sheetName val="Jam &amp; Cargo Out"/>
      <sheetName val="EqID"/>
      <sheetName val="Cargo In &amp; OLC Performance"/>
      <sheetName val="Cargo Out &amp; BLC Performance"/>
      <sheetName val="F_I"/>
      <sheetName val="Param_Raw"/>
      <sheetName val="List_Unit"/>
      <sheetName val="List_Spv_Oprt_Drv"/>
      <sheetName val="TB2004"/>
      <sheetName val="Analisa"/>
      <sheetName val="Update Order"/>
      <sheetName val="Rooster"/>
      <sheetName val="JAM"/>
      <sheetName val="DATA BASE FB"/>
      <sheetName val="ORDER TICKET"/>
      <sheetName val="ORDER TRAVEL"/>
      <sheetName val="LIST OF MESS"/>
      <sheetName val="Sales by customer"/>
      <sheetName val="BAI Calculation"/>
      <sheetName val="LIST UNIT"/>
      <sheetName val="LIST FUEL TRUCK"/>
      <sheetName val="1999"/>
      <sheetName val="tifico"/>
      <sheetName val="Data Opr (2)"/>
      <sheetName val="DataComp"/>
      <sheetName val="Equip.ID"/>
      <sheetName val="Fuel Activity"/>
      <sheetName val="Data_Opr"/>
      <sheetName val="Data_Unit"/>
      <sheetName val="Jam_&amp;_Cargo_Out"/>
      <sheetName val="Cargo_In_&amp;_OLC_Performance"/>
      <sheetName val="Cargo_Out_&amp;_BLC_Performance"/>
      <sheetName val="DB_MP2"/>
      <sheetName val="PA_Achievement1"/>
      <sheetName val="UA_Achievement_1"/>
      <sheetName val="Data_Opr1"/>
      <sheetName val="Data_Unit1"/>
      <sheetName val="Nama_Operator-Driver1"/>
      <sheetName val="week_Mar1"/>
      <sheetName val="Jam_&amp;_Cargo_Out1"/>
      <sheetName val="Cargo_In_&amp;_OLC_Performance1"/>
      <sheetName val="Cargo_Out_&amp;_BLC_Performance1"/>
      <sheetName val="Loss_time2"/>
      <sheetName val="Update_Order"/>
      <sheetName val="DATA_BASE_FB"/>
      <sheetName val="ORDER_TICKET"/>
      <sheetName val="ORDER_TRAVEL"/>
      <sheetName val="LIST_OF_MESS"/>
      <sheetName val="Data_Opr_(2)"/>
      <sheetName val="Sales_by_customer"/>
      <sheetName val="Equip_ID"/>
      <sheetName val="Detail_PS"/>
      <sheetName val="BAI_Calculation"/>
      <sheetName val="Sheet2"/>
      <sheetName val="Sheet3"/>
      <sheetName val="Galian 1"/>
      <sheetName val="LIST_FUEL_TRUCK"/>
      <sheetName val="Fuel_Activity"/>
      <sheetName val="BENCH CALC"/>
      <sheetName val="WTF OB "/>
      <sheetName val="SETTING KELOMPOK"/>
      <sheetName val="MP"/>
      <sheetName val="Code"/>
      <sheetName val="EQL"/>
      <sheetName val="MDB"/>
      <sheetName val="KPI"/>
      <sheetName val="DB_MP3"/>
      <sheetName val="Data_Base2"/>
      <sheetName val="Data_Opr2"/>
      <sheetName val="Data_Unit2"/>
      <sheetName val="BUMA_MP_3108125"/>
      <sheetName val="rekap_target_Blast5"/>
      <sheetName val="PA_Achievement2"/>
      <sheetName val="UA_Achievement_2"/>
      <sheetName val="Nama_Operator-Driver2"/>
      <sheetName val="week_Mar2"/>
      <sheetName val="Jam_&amp;_Cargo_Out2"/>
      <sheetName val="Cargo_In_&amp;_OLC_Performance2"/>
      <sheetName val="Cargo_Out_&amp;_BLC_Performance2"/>
      <sheetName val="ocean_voyage2"/>
      <sheetName val="Loss_time3"/>
      <sheetName val="Update_Order1"/>
      <sheetName val="DATA_BASE_FB1"/>
      <sheetName val="ORDER_TICKET1"/>
      <sheetName val="ORDER_TRAVEL1"/>
      <sheetName val="LIST_OF_MESS1"/>
      <sheetName val="Equip_ID1"/>
      <sheetName val="Data_Opr_(2)1"/>
      <sheetName val="Sales_by_customer1"/>
      <sheetName val="PrepaidTaxArt_231"/>
      <sheetName val="Detail_PS1"/>
      <sheetName val="BAI_Calculation1"/>
      <sheetName val="WTF_OB_"/>
      <sheetName val="SETTING_KELOMPOK"/>
      <sheetName val="Galian_1"/>
      <sheetName val="Pos &amp; Kondisi Alat"/>
      <sheetName val="Perm. Test"/>
      <sheetName val="UNIT"/>
      <sheetName val="계획서"/>
      <sheetName val="98년차.XLS"/>
      <sheetName val="98인원계획"/>
      <sheetName val="98인건비"/>
      <sheetName val="Rincian Iuran"/>
      <sheetName val="1a"/>
      <sheetName val="1c"/>
      <sheetName val="Upah"/>
      <sheetName val="07~11예금이자"/>
      <sheetName val="srt"/>
      <sheetName val="EQ Event"/>
      <sheetName val="IH08"/>
      <sheetName val="INPUT DATA CUTI"/>
      <sheetName val="SOURCE"/>
      <sheetName val="DB_MP4"/>
      <sheetName val="Data_Base3"/>
      <sheetName val="Data_Opr3"/>
      <sheetName val="Data_Unit3"/>
      <sheetName val="BUMA_MP_3108126"/>
      <sheetName val="rekap_target_Blast6"/>
      <sheetName val="PA_Achievement3"/>
      <sheetName val="UA_Achievement_3"/>
      <sheetName val="Nama_Operator-Driver3"/>
      <sheetName val="week_Mar3"/>
      <sheetName val="Jam_&amp;_Cargo_Out3"/>
      <sheetName val="Cargo_In_&amp;_OLC_Performance3"/>
      <sheetName val="Cargo_Out_&amp;_BLC_Performance3"/>
      <sheetName val="ocean_voyage3"/>
      <sheetName val="Loss_time4"/>
      <sheetName val="Update_Order2"/>
      <sheetName val="DATA_BASE_FB2"/>
      <sheetName val="ORDER_TICKET2"/>
      <sheetName val="ORDER_TRAVEL2"/>
      <sheetName val="LIST_OF_MESS2"/>
      <sheetName val="Equip_ID2"/>
      <sheetName val="Data_Opr_(2)2"/>
      <sheetName val="Sales_by_customer2"/>
      <sheetName val="PrepaidTaxArt_232"/>
      <sheetName val="Detail_PS2"/>
      <sheetName val="BAI_Calculation2"/>
      <sheetName val="LIST_FUEL_TRUCK1"/>
      <sheetName val="Fuel_Activity1"/>
      <sheetName val="OB_per_we1"/>
      <sheetName val="Sheet1_(2)1"/>
      <sheetName val="WTF_OB_1"/>
      <sheetName val="SETTING_KELOMPOK1"/>
      <sheetName val="Galian_11"/>
      <sheetName val="BENCH_CALC"/>
      <sheetName val="DB_MP5"/>
      <sheetName val="Data_Base4"/>
      <sheetName val="BUMA_MP_3108127"/>
      <sheetName val="rekap_target_Blast7"/>
      <sheetName val="Data_Opr4"/>
      <sheetName val="PA_Achievement4"/>
      <sheetName val="UA_Achievement_4"/>
      <sheetName val="Data_Unit4"/>
      <sheetName val="Nama_Operator-Driver4"/>
      <sheetName val="week_Mar4"/>
      <sheetName val="Jam_&amp;_Cargo_Out4"/>
      <sheetName val="Cargo_In_&amp;_OLC_Performance4"/>
      <sheetName val="Cargo_Out_&amp;_BLC_Performance4"/>
      <sheetName val="ocean_voyage4"/>
      <sheetName val="Loss_time5"/>
      <sheetName val="Update_Order3"/>
      <sheetName val="DATA_BASE_FB3"/>
      <sheetName val="ORDER_TICKET3"/>
      <sheetName val="ORDER_TRAVEL3"/>
      <sheetName val="LIST_OF_MESS3"/>
      <sheetName val="Equip_ID3"/>
      <sheetName val="Data_Opr_(2)3"/>
      <sheetName val="Sales_by_customer3"/>
      <sheetName val="PrepaidTaxArt_233"/>
      <sheetName val="Detail_PS3"/>
      <sheetName val="BAI_Calculation3"/>
      <sheetName val="LIST_FUEL_TRUCK2"/>
      <sheetName val="Fuel_Activity2"/>
      <sheetName val="OB_per_we2"/>
      <sheetName val="Sheet1_(2)2"/>
      <sheetName val="WTF_OB_2"/>
      <sheetName val="SETTING_KELOMPOK2"/>
      <sheetName val="Galian_12"/>
      <sheetName val="BENCH_CALC1"/>
      <sheetName val="INPUT_DATA_CUTI"/>
      <sheetName val="EQ_Event"/>
      <sheetName val="Trading_Statement"/>
      <sheetName val="Base_On_WH1"/>
      <sheetName val="G&amp;LFuel_HO1"/>
      <sheetName val="PICA_HO1"/>
      <sheetName val="List_BUMA"/>
      <sheetName val="Budget_R6"/>
      <sheetName val="Budget_R7"/>
      <sheetName val="Prod_"/>
      <sheetName val="Excess_EQP"/>
      <sheetName val="DB_MP6"/>
      <sheetName val="Data_Base5"/>
      <sheetName val="Data_Opr5"/>
      <sheetName val="Data_Unit5"/>
      <sheetName val="BUMA_MP_3108128"/>
      <sheetName val="rekap_target_Blast8"/>
      <sheetName val="PA_Achievement5"/>
      <sheetName val="UA_Achievement_5"/>
      <sheetName val="Nama_Operator-Driver5"/>
      <sheetName val="week_Mar5"/>
      <sheetName val="Jam_&amp;_Cargo_Out5"/>
      <sheetName val="Cargo_In_&amp;_OLC_Performance5"/>
      <sheetName val="Cargo_Out_&amp;_BLC_Performance5"/>
      <sheetName val="ocean_voyage5"/>
      <sheetName val="Loss_time6"/>
      <sheetName val="Update_Order4"/>
      <sheetName val="DATA_BASE_FB4"/>
      <sheetName val="ORDER_TICKET4"/>
      <sheetName val="ORDER_TRAVEL4"/>
      <sheetName val="LIST_OF_MESS4"/>
      <sheetName val="Equip_ID4"/>
      <sheetName val="Data_Opr_(2)4"/>
      <sheetName val="Sales_by_customer4"/>
      <sheetName val="PrepaidTaxArt_234"/>
      <sheetName val="Detail_PS4"/>
      <sheetName val="BAI_Calculation4"/>
      <sheetName val="LIST_FUEL_TRUCK3"/>
      <sheetName val="Fuel_Activity3"/>
      <sheetName val="OB_per_we3"/>
      <sheetName val="Sheet1_(2)3"/>
      <sheetName val="WTF_OB_3"/>
      <sheetName val="SETTING_KELOMPOK3"/>
      <sheetName val="Galian_13"/>
      <sheetName val="BENCH_CALC2"/>
      <sheetName val="INPUT_DATA_CUTI1"/>
      <sheetName val="EQ_Event1"/>
      <sheetName val="Trading_Statement1"/>
      <sheetName val="Base_On_WH2"/>
      <sheetName val="G&amp;LFuel_HO2"/>
      <sheetName val="PICA_HO2"/>
      <sheetName val="List_BUMA1"/>
      <sheetName val="Budget_R61"/>
      <sheetName val="Budget_R71"/>
      <sheetName val="Prod_1"/>
      <sheetName val="Excess_EQP1"/>
      <sheetName val="DB_MP7"/>
      <sheetName val="Data_Base6"/>
      <sheetName val="Data_Opr6"/>
      <sheetName val="Data_Unit6"/>
      <sheetName val="BUMA_MP_3108129"/>
      <sheetName val="rekap_target_Blast9"/>
      <sheetName val="PA_Achievement6"/>
      <sheetName val="UA_Achievement_6"/>
      <sheetName val="Nama_Operator-Driver6"/>
      <sheetName val="week_Mar6"/>
      <sheetName val="Jam_&amp;_Cargo_Out6"/>
      <sheetName val="Cargo_In_&amp;_OLC_Performance6"/>
      <sheetName val="Cargo_Out_&amp;_BLC_Performance6"/>
      <sheetName val="ocean_voyage6"/>
      <sheetName val="Loss_time7"/>
      <sheetName val="Update_Order5"/>
      <sheetName val="DATA_BASE_FB5"/>
      <sheetName val="ORDER_TICKET5"/>
      <sheetName val="ORDER_TRAVEL5"/>
      <sheetName val="LIST_OF_MESS5"/>
      <sheetName val="Equip_ID5"/>
      <sheetName val="Data_Opr_(2)5"/>
      <sheetName val="Sales_by_customer5"/>
      <sheetName val="PrepaidTaxArt_235"/>
      <sheetName val="Detail_PS5"/>
      <sheetName val="BAI_Calculation5"/>
      <sheetName val="LIST_FUEL_TRUCK4"/>
      <sheetName val="Fuel_Activity4"/>
      <sheetName val="OB_per_we4"/>
      <sheetName val="Sheet1_(2)4"/>
      <sheetName val="WTF_OB_4"/>
      <sheetName val="SETTING_KELOMPOK4"/>
      <sheetName val="Galian_14"/>
      <sheetName val="BENCH_CALC3"/>
      <sheetName val="INPUT_DATA_CUTI2"/>
      <sheetName val="EQ_Event2"/>
      <sheetName val="Trading_Statement2"/>
      <sheetName val="Base_On_WH3"/>
      <sheetName val="G&amp;LFuel_HO3"/>
      <sheetName val="PICA_HO3"/>
      <sheetName val="List_BUMA2"/>
      <sheetName val="Budget_R62"/>
      <sheetName val="Budget_R72"/>
      <sheetName val="Prod_2"/>
      <sheetName val="Excess_EQP2"/>
      <sheetName val="Analisa Hasil"/>
      <sheetName val="Data Staff"/>
      <sheetName val="TB98,oct99&amp;sap99-WPL"/>
      <sheetName val="#REF"/>
      <sheetName val="DB_MP9"/>
      <sheetName val="Data_Base8"/>
      <sheetName val="Data_Opr8"/>
      <sheetName val="Data_Unit8"/>
      <sheetName val="BUMA_MP_31081211"/>
      <sheetName val="rekap_target_Blast11"/>
      <sheetName val="PA_Achievement8"/>
      <sheetName val="UA_Achievement_8"/>
      <sheetName val="Nama_Operator-Driver8"/>
      <sheetName val="week_Mar8"/>
      <sheetName val="Jam_&amp;_Cargo_Out8"/>
      <sheetName val="Cargo_In_&amp;_OLC_Performance8"/>
      <sheetName val="Cargo_Out_&amp;_BLC_Performance8"/>
      <sheetName val="ocean_voyage8"/>
      <sheetName val="Loss_time9"/>
      <sheetName val="Update_Order7"/>
      <sheetName val="DATA_BASE_FB7"/>
      <sheetName val="ORDER_TICKET7"/>
      <sheetName val="ORDER_TRAVEL7"/>
      <sheetName val="LIST_OF_MESS7"/>
      <sheetName val="Equip_ID7"/>
      <sheetName val="Data_Opr_(2)7"/>
      <sheetName val="Sales_by_customer7"/>
      <sheetName val="PrepaidTaxArt_237"/>
      <sheetName val="Detail_PS7"/>
      <sheetName val="BAI_Calculation7"/>
      <sheetName val="LIST_FUEL_TRUCK6"/>
      <sheetName val="Fuel_Activity6"/>
      <sheetName val="OB_per_we6"/>
      <sheetName val="Sheet1_(2)6"/>
      <sheetName val="WTF_OB_6"/>
      <sheetName val="SETTING_KELOMPOK6"/>
      <sheetName val="Galian_16"/>
      <sheetName val="BENCH_CALC5"/>
      <sheetName val="INPUT_DATA_CUTI4"/>
      <sheetName val="EQ_Event4"/>
      <sheetName val="Trading_Statement4"/>
      <sheetName val="Base_On_WH5"/>
      <sheetName val="G&amp;LFuel_HO5"/>
      <sheetName val="PICA_HO5"/>
      <sheetName val="List_BUMA4"/>
      <sheetName val="Budget_R64"/>
      <sheetName val="Budget_R74"/>
      <sheetName val="Prod_4"/>
      <sheetName val="Excess_EQP4"/>
      <sheetName val="Pos_&amp;_Kondisi_Alat1"/>
      <sheetName val="DB_MP8"/>
      <sheetName val="Data_Base7"/>
      <sheetName val="Data_Opr7"/>
      <sheetName val="Data_Unit7"/>
      <sheetName val="BUMA_MP_31081210"/>
      <sheetName val="rekap_target_Blast10"/>
      <sheetName val="PA_Achievement7"/>
      <sheetName val="UA_Achievement_7"/>
      <sheetName val="Nama_Operator-Driver7"/>
      <sheetName val="week_Mar7"/>
      <sheetName val="Jam_&amp;_Cargo_Out7"/>
      <sheetName val="Cargo_In_&amp;_OLC_Performance7"/>
      <sheetName val="Cargo_Out_&amp;_BLC_Performance7"/>
      <sheetName val="ocean_voyage7"/>
      <sheetName val="Loss_time8"/>
      <sheetName val="Update_Order6"/>
      <sheetName val="DATA_BASE_FB6"/>
      <sheetName val="ORDER_TICKET6"/>
      <sheetName val="ORDER_TRAVEL6"/>
      <sheetName val="LIST_OF_MESS6"/>
      <sheetName val="Equip_ID6"/>
      <sheetName val="Data_Opr_(2)6"/>
      <sheetName val="Sales_by_customer6"/>
      <sheetName val="PrepaidTaxArt_236"/>
      <sheetName val="Detail_PS6"/>
      <sheetName val="BAI_Calculation6"/>
      <sheetName val="LIST_FUEL_TRUCK5"/>
      <sheetName val="Fuel_Activity5"/>
      <sheetName val="OB_per_we5"/>
      <sheetName val="Sheet1_(2)5"/>
      <sheetName val="WTF_OB_5"/>
      <sheetName val="SETTING_KELOMPOK5"/>
      <sheetName val="Galian_15"/>
      <sheetName val="BENCH_CALC4"/>
      <sheetName val="INPUT_DATA_CUTI3"/>
      <sheetName val="EQ_Event3"/>
      <sheetName val="Trading_Statement3"/>
      <sheetName val="Base_On_WH4"/>
      <sheetName val="G&amp;LFuel_HO4"/>
      <sheetName val="PICA_HO4"/>
      <sheetName val="List_BUMA3"/>
      <sheetName val="Budget_R63"/>
      <sheetName val="Budget_R73"/>
      <sheetName val="Prod_3"/>
      <sheetName val="Excess_EQP3"/>
      <sheetName val="Pos_&amp;_Kondisi_Alat"/>
      <sheetName val="hirarky"/>
      <sheetName val="MASTER "/>
      <sheetName val="KPI DT"/>
      <sheetName val="KPI HE"/>
      <sheetName val="PARETO PROBLEM"/>
      <sheetName val="SENDREPORT"/>
      <sheetName val="28SENDREPORT"/>
      <sheetName val="29SENDPDF"/>
      <sheetName val="1"/>
      <sheetName val="2"/>
      <sheetName val="2SEND"/>
      <sheetName val="3"/>
      <sheetName val="4"/>
      <sheetName val="5"/>
      <sheetName val="6"/>
      <sheetName val="7"/>
      <sheetName val="8"/>
      <sheetName val="10"/>
      <sheetName val="DAILY 10 MEI 2021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"/>
      <sheetName val="25PDF"/>
      <sheetName val="24PDF"/>
      <sheetName val="16 PDF"/>
      <sheetName val="17 PDF"/>
      <sheetName val="19 PDF"/>
      <sheetName val="22PDF"/>
      <sheetName val="20 PDF"/>
      <sheetName val="PA"/>
      <sheetName val="Rekap"/>
      <sheetName val="pv"/>
      <sheetName val="Chart By Unit type"/>
      <sheetName val="FORM PRINT"/>
      <sheetName val="Sheet4"/>
      <sheetName val="compaction"/>
      <sheetName val="pabrik (2)"/>
      <sheetName val="Master_Data"/>
      <sheetName val="Ex-Rate"/>
      <sheetName val="Existing Man Power"/>
      <sheetName val="Cashflow"/>
      <sheetName val="CondDaily"/>
      <sheetName val="epei "/>
      <sheetName val="Cost Element"/>
      <sheetName val="PPJ&amp;Activity"/>
      <sheetName val="Category &amp; Loc"/>
      <sheetName val="POTO MAC"/>
      <sheetName val="Data_Staff"/>
      <sheetName val="Analisa_Hasil"/>
      <sheetName val="ob"/>
      <sheetName val="Reff"/>
      <sheetName val="Rekap Addendum"/>
      <sheetName val="TTE"/>
      <sheetName val="2018"/>
      <sheetName val="2019"/>
      <sheetName val="smu"/>
      <sheetName val="Wheel Grp"/>
      <sheetName val="Dozing Estimation"/>
      <sheetName val="Detail1"/>
      <sheetName val="JoinQMS"/>
      <sheetName val="Miner"/>
      <sheetName val="Supervisor"/>
      <sheetName val="Sheet5"/>
      <sheetName val="Sheet7"/>
      <sheetName val="Sheet9"/>
      <sheetName val="HR Detail"/>
      <sheetName val="HRPar"/>
      <sheetName val="TIMESHEET staff"/>
      <sheetName val="NewFunding"/>
      <sheetName val="Graphs"/>
      <sheetName val="RunOff"/>
      <sheetName val="Sheet29"/>
      <sheetName val="Sheet6"/>
      <sheetName val="Sheet8"/>
      <sheetName val="Sheet20"/>
      <sheetName val="Sheet12"/>
      <sheetName val="2007"/>
      <sheetName val="MH Rate"/>
      <sheetName val="Data-KPI"/>
      <sheetName val="DB_MP10"/>
      <sheetName val="Data_Base9"/>
      <sheetName val="Data_Opr9"/>
      <sheetName val="Data_Unit9"/>
      <sheetName val="BUMA_MP_31081212"/>
      <sheetName val="rekap_target_Blast12"/>
      <sheetName val="PA_Achievement9"/>
      <sheetName val="UA_Achievement_9"/>
      <sheetName val="Nama_Operator-Driver9"/>
      <sheetName val="week_Mar9"/>
      <sheetName val="Jam_&amp;_Cargo_Out9"/>
      <sheetName val="Cargo_In_&amp;_OLC_Performance9"/>
      <sheetName val="Cargo_Out_&amp;_BLC_Performance9"/>
      <sheetName val="ocean_voyage9"/>
      <sheetName val="Loss_time10"/>
      <sheetName val="Update_Order8"/>
      <sheetName val="DATA_BASE_FB8"/>
      <sheetName val="ORDER_TICKET8"/>
      <sheetName val="ORDER_TRAVEL8"/>
      <sheetName val="LIST_OF_MESS8"/>
      <sheetName val="Equip_ID8"/>
      <sheetName val="Data_Opr_(2)8"/>
      <sheetName val="Sales_by_customer8"/>
      <sheetName val="PrepaidTaxArt_238"/>
      <sheetName val="Detail_PS8"/>
      <sheetName val="BAI_Calculation8"/>
      <sheetName val="LIST_FUEL_TRUCK7"/>
      <sheetName val="Fuel_Activity7"/>
      <sheetName val="OB_per_we7"/>
      <sheetName val="Sheet1_(2)7"/>
      <sheetName val="WTF_OB_7"/>
      <sheetName val="SETTING_KELOMPOK7"/>
      <sheetName val="Galian_17"/>
      <sheetName val="BENCH_CALC6"/>
      <sheetName val="INPUT_DATA_CUTI5"/>
      <sheetName val="EQ_Event5"/>
      <sheetName val="Trading_Statement5"/>
      <sheetName val="Base_On_WH6"/>
      <sheetName val="G&amp;LFuel_HO6"/>
      <sheetName val="PICA_HO6"/>
      <sheetName val="List_BUMA5"/>
      <sheetName val="Budget_R65"/>
      <sheetName val="Budget_R75"/>
      <sheetName val="Prod_5"/>
      <sheetName val="Excess_EQP5"/>
      <sheetName val="Pos_&amp;_Kondisi_Alat2"/>
      <sheetName val="DB_MP11"/>
      <sheetName val="Data_Base10"/>
      <sheetName val="Data_Opr10"/>
      <sheetName val="Data_Unit10"/>
      <sheetName val="BUMA_MP_31081213"/>
      <sheetName val="rekap_target_Blast13"/>
      <sheetName val="PA_Achievement10"/>
      <sheetName val="UA_Achievement_10"/>
      <sheetName val="Nama_Operator-Driver10"/>
      <sheetName val="week_Mar10"/>
      <sheetName val="Jam_&amp;_Cargo_Out10"/>
      <sheetName val="Cargo_In_&amp;_OLC_Performance10"/>
      <sheetName val="Cargo_Out_&amp;_BLC_Performance10"/>
      <sheetName val="ocean_voyage10"/>
      <sheetName val="Loss_time11"/>
      <sheetName val="Update_Order9"/>
      <sheetName val="DATA_BASE_FB9"/>
      <sheetName val="ORDER_TICKET9"/>
      <sheetName val="ORDER_TRAVEL9"/>
      <sheetName val="LIST_OF_MESS9"/>
      <sheetName val="Equip_ID9"/>
      <sheetName val="Data_Opr_(2)9"/>
      <sheetName val="Sales_by_customer9"/>
      <sheetName val="PrepaidTaxArt_239"/>
      <sheetName val="Detail_PS9"/>
      <sheetName val="BAI_Calculation9"/>
      <sheetName val="LIST_FUEL_TRUCK8"/>
      <sheetName val="Fuel_Activity8"/>
      <sheetName val="OB_per_we8"/>
      <sheetName val="Sheet1_(2)8"/>
      <sheetName val="WTF_OB_8"/>
      <sheetName val="SETTING_KELOMPOK8"/>
      <sheetName val="Galian_18"/>
      <sheetName val="BENCH_CALC7"/>
      <sheetName val="INPUT_DATA_CUTI6"/>
      <sheetName val="EQ_Event6"/>
      <sheetName val="Trading_Statement6"/>
      <sheetName val="Base_On_WH7"/>
      <sheetName val="G&amp;LFuel_HO7"/>
      <sheetName val="PICA_HO7"/>
      <sheetName val="List_BUMA6"/>
      <sheetName val="Budget_R66"/>
      <sheetName val="Budget_R76"/>
      <sheetName val="Prod_6"/>
      <sheetName val="Excess_EQP6"/>
      <sheetName val="Pos_&amp;_Kondisi_Alat3"/>
      <sheetName val="Rit_Aug19"/>
      <sheetName val="MTD GainLoss"/>
      <sheetName val="lost-time"/>
      <sheetName val="TRANSFORM"/>
      <sheetName val="CREDIT"/>
      <sheetName val="Accuracy HM W5"/>
      <sheetName val="1.DATA PLAN"/>
      <sheetName val="Loss_time12"/>
      <sheetName val="DB_MP12"/>
      <sheetName val="Data_Base11"/>
      <sheetName val="BUMA_MP_31081214"/>
      <sheetName val="rekap_target_Blast14"/>
      <sheetName val="PA_Achievement11"/>
      <sheetName val="UA_Achievement_11"/>
      <sheetName val="Data_Opr11"/>
      <sheetName val="Data_Unit11"/>
      <sheetName val="Nama_Operator-Driver11"/>
      <sheetName val="week_Mar11"/>
      <sheetName val="Jam_&amp;_Cargo_Out11"/>
      <sheetName val="Cargo_In_&amp;_OLC_Performance11"/>
      <sheetName val="Cargo_Out_&amp;_BLC_Performance11"/>
      <sheetName val="ocean_voyage11"/>
      <sheetName val="Sales_by_customer10"/>
      <sheetName val="Update_Order10"/>
      <sheetName val="DATA_BASE_FB10"/>
      <sheetName val="ORDER_TICKET10"/>
      <sheetName val="ORDER_TRAVEL10"/>
      <sheetName val="LIST_OF_MESS10"/>
      <sheetName val="BAI_Calculation10"/>
      <sheetName val="LIST_FUEL_TRUCK9"/>
      <sheetName val="Data_Opr_(2)10"/>
      <sheetName val="Equip_ID10"/>
      <sheetName val="PrepaidTaxArt_2310"/>
      <sheetName val="Detail_PS10"/>
      <sheetName val="Fuel_Activity9"/>
      <sheetName val="Galian_19"/>
      <sheetName val="Pos_&amp;_Kondisi_Alat4"/>
      <sheetName val="OB_per_we9"/>
      <sheetName val="Sheet1_(2)9"/>
      <sheetName val="Trading_Statement7"/>
      <sheetName val="Base_On_WH8"/>
      <sheetName val="G&amp;LFuel_HO8"/>
      <sheetName val="PICA_HO8"/>
      <sheetName val="List_BUMA7"/>
      <sheetName val="Budget_R67"/>
      <sheetName val="Budget_R77"/>
      <sheetName val="Prod_7"/>
      <sheetName val="Excess_EQP7"/>
      <sheetName val="WTF_OB_9"/>
      <sheetName val="SETTING_KELOMPOK9"/>
      <sheetName val="BENCH_CALC8"/>
      <sheetName val="EQ_Event7"/>
      <sheetName val="INPUT_DATA_CUTI7"/>
      <sheetName val="Analisa_Hasil1"/>
      <sheetName val="Data_Staff1"/>
      <sheetName val="MASTER_"/>
      <sheetName val="KPI_DT"/>
      <sheetName val="KPI_HE"/>
      <sheetName val="PARETO_PROBLEM"/>
      <sheetName val="DAILY_10_MEI_2021"/>
      <sheetName val="16_PDF"/>
      <sheetName val="17_PDF"/>
      <sheetName val="19_PDF"/>
      <sheetName val="20_PDF"/>
      <sheetName val="Chart_By_Unit_type"/>
      <sheetName val="FORM_PRINT"/>
      <sheetName val="pabrik_(2)"/>
      <sheetName val="Cost_Element"/>
      <sheetName val="Category_&amp;_Loc"/>
      <sheetName val="Existing_Man_Power"/>
      <sheetName val="epei_"/>
      <sheetName val="Perm__Test"/>
      <sheetName val="Wheel_Grp"/>
      <sheetName val="Dozing_Estimation"/>
      <sheetName val="HR_Detail"/>
      <sheetName val="TIMESHEET_staff"/>
      <sheetName val="MH_Rate"/>
      <sheetName val="MTD_GainLoss"/>
      <sheetName val="POTO_MAC"/>
      <sheetName val="Rekap_Addendum"/>
      <sheetName val="98년차_XLS"/>
      <sheetName val="POPULATION UNIT"/>
      <sheetName val="WEEK 1"/>
      <sheetName val="WEEK 2"/>
      <sheetName val="WEEK 3"/>
      <sheetName val="WEEK 4"/>
      <sheetName val="SUMMARY"/>
      <sheetName val="Summary Performance unit"/>
      <sheetName val="Monitoring Dayli Prod'ty"/>
      <sheetName val="assets"/>
      <sheetName val="Prod'ty DT"/>
      <sheetName val="POPULATION_UNIT"/>
      <sheetName val="WEEK_1"/>
      <sheetName val="WEEK_2"/>
      <sheetName val="WEEK_3"/>
      <sheetName val="WEEK_4"/>
      <sheetName val="Summary_Performance_unit"/>
      <sheetName val="Monitoring_Dayli_Prod'ty"/>
      <sheetName val="Prod'ty_DT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RAFT"/>
      <sheetName val="Kode"/>
      <sheetName val="Hujan"/>
      <sheetName val="02"/>
      <sheetName val="P'DPTAN &amp; BEBAN LAIN2"/>
      <sheetName val="070108"/>
      <sheetName val="BULAN 1"/>
      <sheetName val="ORang"/>
      <sheetName val="BAHAN"/>
      <sheetName val="MASTER SIA"/>
      <sheetName val="Dbase"/>
      <sheetName val="DIV.1"/>
      <sheetName val="DIV_1"/>
      <sheetName val="Nama_Operator-Driver12"/>
      <sheetName val="Loss_time13"/>
      <sheetName val="DB_MP13"/>
      <sheetName val="Data_Base12"/>
      <sheetName val="PA_Achievement12"/>
      <sheetName val="UA_Achievement_12"/>
      <sheetName val="week_Mar12"/>
      <sheetName val="BUMA_MP_31081215"/>
      <sheetName val="rekap_target_Blast15"/>
      <sheetName val="Data_Opr12"/>
      <sheetName val="Data_Unit12"/>
      <sheetName val="ocean_voyage12"/>
      <sheetName val="Jam_&amp;_Cargo_Out12"/>
      <sheetName val="Cargo_In_&amp;_OLC_Performance12"/>
      <sheetName val="Cargo_Out_&amp;_BLC_Performance12"/>
      <sheetName val="Sales_by_customer11"/>
      <sheetName val="Update_Order11"/>
      <sheetName val="DATA_BASE_FB11"/>
      <sheetName val="ORDER_TICKET11"/>
      <sheetName val="ORDER_TRAVEL11"/>
      <sheetName val="LIST_OF_MESS11"/>
      <sheetName val="WTF_OB_10"/>
      <sheetName val="SETTING_KELOMPOK10"/>
      <sheetName val="Data_Opr_(2)11"/>
      <sheetName val="Equip_ID11"/>
      <sheetName val="PrepaidTaxArt_2311"/>
      <sheetName val="Detail_PS11"/>
      <sheetName val="BAI_Calculation11"/>
      <sheetName val="LIST_FUEL_TRUCK10"/>
      <sheetName val="Fuel_Activity10"/>
      <sheetName val="Galian_110"/>
      <sheetName val="Pos_&amp;_Kondisi_Alat5"/>
      <sheetName val="OB_per_we10"/>
      <sheetName val="Sheet1_(2)10"/>
      <sheetName val="Trading_Statement8"/>
      <sheetName val="Base_On_WH9"/>
      <sheetName val="G&amp;LFuel_HO9"/>
      <sheetName val="PICA_HO9"/>
      <sheetName val="List_BUMA8"/>
      <sheetName val="Budget_R68"/>
      <sheetName val="Budget_R78"/>
      <sheetName val="Prod_8"/>
      <sheetName val="Excess_EQP8"/>
      <sheetName val="BENCH_CALC9"/>
      <sheetName val="EQ_Event8"/>
      <sheetName val="INPUT_DATA_CUTI8"/>
      <sheetName val="Existing_Man_Power1"/>
      <sheetName val="Analisa_Hasil2"/>
      <sheetName val="Data_Staff2"/>
      <sheetName val="MASTER_1"/>
      <sheetName val="KPI_DT1"/>
      <sheetName val="KPI_HE1"/>
      <sheetName val="PARETO_PROBLEM1"/>
      <sheetName val="DAILY_10_MEI_20211"/>
      <sheetName val="16_PDF1"/>
      <sheetName val="17_PDF1"/>
      <sheetName val="19_PDF1"/>
      <sheetName val="20_PDF1"/>
      <sheetName val="Chart_By_Unit_type1"/>
      <sheetName val="FORM_PRINT1"/>
      <sheetName val="epei_1"/>
      <sheetName val="Cost_Element1"/>
      <sheetName val="Category_&amp;_Loc1"/>
      <sheetName val="pabrik_(2)1"/>
      <sheetName val="Perm__Test1"/>
      <sheetName val="Wheel_Grp1"/>
      <sheetName val="Dozing_Estimation1"/>
      <sheetName val="HR_Detail1"/>
      <sheetName val="TIMESHEET_staff1"/>
      <sheetName val="MH_Rate1"/>
      <sheetName val="MTD_GainLoss1"/>
      <sheetName val="POTO_MAC1"/>
      <sheetName val="Rekap_Addendum1"/>
      <sheetName val="98년차_XLS1"/>
      <sheetName val="bp1_23"/>
      <sheetName val="name"/>
      <sheetName val="WORKING"/>
      <sheetName val="Premi Iuran"/>
      <sheetName val="Div2"/>
      <sheetName val="Summary MTU"/>
      <sheetName val="Pemenuhan MTU"/>
      <sheetName val="SD"/>
      <sheetName val="Lists"/>
      <sheetName val="4_Analysis"/>
      <sheetName val="INPUTS"/>
      <sheetName val="GD_actuals"/>
      <sheetName val="7x"/>
      <sheetName val="8x"/>
      <sheetName val="3x"/>
      <sheetName val="2x"/>
      <sheetName val="9x"/>
      <sheetName val="4x"/>
      <sheetName val="6x"/>
      <sheetName val="Annual-Plan-1998-A-US$-Rupiah-F"/>
      <sheetName val="IRR sponsor"/>
      <sheetName val="RefG"/>
      <sheetName val="Index"/>
      <sheetName val="Penyebab Langsung "/>
      <sheetName val="Dump Capacity"/>
      <sheetName val="SEX"/>
      <sheetName val="Unit List"/>
      <sheetName val="Analisa_Hasil3"/>
      <sheetName val="Data_Staff3"/>
      <sheetName val="Perm__Test2"/>
      <sheetName val="Wheel_Grp2"/>
      <sheetName val="Dozing_Estimation2"/>
      <sheetName val="HR_Detail2"/>
      <sheetName val="TIMESHEET_staff2"/>
      <sheetName val="MH_Rate2"/>
      <sheetName val="98년차_XLS2"/>
      <sheetName val="pabrik_(2)2"/>
      <sheetName val="Rekap_Addendum2"/>
      <sheetName val="MASTER_2"/>
      <sheetName val="KPI_DT2"/>
      <sheetName val="KPI_HE2"/>
      <sheetName val="PARETO_PROBLEM2"/>
      <sheetName val="DAILY_10_MEI_20212"/>
      <sheetName val="16_PDF2"/>
      <sheetName val="17_PDF2"/>
      <sheetName val="19_PDF2"/>
      <sheetName val="20_PDF2"/>
      <sheetName val="Chart_By_Unit_type2"/>
      <sheetName val="FORM_PRINT2"/>
      <sheetName val="POTO_MAC2"/>
      <sheetName val="Analisa_Hasil4"/>
      <sheetName val="Data_Staff4"/>
      <sheetName val="Perm__Test3"/>
      <sheetName val="Wheel_Grp3"/>
      <sheetName val="Dozing_Estimation3"/>
      <sheetName val="HR_Detail3"/>
      <sheetName val="TIMESHEET_staff3"/>
      <sheetName val="MH_Rate3"/>
      <sheetName val="98년차_XLS3"/>
      <sheetName val="pabrik_(2)3"/>
      <sheetName val="Rekap_Addendum3"/>
      <sheetName val="MASTER_3"/>
      <sheetName val="KPI_DT3"/>
      <sheetName val="KPI_HE3"/>
      <sheetName val="PARETO_PROBLEM3"/>
      <sheetName val="DAILY_10_MEI_20213"/>
      <sheetName val="16_PDF3"/>
      <sheetName val="17_PDF3"/>
      <sheetName val="19_PDF3"/>
      <sheetName val="20_PDF3"/>
      <sheetName val="Chart_By_Unit_type3"/>
      <sheetName val="FORM_PRINT3"/>
      <sheetName val="POTO_MAC3"/>
      <sheetName val="SAPDb"/>
      <sheetName val="OpRev"/>
      <sheetName val="Taxation"/>
      <sheetName val="Tabel stock"/>
      <sheetName val="Lembur (ok)"/>
      <sheetName val="POP UNIT"/>
      <sheetName val="SUMMARY MAIN PRO"/>
      <sheetName val="REPORT01"/>
      <sheetName val="DRILLBLAST"/>
      <sheetName val="ACT HAUL"/>
      <sheetName val="ACT OB"/>
      <sheetName val="ACT COAL"/>
      <sheetName val="COAL CRUSH PLAN"/>
      <sheetName val=" COAL MINE PLAN"/>
      <sheetName val="ACT DIRTY COAL"/>
      <sheetName val=" OB PLAN"/>
      <sheetName val="Ktd"/>
      <sheetName val="Rain &amp; Slippery Method"/>
      <sheetName val=" SAF 02"/>
      <sheetName val="SP"/>
      <sheetName val="distance_coal"/>
      <sheetName val="Tyre Life Time"/>
      <sheetName val="NEW"/>
      <sheetName val="STATUS UNIT"/>
      <sheetName val="RM Cost"/>
      <sheetName val="Tyre_Life_Time1"/>
      <sheetName val="Tyre_Life_Time"/>
      <sheetName val="Attendance Ratio"/>
      <sheetName val="-REF-"/>
      <sheetName val="Revenue"/>
      <sheetName val="Detail"/>
      <sheetName val="PE"/>
      <sheetName val="Distance Pit-TSP to WBM"/>
      <sheetName val="Distance Pit-PSG to BJM"/>
      <sheetName val="Distance Pit-TSP to BJM"/>
      <sheetName val="Operation - Prod"/>
      <sheetName val="Ritase"/>
      <sheetName val="7NS"/>
      <sheetName val="CALC"/>
      <sheetName val="LIST NEW"/>
      <sheetName val="POPUN"/>
      <sheetName val="sbl"/>
      <sheetName val="PT"/>
      <sheetName val="COA"/>
      <sheetName val="#REF!"/>
      <sheetName val="UNIT EXISTING"/>
      <sheetName val="Record Problem"/>
      <sheetName val="Print (4)"/>
      <sheetName val="LPA OB"/>
      <sheetName val="Operation_-_Prod"/>
      <sheetName val="Attendance_Ratio"/>
      <sheetName val="UNIT_EXISTING"/>
      <sheetName val="Record_Problem"/>
      <sheetName val="Print_(4)"/>
      <sheetName val="LPA_OB"/>
      <sheetName val="Operation_-_Prod1"/>
      <sheetName val="Attendance_Ratio1"/>
      <sheetName val="UNIT_EXISTING1"/>
      <sheetName val="Record_Problem1"/>
      <sheetName val="Print_(4)1"/>
      <sheetName val="LPA_OB1"/>
      <sheetName val="STATUS_UNIT"/>
      <sheetName val="RM_Cost"/>
      <sheetName val="Petrosea"/>
      <sheetName val="EX572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Tyre_Life_Time2"/>
      <sheetName val="Operation_-_Prod2"/>
      <sheetName val="Attendance_Ratio2"/>
      <sheetName val="UNIT_EXISTING2"/>
      <sheetName val="Record_Problem2"/>
      <sheetName val="Print_(4)2"/>
      <sheetName val="LPA_OB2"/>
      <sheetName val="STATUS_UNIT1"/>
      <sheetName val="RM_Cost1"/>
      <sheetName val="Truck_Count"/>
      <sheetName val="Joint_Survey_Actual"/>
      <sheetName val="Budget Cash Out"/>
      <sheetName val="dbase EGI"/>
      <sheetName val="RATE"/>
      <sheetName val="Maret"/>
      <sheetName val="CLAIM EMBUNG"/>
      <sheetName val="Rekapitulasi Fuel"/>
      <sheetName val="tabel"/>
      <sheetName val="Produksi"/>
      <sheetName val="Asumsi"/>
      <sheetName val="DATA_B"/>
      <sheetName val="TARIF"/>
      <sheetName val="IBS 2012"/>
      <sheetName val="PRINT CLAIM KPP"/>
      <sheetName val="01"/>
      <sheetName val="list data"/>
      <sheetName val="dummy"/>
      <sheetName val="SC"/>
      <sheetName val="CONSOLE"/>
      <sheetName val="Setting Unit"/>
      <sheetName val="Helper"/>
      <sheetName val="Day &amp; Date"/>
      <sheetName val="Master (2)"/>
      <sheetName val="Tyre_Life_Time3"/>
      <sheetName val="Operation_-_Prod3"/>
      <sheetName val="Attendance_Ratio3"/>
      <sheetName val="UNIT_EXISTING3"/>
      <sheetName val="Record_Problem3"/>
      <sheetName val="Print_(4)3"/>
      <sheetName val="LPA_OB3"/>
      <sheetName val="STATUS_UNIT2"/>
      <sheetName val="RM_Cost2"/>
      <sheetName val="Truck_Count1"/>
      <sheetName val="Joint_Survey_Actual1"/>
      <sheetName val="Budget_Cash_Out"/>
      <sheetName val="dbase_EGI"/>
      <sheetName val="CLAIM_EMBUNG"/>
      <sheetName val="IBS_2012"/>
      <sheetName val="PRINT_CLAIM_KPP"/>
      <sheetName val="list_data"/>
      <sheetName val="Validation"/>
      <sheetName val="Setting"/>
      <sheetName val="WFOB"/>
      <sheetName val="DATE &amp; WEEK SETT"/>
      <sheetName val="Setting_Unit"/>
      <sheetName val="Day_&amp;_Date"/>
      <sheetName val="LIST_NEW"/>
      <sheetName val="Distance_Pit-TSP_to_WBM"/>
      <sheetName val="Distance_Pit-PSG_to_BJM"/>
      <sheetName val="Distance_Pit-TSP_to_BJM"/>
      <sheetName val="Master2"/>
      <sheetName val="poductvty JAN"/>
      <sheetName val="DATA BASE UNIT"/>
      <sheetName val="M_POP"/>
      <sheetName val="Master activity WBS "/>
      <sheetName val="FR MTD"/>
      <sheetName val="DB MANPOWER"/>
      <sheetName val="Master Unit"/>
      <sheetName val="Check Poin Apa"/>
      <sheetName val="DAY"/>
      <sheetName val="Prod"/>
      <sheetName val="OLIE"/>
      <sheetName val="Avail"/>
      <sheetName val="PIT BBP TO SP MB-AL"/>
      <sheetName val="Highlight"/>
      <sheetName val="ESCON"/>
      <sheetName val="MP1"/>
      <sheetName val="Forecast"/>
      <sheetName val="I_KAMAR"/>
      <sheetName val="C1 NOV"/>
      <sheetName val="Ex_Rate"/>
      <sheetName val="GRAFIC_OB"/>
      <sheetName val="GRAFIC_COAL"/>
      <sheetName val="list_unit1"/>
      <sheetName val="Setting_Unit1"/>
      <sheetName val="Day_&amp;_Date1"/>
      <sheetName val="LIST_NEW1"/>
      <sheetName val="DATA_BASE_UNIT"/>
      <sheetName val="Tools"/>
      <sheetName val="M_POP (2)"/>
      <sheetName val="Leasing Acct"/>
      <sheetName val="RAPORT TINGKAT GAGAL"/>
      <sheetName val="Raw Data Cost"/>
      <sheetName val="ob+co"/>
      <sheetName val="TEMPLATE POSITION"/>
      <sheetName val="UA_PA"/>
      <sheetName val="Productivity"/>
      <sheetName val="Coal_per_block"/>
      <sheetName val="Blasting_per_block"/>
      <sheetName val="Daily Report"/>
      <sheetName val="Weekly_DEJ"/>
      <sheetName val="Overall_plan"/>
      <sheetName val="BRM"/>
      <sheetName val="RainSlipp_Weight"/>
      <sheetName val="pittonsp"/>
      <sheetName val="crushnsp"/>
      <sheetName val="KM91"/>
      <sheetName val="Graf_Rain"/>
      <sheetName val="LINK"/>
      <sheetName val="IBS"/>
      <sheetName val="MARCO"/>
      <sheetName val="WASHCO"/>
      <sheetName val="Project Report"/>
      <sheetName val="D_Base"/>
      <sheetName val="Anal Koef"/>
      <sheetName val="Letter"/>
      <sheetName val="Paretto PDTY"/>
      <sheetName val="WF OB"/>
      <sheetName val="EPR WEEKLY"/>
      <sheetName val="Base data"/>
      <sheetName val="DATA BASE ENG"/>
      <sheetName val="March-april (2)"/>
      <sheetName val="Lamp 1"/>
      <sheetName val="Lamp 2"/>
      <sheetName val="Lamp 3"/>
      <sheetName val="BASE"/>
      <sheetName val="IVT TTB"/>
      <sheetName val="inventory timbau"/>
      <sheetName val="SP 4 CUMULATIVE"/>
      <sheetName val="SP 1 CUMULATIVE"/>
      <sheetName val="SP 3 CUMULATIVE"/>
      <sheetName val="Row Data"/>
      <sheetName val="MF"/>
      <sheetName val="UA_PA DZ"/>
      <sheetName val="UA_PA GR"/>
      <sheetName val="UA_PA PC"/>
      <sheetName val="UA_PA HM400"/>
      <sheetName val="UA_PA HD4657"/>
      <sheetName val="UA_PA HD7857"/>
      <sheetName val="UA_PA HD7857 (2)"/>
      <sheetName val="UA_PA P380"/>
      <sheetName val="Productivity PC_WR"/>
      <sheetName val="Productivity PC 800_CC"/>
      <sheetName val="Productivity HM400"/>
      <sheetName val="Productivity HD4657"/>
      <sheetName val="Productivity HD7857"/>
      <sheetName val="Coal_per_Hauling"/>
      <sheetName val="Coal_Hauling"/>
      <sheetName val="Overburden_Actual"/>
      <sheetName val="Act_cost"/>
      <sheetName val="Rental"/>
      <sheetName val="EXA"/>
      <sheetName val="CONTROL"/>
      <sheetName val="Rain"/>
      <sheetName val="Rain Fall pit"/>
      <sheetName val="Safety 2"/>
      <sheetName val="usage"/>
      <sheetName val="WASTE"/>
      <sheetName val="All Stockpile PT. GPS"/>
      <sheetName val="BA EMBUNG S1"/>
      <sheetName val="DT"/>
      <sheetName val="A2B"/>
      <sheetName val="cHECKER"/>
      <sheetName val="Master Data"/>
      <sheetName val="Unit Database"/>
      <sheetName val="PT. SRIWIJAYA LINTAS RAYA"/>
      <sheetName val="ALL HAULING_Maret"/>
      <sheetName val="ALL HAULING_April"/>
      <sheetName val="ALL HAULING_Mei"/>
      <sheetName val="ALL HAULING_Juni"/>
      <sheetName val="ALL HAULING_Juli "/>
      <sheetName val="ALL HAULING_Agustus "/>
      <sheetName val="DATA ERROR DATA VOID_AGUSTUS "/>
      <sheetName val="DATA ERROR DATA VOID_JULI "/>
      <sheetName val="DATA ERROR DATA VOID_JUNI"/>
      <sheetName val="DATA ERROR DATA VOID_MEI"/>
      <sheetName val="DATA ERROR DATA VOID_APRIL"/>
      <sheetName val="DATA ERROR DATA VOID_maret "/>
      <sheetName val="Kuota Epi &amp; 107"/>
      <sheetName val="ALL HAULING_September"/>
      <sheetName val="DATA ERROR DATA VOID_SEPTEMBER"/>
      <sheetName val="Sales Seasonality by Month"/>
      <sheetName val="Waterflow OB"/>
      <sheetName val="Plan.Reg"/>
      <sheetName val="RAPORT PERFORMANCE"/>
      <sheetName val="Cost Code"/>
      <sheetName val="Pivot Control Volume"/>
      <sheetName val="Central DB"/>
      <sheetName val="HM UNIT"/>
      <sheetName val="Breakdown"/>
      <sheetName val="Pivot Ritase BSI"/>
      <sheetName val="DMR BSI"/>
      <sheetName val="DMR Total"/>
      <sheetName val="HM SUPPORT  MMS"/>
      <sheetName val="CAT D10R_3KR"/>
      <sheetName val="PEXFEE"/>
      <sheetName val="Trand Weekly"/>
      <sheetName val="MAJOR ISSUE"/>
      <sheetName val="BUMA_MP_31081216"/>
      <sheetName val="rekap_target_Blast16"/>
      <sheetName val="ocean_voyage13"/>
      <sheetName val="PA_Achievement13"/>
      <sheetName val="UA_Achievement_13"/>
      <sheetName val="DB_MP14"/>
      <sheetName val="Data_Base13"/>
      <sheetName val="Nama_Operator-Driver13"/>
      <sheetName val="week_Mar13"/>
      <sheetName val="Loss_time14"/>
      <sheetName val="PrepaidTaxArt_2312"/>
      <sheetName val="Detail_PS12"/>
      <sheetName val="OB_per_we11"/>
      <sheetName val="Sheet1_(2)11"/>
      <sheetName val="Trading_Statement9"/>
      <sheetName val="Base_On_WH10"/>
      <sheetName val="G&amp;LFuel_HO10"/>
      <sheetName val="PICA_HO10"/>
      <sheetName val="List_BUMA9"/>
      <sheetName val="Budget_R69"/>
      <sheetName val="Budget_R79"/>
      <sheetName val="Prod_9"/>
      <sheetName val="Excess_EQP9"/>
      <sheetName val="Data_Opr13"/>
      <sheetName val="Data_Unit13"/>
      <sheetName val="Jam_&amp;_Cargo_Out13"/>
      <sheetName val="Cargo_In_&amp;_OLC_Performance13"/>
      <sheetName val="Cargo_Out_&amp;_BLC_Performance13"/>
      <sheetName val="Update_Order12"/>
      <sheetName val="DATA_BASE_FB12"/>
      <sheetName val="ORDER_TICKET12"/>
      <sheetName val="ORDER_TRAVEL12"/>
      <sheetName val="LIST_OF_MESS12"/>
      <sheetName val="Data_Opr_(2)12"/>
      <sheetName val="Sales_by_customer12"/>
      <sheetName val="Equip_ID12"/>
      <sheetName val="BAI_Calculation12"/>
      <sheetName val="LIST_FUEL_TRUCK11"/>
      <sheetName val="Fuel_Activity11"/>
      <sheetName val="WTF_OB_11"/>
      <sheetName val="SETTING_KELOMPOK11"/>
      <sheetName val="Galian_111"/>
      <sheetName val="BENCH_CALC10"/>
      <sheetName val="INPUT_DATA_CUTI9"/>
      <sheetName val="EQ_Event9"/>
      <sheetName val="Pos_&amp;_Kondisi_Alat6"/>
      <sheetName val="Existing_Man_Power2"/>
      <sheetName val="epei_2"/>
      <sheetName val="Cost_Element2"/>
      <sheetName val="Category_&amp;_Loc2"/>
      <sheetName val="1_DATA_PLAN"/>
      <sheetName val="MTD_GainLoss2"/>
      <sheetName val="P'DPTAN_&amp;_BEBAN_LAIN2"/>
      <sheetName val="Accuracy_HM_W5"/>
      <sheetName val="POPULATION_UNIT1"/>
      <sheetName val="WEEK_11"/>
      <sheetName val="WEEK_21"/>
      <sheetName val="WEEK_31"/>
      <sheetName val="WEEK_41"/>
      <sheetName val="Summary_Performance_unit1"/>
      <sheetName val="Monitoring_Dayli_Prod'ty1"/>
      <sheetName val="Prod'ty_DT1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Rincian_Iuran"/>
      <sheetName val="MASTER_SIA"/>
      <sheetName val="BULAN_1"/>
      <sheetName val="Dump_Capacity"/>
      <sheetName val="Unit_List"/>
      <sheetName val="Penyebab_Langsung_"/>
      <sheetName val="Lembur_(ok)"/>
      <sheetName val="DIV_11"/>
      <sheetName val="POP_UNIT"/>
      <sheetName val="SUMMARY_MAIN_PRO"/>
      <sheetName val="DB Apr 2011"/>
      <sheetName val="SUM-IN"/>
      <sheetName val="Service Invoice"/>
      <sheetName val="REPORT"/>
      <sheetName val="BUMA_MP_31081217"/>
      <sheetName val="rekap_target_Blast17"/>
      <sheetName val="ocean_voyage14"/>
      <sheetName val="PA_Achievement14"/>
      <sheetName val="UA_Achievement_14"/>
      <sheetName val="DB_MP15"/>
      <sheetName val="Data_Base14"/>
      <sheetName val="Nama_Operator-Driver14"/>
      <sheetName val="week_Mar14"/>
      <sheetName val="Loss_time15"/>
      <sheetName val="PrepaidTaxArt_2313"/>
      <sheetName val="Detail_PS13"/>
      <sheetName val="OB_per_we12"/>
      <sheetName val="Sheet1_(2)12"/>
      <sheetName val="Trading_Statement10"/>
      <sheetName val="Base_On_WH11"/>
      <sheetName val="G&amp;LFuel_HO11"/>
      <sheetName val="PICA_HO11"/>
      <sheetName val="List_BUMA10"/>
      <sheetName val="Budget_R610"/>
      <sheetName val="Budget_R710"/>
      <sheetName val="Prod_10"/>
      <sheetName val="Excess_EQP10"/>
      <sheetName val="Data_Staff5"/>
      <sheetName val="Analisa_Hasil5"/>
      <sheetName val="pabrik_(2)4"/>
      <sheetName val="Data_Opr14"/>
      <sheetName val="Data_Unit14"/>
      <sheetName val="Jam_&amp;_Cargo_Out14"/>
      <sheetName val="Cargo_In_&amp;_OLC_Performance14"/>
      <sheetName val="Cargo_Out_&amp;_BLC_Performance14"/>
      <sheetName val="Update_Order13"/>
      <sheetName val="DATA_BASE_FB13"/>
      <sheetName val="ORDER_TICKET13"/>
      <sheetName val="ORDER_TRAVEL13"/>
      <sheetName val="LIST_OF_MESS13"/>
      <sheetName val="Data_Opr_(2)13"/>
      <sheetName val="Sales_by_customer13"/>
      <sheetName val="Equip_ID13"/>
      <sheetName val="BAI_Calculation13"/>
      <sheetName val="LIST_FUEL_TRUCK12"/>
      <sheetName val="Fuel_Activity12"/>
      <sheetName val="WTF_OB_12"/>
      <sheetName val="SETTING_KELOMPOK12"/>
      <sheetName val="Galian_112"/>
      <sheetName val="BENCH_CALC11"/>
      <sheetName val="INPUT_DATA_CUTI10"/>
      <sheetName val="EQ_Event10"/>
      <sheetName val="Pos_&amp;_Kondisi_Alat7"/>
      <sheetName val="Rekap_Addendum4"/>
      <sheetName val="POTO_MAC4"/>
      <sheetName val="Perm__Test4"/>
      <sheetName val="Wheel_Grp4"/>
      <sheetName val="Dozing_Estimation4"/>
      <sheetName val="HR_Detail4"/>
      <sheetName val="TIMESHEET_staff4"/>
      <sheetName val="MH_Rate4"/>
      <sheetName val="MASTER_4"/>
      <sheetName val="KPI_DT4"/>
      <sheetName val="KPI_HE4"/>
      <sheetName val="PARETO_PROBLEM4"/>
      <sheetName val="DAILY_10_MEI_20214"/>
      <sheetName val="16_PDF4"/>
      <sheetName val="17_PDF4"/>
      <sheetName val="19_PDF4"/>
      <sheetName val="20_PDF4"/>
      <sheetName val="Chart_By_Unit_type4"/>
      <sheetName val="FORM_PRINT4"/>
      <sheetName val="Existing_Man_Power3"/>
      <sheetName val="epei_3"/>
      <sheetName val="Cost_Element3"/>
      <sheetName val="Category_&amp;_Loc3"/>
      <sheetName val="1_DATA_PLAN1"/>
      <sheetName val="98년차_XLS4"/>
      <sheetName val="MTD_GainLoss3"/>
      <sheetName val="P'DPTAN_&amp;_BEBAN_LAIN21"/>
      <sheetName val="Accuracy_HM_W51"/>
      <sheetName val="POPULATION_UNIT2"/>
      <sheetName val="WEEK_12"/>
      <sheetName val="WEEK_22"/>
      <sheetName val="WEEK_32"/>
      <sheetName val="WEEK_42"/>
      <sheetName val="Summary_Performance_unit2"/>
      <sheetName val="Monitoring_Dayli_Prod'ty2"/>
      <sheetName val="Prod'ty_DT2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Rincian_Iuran1"/>
      <sheetName val="MASTER_SIA1"/>
      <sheetName val="BULAN_11"/>
      <sheetName val="Dump_Capacity1"/>
      <sheetName val="Unit_List1"/>
      <sheetName val="Penyebab_Langsung_1"/>
      <sheetName val="POP_UNIT1"/>
      <sheetName val="SUMMARY_MAIN_PRO1"/>
      <sheetName val="Lembur_(ok)1"/>
      <sheetName val="DIV_12"/>
      <sheetName val="Premi_Iuran"/>
      <sheetName val="Summary_MTU"/>
      <sheetName val="Pemenuhan_MTU"/>
      <sheetName val="DB_Apr_2011"/>
      <sheetName val="Service_Invoice"/>
      <sheetName val="Tabel_stock"/>
      <sheetName val="IRR_sponsor"/>
      <sheetName val="CBD"/>
      <sheetName val="infra"/>
      <sheetName val="BEFORE ALLOCATION"/>
      <sheetName val="FPJr2"/>
      <sheetName val="Ch"/>
      <sheetName val="Dates"/>
      <sheetName val="ZMC5042R"/>
      <sheetName val="Coal Hauler"/>
      <sheetName val="Coal Loader"/>
      <sheetName val="Result Summar"/>
      <sheetName val="OB Hauler"/>
      <sheetName val="OB Loader"/>
      <sheetName val="Other"/>
      <sheetName val="Support"/>
      <sheetName val="Plan Week "/>
      <sheetName val="BUMA_MP_31081218"/>
      <sheetName val="rekap_target_Blast18"/>
      <sheetName val="ocean_voyage15"/>
      <sheetName val="PA_Achievement15"/>
      <sheetName val="UA_Achievement_15"/>
      <sheetName val="DB_MP16"/>
      <sheetName val="Data_Base15"/>
      <sheetName val="Nama_Operator-Driver15"/>
      <sheetName val="week_Mar15"/>
      <sheetName val="Loss_time16"/>
      <sheetName val="PrepaidTaxArt_2314"/>
      <sheetName val="Detail_PS14"/>
      <sheetName val="OB_per_we13"/>
      <sheetName val="Sheet1_(2)13"/>
      <sheetName val="Trading_Statement11"/>
      <sheetName val="Base_On_WH12"/>
      <sheetName val="G&amp;LFuel_HO12"/>
      <sheetName val="PICA_HO12"/>
      <sheetName val="List_BUMA11"/>
      <sheetName val="Budget_R611"/>
      <sheetName val="Budget_R711"/>
      <sheetName val="Prod_11"/>
      <sheetName val="Excess_EQP11"/>
      <sheetName val="Data_Opr15"/>
      <sheetName val="Data_Unit15"/>
      <sheetName val="Jam_&amp;_Cargo_Out15"/>
      <sheetName val="Cargo_In_&amp;_OLC_Performance15"/>
      <sheetName val="Cargo_Out_&amp;_BLC_Performance15"/>
      <sheetName val="Update_Order14"/>
      <sheetName val="DATA_BASE_FB14"/>
      <sheetName val="ORDER_TICKET14"/>
      <sheetName val="ORDER_TRAVEL14"/>
      <sheetName val="LIST_OF_MESS14"/>
      <sheetName val="Data_Opr_(2)14"/>
      <sheetName val="Sales_by_customer14"/>
      <sheetName val="Equip_ID14"/>
      <sheetName val="BAI_Calculation14"/>
      <sheetName val="LIST_FUEL_TRUCK13"/>
      <sheetName val="Fuel_Activity13"/>
      <sheetName val="WTF_OB_13"/>
      <sheetName val="SETTING_KELOMPOK13"/>
      <sheetName val="Galian_113"/>
      <sheetName val="BENCH_CALC12"/>
      <sheetName val="INPUT_DATA_CUTI11"/>
      <sheetName val="EQ_Event11"/>
      <sheetName val="Pos_&amp;_Kondisi_Alat8"/>
      <sheetName val="Existing_Man_Power4"/>
      <sheetName val="epei_4"/>
      <sheetName val="Cost_Element4"/>
      <sheetName val="Category_&amp;_Loc4"/>
      <sheetName val="1_DATA_PLAN2"/>
      <sheetName val="MTD_GainLoss4"/>
      <sheetName val="P'DPTAN_&amp;_BEBAN_LAIN22"/>
      <sheetName val="Accuracy_HM_W52"/>
      <sheetName val="POPULATION_UNIT3"/>
      <sheetName val="WEEK_13"/>
      <sheetName val="WEEK_23"/>
      <sheetName val="WEEK_33"/>
      <sheetName val="WEEK_43"/>
      <sheetName val="Summary_Performance_unit3"/>
      <sheetName val="Monitoring_Dayli_Prod'ty3"/>
      <sheetName val="Prod'ty_DT3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Rincian_Iuran2"/>
      <sheetName val="MASTER_SIA2"/>
      <sheetName val="BULAN_12"/>
      <sheetName val="Dump_Capacity2"/>
      <sheetName val="Unit_List2"/>
      <sheetName val="Penyebab_Langsung_2"/>
      <sheetName val="Lembur_(ok)2"/>
      <sheetName val="DIV_13"/>
      <sheetName val="POP_UNIT2"/>
      <sheetName val="SUMMARY_MAIN_PRO2"/>
      <sheetName val="DB_Apr_20111"/>
      <sheetName val="Service_Invoice1"/>
      <sheetName val="Tabel_stock1"/>
      <sheetName val="BUMA_MP_31081219"/>
      <sheetName val="rekap_target_Blast19"/>
      <sheetName val="ocean_voyage16"/>
      <sheetName val="PA_Achievement16"/>
      <sheetName val="UA_Achievement_16"/>
      <sheetName val="DB_MP17"/>
      <sheetName val="Data_Base16"/>
      <sheetName val="Nama_Operator-Driver16"/>
      <sheetName val="week_Mar16"/>
      <sheetName val="Loss_time17"/>
      <sheetName val="PrepaidTaxArt_2315"/>
      <sheetName val="Detail_PS15"/>
      <sheetName val="OB_per_we14"/>
      <sheetName val="Sheet1_(2)14"/>
      <sheetName val="Trading_Statement12"/>
      <sheetName val="Base_On_WH13"/>
      <sheetName val="G&amp;LFuel_HO13"/>
      <sheetName val="PICA_HO13"/>
      <sheetName val="List_BUMA12"/>
      <sheetName val="Budget_R612"/>
      <sheetName val="Budget_R712"/>
      <sheetName val="Prod_12"/>
      <sheetName val="Excess_EQP12"/>
      <sheetName val="Analisa_Hasil6"/>
      <sheetName val="Data_Staff6"/>
      <sheetName val="pabrik_(2)5"/>
      <sheetName val="Data_Opr16"/>
      <sheetName val="Data_Unit16"/>
      <sheetName val="Jam_&amp;_Cargo_Out16"/>
      <sheetName val="Cargo_In_&amp;_OLC_Performance16"/>
      <sheetName val="Cargo_Out_&amp;_BLC_Performance16"/>
      <sheetName val="Update_Order15"/>
      <sheetName val="DATA_BASE_FB15"/>
      <sheetName val="ORDER_TICKET15"/>
      <sheetName val="ORDER_TRAVEL15"/>
      <sheetName val="LIST_OF_MESS15"/>
      <sheetName val="Equip_ID15"/>
      <sheetName val="Data_Opr_(2)15"/>
      <sheetName val="Sales_by_customer15"/>
      <sheetName val="BAI_Calculation15"/>
      <sheetName val="LIST_FUEL_TRUCK14"/>
      <sheetName val="Fuel_Activity14"/>
      <sheetName val="WTF_OB_14"/>
      <sheetName val="SETTING_KELOMPOK14"/>
      <sheetName val="Galian_114"/>
      <sheetName val="BENCH_CALC13"/>
      <sheetName val="INPUT_DATA_CUTI12"/>
      <sheetName val="EQ_Event12"/>
      <sheetName val="Pos_&amp;_Kondisi_Alat9"/>
      <sheetName val="Rekap_Addendum5"/>
      <sheetName val="POTO_MAC5"/>
      <sheetName val="Perm__Test5"/>
      <sheetName val="Wheel_Grp5"/>
      <sheetName val="Dozing_Estimation5"/>
      <sheetName val="HR_Detail5"/>
      <sheetName val="TIMESHEET_staff5"/>
      <sheetName val="MH_Rate5"/>
      <sheetName val="MASTER_5"/>
      <sheetName val="KPI_DT5"/>
      <sheetName val="KPI_HE5"/>
      <sheetName val="PARETO_PROBLEM5"/>
      <sheetName val="DAILY_10_MEI_20215"/>
      <sheetName val="16_PDF5"/>
      <sheetName val="17_PDF5"/>
      <sheetName val="19_PDF5"/>
      <sheetName val="20_PDF5"/>
      <sheetName val="Chart_By_Unit_type5"/>
      <sheetName val="FORM_PRINT5"/>
      <sheetName val="Existing_Man_Power5"/>
      <sheetName val="epei_5"/>
      <sheetName val="Cost_Element5"/>
      <sheetName val="Category_&amp;_Loc5"/>
      <sheetName val="1_DATA_PLAN3"/>
      <sheetName val="98년차_XLS5"/>
      <sheetName val="MTD_GainLoss5"/>
      <sheetName val="P'DPTAN_&amp;_BEBAN_LAIN23"/>
      <sheetName val="Accuracy_HM_W53"/>
      <sheetName val="POPULATION_UNIT4"/>
      <sheetName val="WEEK_14"/>
      <sheetName val="WEEK_24"/>
      <sheetName val="WEEK_34"/>
      <sheetName val="WEEK_44"/>
      <sheetName val="Summary_Performance_unit4"/>
      <sheetName val="Monitoring_Dayli_Prod'ty4"/>
      <sheetName val="Prod'ty_DT4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Rincian_Iuran3"/>
      <sheetName val="MASTER_SIA3"/>
      <sheetName val="BULAN_13"/>
      <sheetName val="Lembur_(ok)3"/>
      <sheetName val="Dump_Capacity3"/>
      <sheetName val="Unit_List3"/>
      <sheetName val="Penyebab_Langsung_3"/>
      <sheetName val="POP_UNIT3"/>
      <sheetName val="SUMMARY_MAIN_PRO3"/>
      <sheetName val="DIV_14"/>
      <sheetName val="BUMA_MP_31081220"/>
      <sheetName val="rekap_target_Blast20"/>
      <sheetName val="ocean_voyage17"/>
      <sheetName val="PA_Achievement17"/>
      <sheetName val="UA_Achievement_17"/>
      <sheetName val="DB_MP18"/>
      <sheetName val="Data_Base17"/>
      <sheetName val="Nama_Operator-Driver17"/>
      <sheetName val="week_Mar17"/>
      <sheetName val="Loss_time18"/>
      <sheetName val="PrepaidTaxArt_2316"/>
      <sheetName val="Detail_PS16"/>
      <sheetName val="OB_per_we15"/>
      <sheetName val="Sheet1_(2)15"/>
      <sheetName val="Trading_Statement13"/>
      <sheetName val="Base_On_WH14"/>
      <sheetName val="G&amp;LFuel_HO14"/>
      <sheetName val="PICA_HO14"/>
      <sheetName val="List_BUMA13"/>
      <sheetName val="Budget_R613"/>
      <sheetName val="Budget_R713"/>
      <sheetName val="Prod_13"/>
      <sheetName val="Excess_EQP13"/>
      <sheetName val="Analisa_Hasil7"/>
      <sheetName val="Data_Staff7"/>
      <sheetName val="pabrik_(2)6"/>
      <sheetName val="Data_Opr17"/>
      <sheetName val="Data_Unit17"/>
      <sheetName val="Jam_&amp;_Cargo_Out17"/>
      <sheetName val="Cargo_In_&amp;_OLC_Performance17"/>
      <sheetName val="Cargo_Out_&amp;_BLC_Performance17"/>
      <sheetName val="Update_Order16"/>
      <sheetName val="DATA_BASE_FB16"/>
      <sheetName val="ORDER_TICKET16"/>
      <sheetName val="ORDER_TRAVEL16"/>
      <sheetName val="LIST_OF_MESS16"/>
      <sheetName val="Equip_ID16"/>
      <sheetName val="Data_Opr_(2)16"/>
      <sheetName val="Sales_by_customer16"/>
      <sheetName val="BAI_Calculation16"/>
      <sheetName val="LIST_FUEL_TRUCK15"/>
      <sheetName val="Fuel_Activity15"/>
      <sheetName val="WTF_OB_15"/>
      <sheetName val="SETTING_KELOMPOK15"/>
      <sheetName val="Galian_115"/>
      <sheetName val="BENCH_CALC14"/>
      <sheetName val="INPUT_DATA_CUTI13"/>
      <sheetName val="EQ_Event13"/>
      <sheetName val="Pos_&amp;_Kondisi_Alat10"/>
      <sheetName val="Rekap_Addendum6"/>
      <sheetName val="POTO_MAC6"/>
      <sheetName val="Perm__Test6"/>
      <sheetName val="Wheel_Grp6"/>
      <sheetName val="Dozing_Estimation6"/>
      <sheetName val="HR_Detail6"/>
      <sheetName val="TIMESHEET_staff6"/>
      <sheetName val="MH_Rate6"/>
      <sheetName val="MASTER_6"/>
      <sheetName val="KPI_DT6"/>
      <sheetName val="KPI_HE6"/>
      <sheetName val="PARETO_PROBLEM6"/>
      <sheetName val="DAILY_10_MEI_20216"/>
      <sheetName val="16_PDF6"/>
      <sheetName val="17_PDF6"/>
      <sheetName val="19_PDF6"/>
      <sheetName val="20_PDF6"/>
      <sheetName val="Chart_By_Unit_type6"/>
      <sheetName val="FORM_PRINT6"/>
      <sheetName val="Existing_Man_Power6"/>
      <sheetName val="epei_6"/>
      <sheetName val="Cost_Element6"/>
      <sheetName val="Category_&amp;_Loc6"/>
      <sheetName val="1_DATA_PLAN4"/>
      <sheetName val="98년차_XLS6"/>
      <sheetName val="MTD_GainLoss6"/>
      <sheetName val="P'DPTAN_&amp;_BEBAN_LAIN24"/>
      <sheetName val="Accuracy_HM_W54"/>
      <sheetName val="POPULATION_UNIT5"/>
      <sheetName val="WEEK_15"/>
      <sheetName val="WEEK_25"/>
      <sheetName val="WEEK_35"/>
      <sheetName val="WEEK_45"/>
      <sheetName val="Summary_Performance_unit5"/>
      <sheetName val="Monitoring_Dayli_Prod'ty5"/>
      <sheetName val="Prod'ty_DT5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Rincian_Iuran4"/>
      <sheetName val="MASTER_SIA4"/>
      <sheetName val="BULAN_14"/>
      <sheetName val="Lembur_(ok)4"/>
      <sheetName val="Dump_Capacity4"/>
      <sheetName val="Unit_List4"/>
      <sheetName val="Penyebab_Langsung_4"/>
      <sheetName val="POP_UNIT4"/>
      <sheetName val="SUMMARY_MAIN_PRO4"/>
      <sheetName val="DIV_15"/>
      <sheetName val="BUMA_MP_31081222"/>
      <sheetName val="rekap_target_Blast22"/>
      <sheetName val="ocean_voyage19"/>
      <sheetName val="PA_Achievement19"/>
      <sheetName val="UA_Achievement_19"/>
      <sheetName val="DB_MP20"/>
      <sheetName val="Data_Base19"/>
      <sheetName val="Nama_Operator-Driver19"/>
      <sheetName val="week_Mar19"/>
      <sheetName val="Loss_time20"/>
      <sheetName val="PrepaidTaxArt_2318"/>
      <sheetName val="Detail_PS18"/>
      <sheetName val="OB_per_we17"/>
      <sheetName val="Sheet1_(2)17"/>
      <sheetName val="Trading_Statement15"/>
      <sheetName val="Base_On_WH16"/>
      <sheetName val="G&amp;LFuel_HO16"/>
      <sheetName val="PICA_HO16"/>
      <sheetName val="List_BUMA15"/>
      <sheetName val="Budget_R615"/>
      <sheetName val="Budget_R715"/>
      <sheetName val="Prod_15"/>
      <sheetName val="Excess_EQP15"/>
      <sheetName val="Analisa_Hasil9"/>
      <sheetName val="Data_Staff9"/>
      <sheetName val="pabrik_(2)8"/>
      <sheetName val="Data_Opr19"/>
      <sheetName val="Data_Unit19"/>
      <sheetName val="Jam_&amp;_Cargo_Out19"/>
      <sheetName val="Cargo_In_&amp;_OLC_Performance19"/>
      <sheetName val="Cargo_Out_&amp;_BLC_Performance19"/>
      <sheetName val="Update_Order18"/>
      <sheetName val="DATA_BASE_FB18"/>
      <sheetName val="ORDER_TICKET18"/>
      <sheetName val="ORDER_TRAVEL18"/>
      <sheetName val="LIST_OF_MESS18"/>
      <sheetName val="Data_Opr_(2)18"/>
      <sheetName val="Sales_by_customer18"/>
      <sheetName val="Equip_ID18"/>
      <sheetName val="BAI_Calculation18"/>
      <sheetName val="LIST_FUEL_TRUCK17"/>
      <sheetName val="Fuel_Activity17"/>
      <sheetName val="WTF_OB_17"/>
      <sheetName val="SETTING_KELOMPOK17"/>
      <sheetName val="Galian_117"/>
      <sheetName val="BENCH_CALC16"/>
      <sheetName val="INPUT_DATA_CUTI15"/>
      <sheetName val="EQ_Event15"/>
      <sheetName val="Pos_&amp;_Kondisi_Alat12"/>
      <sheetName val="Rekap_Addendum8"/>
      <sheetName val="POTO_MAC8"/>
      <sheetName val="Perm__Test8"/>
      <sheetName val="Wheel_Grp8"/>
      <sheetName val="Dozing_Estimation8"/>
      <sheetName val="HR_Detail8"/>
      <sheetName val="TIMESHEET_staff8"/>
      <sheetName val="MH_Rate8"/>
      <sheetName val="MASTER_8"/>
      <sheetName val="KPI_DT8"/>
      <sheetName val="KPI_HE8"/>
      <sheetName val="PARETO_PROBLEM8"/>
      <sheetName val="DAILY_10_MEI_20218"/>
      <sheetName val="16_PDF8"/>
      <sheetName val="17_PDF8"/>
      <sheetName val="19_PDF8"/>
      <sheetName val="20_PDF8"/>
      <sheetName val="Chart_By_Unit_type8"/>
      <sheetName val="FORM_PRINT8"/>
      <sheetName val="Existing_Man_Power8"/>
      <sheetName val="epei_8"/>
      <sheetName val="Cost_Element8"/>
      <sheetName val="Category_&amp;_Loc8"/>
      <sheetName val="1_DATA_PLAN6"/>
      <sheetName val="98년차_XLS8"/>
      <sheetName val="MTD_GainLoss8"/>
      <sheetName val="P'DPTAN_&amp;_BEBAN_LAIN26"/>
      <sheetName val="Accuracy_HM_W56"/>
      <sheetName val="POPULATION_UNIT7"/>
      <sheetName val="WEEK_17"/>
      <sheetName val="WEEK_27"/>
      <sheetName val="WEEK_37"/>
      <sheetName val="WEEK_47"/>
      <sheetName val="Summary_Performance_unit7"/>
      <sheetName val="Monitoring_Dayli_Prod'ty7"/>
      <sheetName val="Prod'ty_DT7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Rincian_Iuran6"/>
      <sheetName val="MASTER_SIA6"/>
      <sheetName val="BULAN_16"/>
      <sheetName val="Dump_Capacity6"/>
      <sheetName val="Unit_List6"/>
      <sheetName val="Penyebab_Langsung_6"/>
      <sheetName val="Lembur_(ok)6"/>
      <sheetName val="DIV_17"/>
      <sheetName val="POP_UNIT6"/>
      <sheetName val="SUMMARY_MAIN_PRO6"/>
      <sheetName val="BUMA_MP_31081221"/>
      <sheetName val="rekap_target_Blast21"/>
      <sheetName val="ocean_voyage18"/>
      <sheetName val="PA_Achievement18"/>
      <sheetName val="UA_Achievement_18"/>
      <sheetName val="DB_MP19"/>
      <sheetName val="Data_Base18"/>
      <sheetName val="Nama_Operator-Driver18"/>
      <sheetName val="week_Mar18"/>
      <sheetName val="Loss_time19"/>
      <sheetName val="PrepaidTaxArt_2317"/>
      <sheetName val="Detail_PS17"/>
      <sheetName val="OB_per_we16"/>
      <sheetName val="Sheet1_(2)16"/>
      <sheetName val="Trading_Statement14"/>
      <sheetName val="Base_On_WH15"/>
      <sheetName val="G&amp;LFuel_HO15"/>
      <sheetName val="PICA_HO15"/>
      <sheetName val="List_BUMA14"/>
      <sheetName val="Budget_R614"/>
      <sheetName val="Budget_R714"/>
      <sheetName val="Prod_14"/>
      <sheetName val="Excess_EQP14"/>
      <sheetName val="Data_Staff8"/>
      <sheetName val="Analisa_Hasil8"/>
      <sheetName val="pabrik_(2)7"/>
      <sheetName val="Data_Opr18"/>
      <sheetName val="Data_Unit18"/>
      <sheetName val="Jam_&amp;_Cargo_Out18"/>
      <sheetName val="Cargo_In_&amp;_OLC_Performance18"/>
      <sheetName val="Cargo_Out_&amp;_BLC_Performance18"/>
      <sheetName val="Update_Order17"/>
      <sheetName val="DATA_BASE_FB17"/>
      <sheetName val="ORDER_TICKET17"/>
      <sheetName val="ORDER_TRAVEL17"/>
      <sheetName val="LIST_OF_MESS17"/>
      <sheetName val="Equip_ID17"/>
      <sheetName val="Data_Opr_(2)17"/>
      <sheetName val="Sales_by_customer17"/>
      <sheetName val="BAI_Calculation17"/>
      <sheetName val="LIST_FUEL_TRUCK16"/>
      <sheetName val="Fuel_Activity16"/>
      <sheetName val="WTF_OB_16"/>
      <sheetName val="SETTING_KELOMPOK16"/>
      <sheetName val="Galian_116"/>
      <sheetName val="BENCH_CALC15"/>
      <sheetName val="INPUT_DATA_CUTI14"/>
      <sheetName val="EQ_Event14"/>
      <sheetName val="Pos_&amp;_Kondisi_Alat11"/>
      <sheetName val="Rekap_Addendum7"/>
      <sheetName val="POTO_MAC7"/>
      <sheetName val="Perm__Test7"/>
      <sheetName val="Wheel_Grp7"/>
      <sheetName val="Dozing_Estimation7"/>
      <sheetName val="HR_Detail7"/>
      <sheetName val="TIMESHEET_staff7"/>
      <sheetName val="MH_Rate7"/>
      <sheetName val="MASTER_7"/>
      <sheetName val="KPI_DT7"/>
      <sheetName val="KPI_HE7"/>
      <sheetName val="PARETO_PROBLEM7"/>
      <sheetName val="DAILY_10_MEI_20217"/>
      <sheetName val="16_PDF7"/>
      <sheetName val="17_PDF7"/>
      <sheetName val="19_PDF7"/>
      <sheetName val="20_PDF7"/>
      <sheetName val="Chart_By_Unit_type7"/>
      <sheetName val="FORM_PRINT7"/>
      <sheetName val="Existing_Man_Power7"/>
      <sheetName val="epei_7"/>
      <sheetName val="Cost_Element7"/>
      <sheetName val="Category_&amp;_Loc7"/>
      <sheetName val="1_DATA_PLAN5"/>
      <sheetName val="98년차_XLS7"/>
      <sheetName val="MTD_GainLoss7"/>
      <sheetName val="P'DPTAN_&amp;_BEBAN_LAIN25"/>
      <sheetName val="Accuracy_HM_W55"/>
      <sheetName val="POPULATION_UNIT6"/>
      <sheetName val="WEEK_16"/>
      <sheetName val="WEEK_26"/>
      <sheetName val="WEEK_36"/>
      <sheetName val="WEEK_46"/>
      <sheetName val="Summary_Performance_unit6"/>
      <sheetName val="Monitoring_Dayli_Prod'ty6"/>
      <sheetName val="Prod'ty_DT6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Rincian_Iuran5"/>
      <sheetName val="MASTER_SIA5"/>
      <sheetName val="BULAN_15"/>
      <sheetName val="Dump_Capacity5"/>
      <sheetName val="Unit_List5"/>
      <sheetName val="Penyebab_Langsung_5"/>
      <sheetName val="DIV_16"/>
      <sheetName val="Lembur_(ok)5"/>
      <sheetName val="POP_UNIT5"/>
      <sheetName val="SUMMARY_MAIN_PRO5"/>
      <sheetName val="BUMA_MP_31081224"/>
      <sheetName val="rekap_target_Blast24"/>
      <sheetName val="ocean_voyage21"/>
      <sheetName val="PA_Achievement21"/>
      <sheetName val="UA_Achievement_21"/>
      <sheetName val="DB_MP22"/>
      <sheetName val="Data_Base21"/>
      <sheetName val="Nama_Operator-Driver21"/>
      <sheetName val="week_Mar21"/>
      <sheetName val="Loss_time22"/>
      <sheetName val="PrepaidTaxArt_2320"/>
      <sheetName val="Detail_PS20"/>
      <sheetName val="OB_per_we19"/>
      <sheetName val="Sheet1_(2)19"/>
      <sheetName val="Trading_Statement17"/>
      <sheetName val="Base_On_WH18"/>
      <sheetName val="G&amp;LFuel_HO18"/>
      <sheetName val="PICA_HO18"/>
      <sheetName val="List_BUMA17"/>
      <sheetName val="Budget_R617"/>
      <sheetName val="Budget_R717"/>
      <sheetName val="Prod_17"/>
      <sheetName val="Excess_EQP17"/>
      <sheetName val="Data_Staff11"/>
      <sheetName val="Analisa_Hasil11"/>
      <sheetName val="pabrik_(2)10"/>
      <sheetName val="Data_Opr21"/>
      <sheetName val="Data_Unit21"/>
      <sheetName val="Jam_&amp;_Cargo_Out21"/>
      <sheetName val="Cargo_In_&amp;_OLC_Performance21"/>
      <sheetName val="Cargo_Out_&amp;_BLC_Performance21"/>
      <sheetName val="Update_Order20"/>
      <sheetName val="DATA_BASE_FB20"/>
      <sheetName val="ORDER_TICKET20"/>
      <sheetName val="ORDER_TRAVEL20"/>
      <sheetName val="LIST_OF_MESS20"/>
      <sheetName val="Equip_ID20"/>
      <sheetName val="Data_Opr_(2)20"/>
      <sheetName val="Sales_by_customer20"/>
      <sheetName val="BAI_Calculation20"/>
      <sheetName val="LIST_FUEL_TRUCK19"/>
      <sheetName val="Fuel_Activity19"/>
      <sheetName val="WTF_OB_19"/>
      <sheetName val="SETTING_KELOMPOK19"/>
      <sheetName val="Galian_119"/>
      <sheetName val="BENCH_CALC18"/>
      <sheetName val="INPUT_DATA_CUTI17"/>
      <sheetName val="EQ_Event17"/>
      <sheetName val="Pos_&amp;_Kondisi_Alat14"/>
      <sheetName val="Rekap_Addendum10"/>
      <sheetName val="POTO_MAC10"/>
      <sheetName val="Perm__Test10"/>
      <sheetName val="Wheel_Grp10"/>
      <sheetName val="Dozing_Estimation10"/>
      <sheetName val="HR_Detail10"/>
      <sheetName val="TIMESHEET_staff10"/>
      <sheetName val="MH_Rate10"/>
      <sheetName val="MASTER_10"/>
      <sheetName val="KPI_DT10"/>
      <sheetName val="KPI_HE10"/>
      <sheetName val="PARETO_PROBLEM10"/>
      <sheetName val="DAILY_10_MEI_202110"/>
      <sheetName val="16_PDF10"/>
      <sheetName val="17_PDF10"/>
      <sheetName val="19_PDF10"/>
      <sheetName val="20_PDF10"/>
      <sheetName val="Chart_By_Unit_type10"/>
      <sheetName val="FORM_PRINT10"/>
      <sheetName val="Existing_Man_Power10"/>
      <sheetName val="epei_10"/>
      <sheetName val="Cost_Element10"/>
      <sheetName val="Category_&amp;_Loc10"/>
      <sheetName val="1_DATA_PLAN8"/>
      <sheetName val="98년차_XLS10"/>
      <sheetName val="MTD_GainLoss10"/>
      <sheetName val="P'DPTAN_&amp;_BEBAN_LAIN28"/>
      <sheetName val="Accuracy_HM_W58"/>
      <sheetName val="POPULATION_UNIT9"/>
      <sheetName val="WEEK_19"/>
      <sheetName val="WEEK_29"/>
      <sheetName val="WEEK_39"/>
      <sheetName val="WEEK_49"/>
      <sheetName val="Summary_Performance_unit9"/>
      <sheetName val="Monitoring_Dayli_Prod'ty9"/>
      <sheetName val="Prod'ty_DT9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Rincian_Iuran8"/>
      <sheetName val="MASTER_SIA8"/>
      <sheetName val="BULAN_18"/>
      <sheetName val="Dump_Capacity8"/>
      <sheetName val="Unit_List8"/>
      <sheetName val="Penyebab_Langsung_8"/>
      <sheetName val="DIV_19"/>
      <sheetName val="Lembur_(ok)8"/>
      <sheetName val="POP_UNIT8"/>
      <sheetName val="SUMMARY_MAIN_PRO8"/>
      <sheetName val="BUMA_MP_31081223"/>
      <sheetName val="rekap_target_Blast23"/>
      <sheetName val="ocean_voyage20"/>
      <sheetName val="PA_Achievement20"/>
      <sheetName val="UA_Achievement_20"/>
      <sheetName val="DB_MP21"/>
      <sheetName val="Data_Base20"/>
      <sheetName val="Nama_Operator-Driver20"/>
      <sheetName val="week_Mar20"/>
      <sheetName val="Loss_time21"/>
      <sheetName val="PrepaidTaxArt_2319"/>
      <sheetName val="Detail_PS19"/>
      <sheetName val="OB_per_we18"/>
      <sheetName val="Sheet1_(2)18"/>
      <sheetName val="Trading_Statement16"/>
      <sheetName val="Base_On_WH17"/>
      <sheetName val="G&amp;LFuel_HO17"/>
      <sheetName val="PICA_HO17"/>
      <sheetName val="List_BUMA16"/>
      <sheetName val="Budget_R616"/>
      <sheetName val="Budget_R716"/>
      <sheetName val="Prod_16"/>
      <sheetName val="Excess_EQP16"/>
      <sheetName val="Analisa_Hasil10"/>
      <sheetName val="Data_Staff10"/>
      <sheetName val="pabrik_(2)9"/>
      <sheetName val="Data_Opr20"/>
      <sheetName val="Data_Unit20"/>
      <sheetName val="Jam_&amp;_Cargo_Out20"/>
      <sheetName val="Cargo_In_&amp;_OLC_Performance20"/>
      <sheetName val="Cargo_Out_&amp;_BLC_Performance20"/>
      <sheetName val="Update_Order19"/>
      <sheetName val="DATA_BASE_FB19"/>
      <sheetName val="ORDER_TICKET19"/>
      <sheetName val="ORDER_TRAVEL19"/>
      <sheetName val="LIST_OF_MESS19"/>
      <sheetName val="Equip_ID19"/>
      <sheetName val="Data_Opr_(2)19"/>
      <sheetName val="Sales_by_customer19"/>
      <sheetName val="BAI_Calculation19"/>
      <sheetName val="LIST_FUEL_TRUCK18"/>
      <sheetName val="Fuel_Activity18"/>
      <sheetName val="WTF_OB_18"/>
      <sheetName val="SETTING_KELOMPOK18"/>
      <sheetName val="Galian_118"/>
      <sheetName val="BENCH_CALC17"/>
      <sheetName val="INPUT_DATA_CUTI16"/>
      <sheetName val="EQ_Event16"/>
      <sheetName val="Pos_&amp;_Kondisi_Alat13"/>
      <sheetName val="Rekap_Addendum9"/>
      <sheetName val="POTO_MAC9"/>
      <sheetName val="Perm__Test9"/>
      <sheetName val="Wheel_Grp9"/>
      <sheetName val="Dozing_Estimation9"/>
      <sheetName val="HR_Detail9"/>
      <sheetName val="TIMESHEET_staff9"/>
      <sheetName val="MH_Rate9"/>
      <sheetName val="MASTER_9"/>
      <sheetName val="KPI_DT9"/>
      <sheetName val="KPI_HE9"/>
      <sheetName val="PARETO_PROBLEM9"/>
      <sheetName val="DAILY_10_MEI_20219"/>
      <sheetName val="16_PDF9"/>
      <sheetName val="17_PDF9"/>
      <sheetName val="19_PDF9"/>
      <sheetName val="20_PDF9"/>
      <sheetName val="Chart_By_Unit_type9"/>
      <sheetName val="FORM_PRINT9"/>
      <sheetName val="Existing_Man_Power9"/>
      <sheetName val="epei_9"/>
      <sheetName val="Cost_Element9"/>
      <sheetName val="Category_&amp;_Loc9"/>
      <sheetName val="1_DATA_PLAN7"/>
      <sheetName val="98년차_XLS9"/>
      <sheetName val="MTD_GainLoss9"/>
      <sheetName val="P'DPTAN_&amp;_BEBAN_LAIN27"/>
      <sheetName val="Accuracy_HM_W57"/>
      <sheetName val="POPULATION_UNIT8"/>
      <sheetName val="WEEK_18"/>
      <sheetName val="WEEK_28"/>
      <sheetName val="WEEK_38"/>
      <sheetName val="WEEK_48"/>
      <sheetName val="Summary_Performance_unit8"/>
      <sheetName val="Monitoring_Dayli_Prod'ty8"/>
      <sheetName val="Prod'ty_DT8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Rincian_Iuran7"/>
      <sheetName val="MASTER_SIA7"/>
      <sheetName val="BULAN_17"/>
      <sheetName val="Lembur_(ok)7"/>
      <sheetName val="Dump_Capacity7"/>
      <sheetName val="Unit_List7"/>
      <sheetName val="Penyebab_Langsung_7"/>
      <sheetName val="POP_UNIT7"/>
      <sheetName val="SUMMARY_MAIN_PRO7"/>
      <sheetName val="DIV_18"/>
      <sheetName val="divI"/>
      <sheetName val="divII"/>
      <sheetName val="Coord"/>
      <sheetName val="Sourch"/>
      <sheetName val="Sales Parameter"/>
      <sheetName val="HR,GEA,SHE"/>
      <sheetName val="Absen Log"/>
      <sheetName val="Absen Prod"/>
      <sheetName val="Absen RM"/>
      <sheetName val="Absen Staff"/>
      <sheetName val="BDA"/>
      <sheetName val="Gaji GA"/>
      <sheetName val="Gaji Log"/>
      <sheetName val="Gaji Prod"/>
      <sheetName val="Gaji RM"/>
      <sheetName val="Gaji Staff"/>
      <sheetName val="Premi"/>
      <sheetName val="Mob"/>
      <sheetName val="BQ1"/>
      <sheetName val="CORPDIV - Summary"/>
      <sheetName val="Galian batu"/>
      <sheetName val="SR MTBU"/>
      <sheetName val="KPTJ001"/>
      <sheetName val="Galian"/>
      <sheetName val="ThisMonth"/>
      <sheetName val="Data Review"/>
      <sheetName val="RAW DATA"/>
      <sheetName val="PL (MONTHLY)"/>
      <sheetName val="TDE BS July 2022"/>
      <sheetName val="PL98"/>
      <sheetName val="ELBY"/>
      <sheetName val="ALAT KERUK KK KIP"/>
      <sheetName val="ALAT LISTRIK KK KIP"/>
      <sheetName val="ALAT MEKANIK-HYDR KK KIP"/>
      <sheetName val="KAWAT LADDER KK KIP"/>
      <sheetName val="OH MESIN ALL"/>
      <sheetName val="POMPA-POMPA KK KIP"/>
      <sheetName val="RKAP Barang KI Pulau 7-PJKR-K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Terms"/>
      <sheetName val="SEX"/>
      <sheetName val="OVERBURDEN"/>
      <sheetName val="SUBKON"/>
      <sheetName val="MAINTENAN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GING ALL ( SUMMARY PER SIT (2)"/>
      <sheetName val="JATUH TEMPO BULAN  DETAIL"/>
      <sheetName val="RESUME MANAGEMENT HUTANG"/>
      <sheetName val="AGING ALL ( SUMMARY )"/>
      <sheetName val="AGING ALL ( SUMMARY_DETAIL)"/>
      <sheetName val="FACTORING"/>
      <sheetName val="AGING ALL ( SUMMARY PER SITE )"/>
      <sheetName val="AGING ALL PER CURR ( SUMMARY )"/>
      <sheetName val="PELUNASAN"/>
      <sheetName val="Sheet1"/>
      <sheetName val="AGING ALL ( DETAIL )"/>
      <sheetName val="DATABASE AGING (ALL)"/>
      <sheetName val="DATABASE PENGAJUAN"/>
      <sheetName val="DATABASE PELUNASAN"/>
      <sheetName val="CONTACT PERSON"/>
      <sheetName val="Bank-Leasing"/>
      <sheetName val="SURAT MENYURAT"/>
      <sheetName val="ENTRY OPEN BRAVO"/>
      <sheetName val="KURS"/>
      <sheetName val="LAIN LAIN"/>
      <sheetName val="SMS"/>
      <sheetName val="COA"/>
      <sheetName val="BANKO pit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ptions_Sensitivity"/>
      <sheetName val="Exec Summary"/>
      <sheetName val="Operating Stat"/>
      <sheetName val="Depn_Amort_Royalties"/>
      <sheetName val="Cashflow"/>
      <sheetName val="Cashflow Proc,Hedging,By Prods"/>
      <sheetName val="Prodn Summaries"/>
      <sheetName val="Capital Schedule"/>
      <sheetName val="Manning Schedule"/>
      <sheetName val="ROM Valuation"/>
      <sheetName val="Mine Operating Upload"/>
      <sheetName val="Mine Capital Upload"/>
      <sheetName val="Plant Upload"/>
      <sheetName val="Geology Upload"/>
      <sheetName val="H&amp;S Upload"/>
      <sheetName val="Enviro Upload"/>
      <sheetName val="Admin Upload"/>
      <sheetName val="Camp Upload"/>
      <sheetName val="Shipping Schedule"/>
      <sheetName val="Change date"/>
      <sheetName val="End of Month -  Budget 2002"/>
      <sheetName val="shipping_program"/>
      <sheetName val="PRO_COAL"/>
      <sheetName val="Sheet1"/>
      <sheetName val="OVERBURDEN"/>
      <sheetName val="SUBKON"/>
      <sheetName val="MAINTENANCE"/>
      <sheetName val="Exec_Summary"/>
      <sheetName val="Operating_Stat"/>
      <sheetName val="Cashflow_Proc,Hedging,By_Prods"/>
      <sheetName val="Prodn_Summaries"/>
      <sheetName val="Capital_Schedule"/>
      <sheetName val="Manning_Schedule"/>
      <sheetName val="ROM_Valuation"/>
      <sheetName val="Mine_Operating_Upload"/>
      <sheetName val="Mine_Capital_Upload"/>
      <sheetName val="Plant_Upload"/>
      <sheetName val="Geology_Upload"/>
      <sheetName val="H&amp;S_Upload"/>
      <sheetName val="Enviro_Upload"/>
      <sheetName val="Admin_Upload"/>
      <sheetName val="Camp_Upload"/>
      <sheetName val="Shipping_Schedule"/>
      <sheetName val="Change_date"/>
      <sheetName val="End_of_Month_-__Budget_2002"/>
      <sheetName val="BENCH CALC"/>
      <sheetName val="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ALISA"/>
      <sheetName val="M-ITEM"/>
      <sheetName val="UPAH&amp;BHN"/>
      <sheetName val="RAB (2)"/>
      <sheetName val="REKAP (2)"/>
      <sheetName val="sched-1"/>
      <sheetName val="SCHED"/>
      <sheetName val="METHOD"/>
      <sheetName val="CAP-PLANT"/>
      <sheetName val="ON-SITE"/>
      <sheetName val="SUB-KONTR"/>
      <sheetName val="T-TERIMA"/>
      <sheetName val="LIST"/>
      <sheetName val="s-inti"/>
      <sheetName val="d-alat"/>
      <sheetName val="AMP"/>
      <sheetName val="DT-SELEKSI"/>
      <sheetName val="NEGOS"/>
      <sheetName val="NEGO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00"/>
      <sheetName val="BANKO pit 1"/>
      <sheetName val="BANKO pit 3"/>
      <sheetName val="BANKO pit 1 &amp; 3"/>
      <sheetName val="MTBU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PRD"/>
      <sheetName val="SM"/>
      <sheetName val="COS"/>
      <sheetName val="COS2"/>
      <sheetName val="EQL"/>
      <sheetName val="DRL"/>
      <sheetName val="BLS"/>
      <sheetName val="PCR"/>
      <sheetName val="AssetDB"/>
      <sheetName val="IT"/>
      <sheetName val="AST"/>
      <sheetName val="ASTExec"/>
      <sheetName val="ITRate"/>
      <sheetName val="Code"/>
      <sheetName val="ASTR"/>
      <sheetName val="HR"/>
      <sheetName val="HRDetail"/>
      <sheetName val="VHC"/>
      <sheetName val="HREXEC"/>
      <sheetName val="ACC_ADJ"/>
      <sheetName val="DB"/>
      <sheetName val="PNL_NewGL"/>
      <sheetName val="LL"/>
      <sheetName val="GNR_Acount"/>
      <sheetName val="DBTransf"/>
      <sheetName val="NEWPCH"/>
      <sheetName val="VHCExec"/>
      <sheetName val="CE"/>
      <sheetName val="INVT"/>
      <sheetName val="QTY"/>
      <sheetName val="VHCRate"/>
      <sheetName val="DB_EQP"/>
      <sheetName val="MDB"/>
      <sheetName val="Trf_Formula"/>
      <sheetName val="PNL_V3"/>
      <sheetName val="ITExec"/>
      <sheetName val="PNL_NEW"/>
      <sheetName val="KPI"/>
      <sheetName val="PNL_SBU"/>
      <sheetName val="Formula_SBU"/>
      <sheetName val="PNL_Activities"/>
      <sheetName val="Formula_NewGL"/>
      <sheetName val="DBNewAccount"/>
      <sheetName val="BENCH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SIMS"/>
      <sheetName val="BUMA"/>
      <sheetName val="PAMA"/>
      <sheetName val="Rainfall North"/>
      <sheetName val="Rainfall EF"/>
      <sheetName val="Rainfall Middle"/>
      <sheetName val="Forecast PAMA"/>
      <sheetName val="Forecast BUMA"/>
      <sheetName val="Forecast SI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ivot PPU Unit"/>
      <sheetName val="Calendar"/>
      <sheetName val="Master"/>
      <sheetName val="SPK"/>
      <sheetName val="PA MERCY"/>
      <sheetName val="PA A2B(Loader)"/>
      <sheetName val="PA A2B(Support)"/>
      <sheetName val="PA DONGFENG"/>
      <sheetName val="PA FM(FM 260)"/>
      <sheetName val="PA FM(FM 320)"/>
      <sheetName val="KERUSAKAN UNIT SUPPORT"/>
      <sheetName val="KERUSAKAN FM(260)"/>
      <sheetName val="KERUSAKAN FM (320)"/>
      <sheetName val="KERUSAKAN MERCY"/>
      <sheetName val="KERUSAKAN A2B(Loader)"/>
      <sheetName val="KERUSAKAN A2B(Support)"/>
      <sheetName val="KERUSAKAN DONGFENG"/>
      <sheetName val="LOOS PA"/>
      <sheetName val="Discription Ketdk Tercpaian PA"/>
      <sheetName val="Sheet1"/>
      <sheetName val="Sheet2"/>
      <sheetName val="Sheet3"/>
      <sheetName val="LIMIT CONTROL"/>
      <sheetName val="WAITING PART"/>
      <sheetName val="HM"/>
      <sheetName val="WEEKLY I PLANSER&amp;bACKLOG"/>
      <sheetName val="WEEKLY II PLANSER&amp;BACKLOG"/>
      <sheetName val="WEEKLY I A2B"/>
      <sheetName val="WEEKLY I DT"/>
      <sheetName val="WEEKLY II A2B"/>
      <sheetName val="WEEKLY II DT "/>
      <sheetName val="Total (COAL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rseam"/>
      <sheetName val="pribumi"/>
      <sheetName val="asli1"/>
      <sheetName val="asli2"/>
      <sheetName val="table grader"/>
      <sheetName val="table dozer"/>
      <sheetName val="SR MTBU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KPI"/>
      <sheetName val="Populasi"/>
      <sheetName val="PA"/>
      <sheetName val="MTBF"/>
      <sheetName val="MTTR"/>
      <sheetName val="Backlog"/>
      <sheetName val="Mechanic Ut"/>
      <sheetName val="Mechanic Av"/>
      <sheetName val="RMCost"/>
      <sheetName val="Unplanned Hrs"/>
      <sheetName val="Aging BD "/>
      <sheetName val="MACH_POP"/>
      <sheetName val="MP"/>
      <sheetName val="P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AMPAR"/>
      <sheetName val="COVER"/>
      <sheetName val="SUMMARY"/>
      <sheetName val="cover-1"/>
      <sheetName val="graph"/>
      <sheetName val="so,acc kampar"/>
      <sheetName val="DURI"/>
      <sheetName val="So, acc Detail duri"/>
      <sheetName val="SIAK"/>
      <sheetName val="MINAS"/>
      <sheetName val="SO, acc Detail minas"/>
      <sheetName val="HE"/>
      <sheetName val="ADD"/>
      <sheetName val="acc-add"/>
      <sheetName val="cover-2"/>
      <sheetName val="pm-kampar"/>
      <sheetName val="pm-add"/>
      <sheetName val="pm-minas"/>
      <sheetName val="pm-duri"/>
      <sheetName val="pm-he"/>
      <sheetName val="pm. siak"/>
      <sheetName val="SUMMARY SERVICE"/>
      <sheetName val="repair-he"/>
      <sheetName val="repair-kmp"/>
      <sheetName val="repair-duri"/>
      <sheetName val="repair. siak"/>
      <sheetName val="repair-minas"/>
      <sheetName val="repair-add"/>
      <sheetName val="outstand -ADD"/>
      <sheetName val="outs-kampar"/>
      <sheetName val="delaid-sr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1-30"/>
      <sheetName val="1-10"/>
      <sheetName val="access1"/>
      <sheetName val="11-20"/>
      <sheetName val="MP"/>
      <sheetName val="Access"/>
      <sheetName val="ERRO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L"/>
      <sheetName val="SML"/>
      <sheetName val="CODE"/>
      <sheetName val="FNL"/>
      <sheetName val="Hmca entities by nat"/>
      <sheetName val="POL - 98"/>
      <sheetName val="FNL - 98"/>
      <sheetName val="SML - 98"/>
      <sheetName val="POL - 99"/>
      <sheetName val="FNL - 99"/>
      <sheetName val="SML - 99"/>
      <sheetName val="POL - 00"/>
      <sheetName val="FNL - 00"/>
      <sheetName val="SML - 00"/>
      <sheetName val="U,B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xset"/>
      <sheetName val="OLIE"/>
      <sheetName val="t100"/>
      <sheetName val="t200"/>
      <sheetName val="t200 (2)"/>
      <sheetName val="t110 (2)"/>
      <sheetName val="CT03_T200"/>
      <sheetName val="CT03_T100"/>
      <sheetName val="Total"/>
      <sheetName val="equip"/>
      <sheetName val="SUMM"/>
      <sheetName val="REVENUE"/>
      <sheetName val="list eq"/>
      <sheetName val="HOURS"/>
      <sheetName val="fuel1"/>
      <sheetName val="BLASTING"/>
      <sheetName val="DRILL_ACC"/>
      <sheetName val="explosive"/>
      <sheetName val="TYRE"/>
      <sheetName val="GET_PART"/>
      <sheetName val="subcont"/>
      <sheetName val="GET"/>
      <sheetName val="hrga"/>
      <sheetName val="Summary OO Cost"/>
      <sheetName val=""/>
      <sheetName val="Sheet1"/>
      <sheetName val="Sheet2"/>
      <sheetName val="GAJI JUNI"/>
      <sheetName val="Rekap Honor"/>
      <sheetName val="database"/>
      <sheetName val="GeneralInfo"/>
      <sheetName val="DATA"/>
      <sheetName val="t200_(2)"/>
      <sheetName val="t110_(2)"/>
      <sheetName val="list_eq"/>
      <sheetName val="Summary_OO_Cost"/>
      <sheetName val="SIA"/>
      <sheetName val="base"/>
      <sheetName val="Sheet5"/>
      <sheetName val="Sheet29"/>
      <sheetName val="Sheet6"/>
      <sheetName val="Sheet3"/>
      <sheetName val="Sheet4"/>
      <sheetName val="Sheet7"/>
      <sheetName val="Sheet8"/>
      <sheetName val="Sheet9"/>
      <sheetName val="Sheet20"/>
      <sheetName val="Sheet12"/>
      <sheetName val="Big"/>
      <sheetName val="Coal_Mining"/>
      <sheetName val="Cover"/>
      <sheetName val="Htr"/>
      <sheetName val="KPC Coal"/>
      <sheetName val="KPC"/>
      <sheetName val="KPC_Total"/>
      <sheetName val="MS"/>
      <sheetName val="Master"/>
      <sheetName val="Lists"/>
      <sheetName val="Bonus"/>
      <sheetName val="Bokor"/>
      <sheetName val="Configuration"/>
      <sheetName val="BS"/>
      <sheetName val="PS"/>
      <sheetName val="MP"/>
      <sheetName val="Data Base"/>
      <sheetName val="ANGGARAN"/>
      <sheetName val="Jan 07"/>
      <sheetName val="RawData"/>
      <sheetName val="smu"/>
      <sheetName val="Wheel Grp"/>
      <sheetName val="Parameter"/>
      <sheetName val="t200_(2)1"/>
      <sheetName val="t110_(2)1"/>
      <sheetName val="list_eq1"/>
      <sheetName val="Summary_OO_Cost1"/>
      <sheetName val="GAJI_JUNI"/>
      <sheetName val="Rekap_Honor"/>
      <sheetName val="KPC_Coal"/>
      <sheetName val="Data_Base"/>
      <sheetName val="Marshal"/>
      <sheetName val="Monthly Entry"/>
      <sheetName val="Bank data"/>
      <sheetName val="Data Entry"/>
      <sheetName val="DAY WORK"/>
      <sheetName val="HR,GEA,SHE"/>
      <sheetName val="Absen Log"/>
      <sheetName val="Absen Prod"/>
      <sheetName val="Absen RM"/>
      <sheetName val="Absen Staff"/>
      <sheetName val="BDA"/>
      <sheetName val="Gaji GA"/>
      <sheetName val="Gaji Log"/>
      <sheetName val="Gaji Prod"/>
      <sheetName val="Gaji RM"/>
      <sheetName val="Gaji Staff"/>
      <sheetName val="Upah"/>
      <sheetName val="Premi"/>
      <sheetName val="SUMMARY TONNAGE &amp; USD"/>
      <sheetName val="chart2 meeting"/>
      <sheetName val="daf_3_OK_"/>
      <sheetName val="daf_7_OK_"/>
      <sheetName val="Petrosea"/>
      <sheetName val="XL4Test5"/>
      <sheetName val="simulasi prod'ty"/>
      <sheetName val="dBase"/>
      <sheetName val="EQL"/>
      <sheetName val="SP"/>
      <sheetName val="Jan_07"/>
      <sheetName val="Tabel stock"/>
      <sheetName val="Master Fault"/>
      <sheetName val="t200_(2)2"/>
      <sheetName val="t110_(2)2"/>
      <sheetName val="list_eq2"/>
      <sheetName val="Summary_OO_Cost2"/>
      <sheetName val="GAJI_JUNI1"/>
      <sheetName val="Rekap_Honor1"/>
      <sheetName val="KPC_Coal1"/>
      <sheetName val="Data_Base1"/>
      <sheetName val="Wheel_Grp"/>
      <sheetName val="Source"/>
      <sheetName val="Dates"/>
      <sheetName val="Sales Mining"/>
      <sheetName val="Budget"/>
      <sheetName val="RF"/>
      <sheetName val="Code"/>
      <sheetName val="MDB"/>
      <sheetName val="PAR"/>
      <sheetName val="#REF"/>
      <sheetName val="Loss time"/>
      <sheetName val="CD79"/>
      <sheetName val="Rekap"/>
      <sheetName val="Price"/>
      <sheetName val="Qual Brand"/>
      <sheetName val="PORT1"/>
      <sheetName val="Tabel 97"/>
      <sheetName val="2002"/>
      <sheetName val="Reff"/>
      <sheetName val="ocean voyage"/>
      <sheetName val="AIBrand"/>
      <sheetName val="Productivity"/>
      <sheetName val="SUM"/>
      <sheetName val="I-ME"/>
      <sheetName val="MP1"/>
      <sheetName val="Param"/>
      <sheetName val=" SAF 02"/>
      <sheetName val="SMU Input"/>
      <sheetName val="BD Cont &amp; Sched"/>
      <sheetName val="HM"/>
      <sheetName val="Pop"/>
      <sheetName val="COMB"/>
      <sheetName val="PA"/>
      <sheetName val="KPI"/>
      <sheetName val="Help"/>
      <sheetName val="Master_Data"/>
      <sheetName val="Daf 1"/>
      <sheetName val="JULI"/>
      <sheetName val="OVERBURDEN"/>
      <sheetName val="SUBKON"/>
      <sheetName val="MAINTENANCE"/>
      <sheetName val="List Model"/>
      <sheetName val="BI Share"/>
      <sheetName val="BUS-HRS"/>
      <sheetName val="_SAF_02"/>
      <sheetName val="SMU_Input"/>
      <sheetName val="BD_Cont_&amp;_Sched"/>
      <sheetName val="ocean_voyage"/>
      <sheetName val="Daf_1"/>
      <sheetName val="List_Model"/>
      <sheetName val="BI_Share"/>
      <sheetName val="Monthly_Entry"/>
      <sheetName val="Bank_data"/>
      <sheetName val="Data_Entry"/>
      <sheetName val="DAY_WORK"/>
      <sheetName val="Absen_Log"/>
      <sheetName val="Absen_Prod"/>
      <sheetName val="Absen_RM"/>
      <sheetName val="Absen_Staff"/>
      <sheetName val="Gaji_GA"/>
      <sheetName val="Gaji_Log"/>
      <sheetName val="Gaji_Prod"/>
      <sheetName val="Gaji_RM"/>
      <sheetName val="Gaji_Staff"/>
      <sheetName val="SUMMARY_TONNAGE_&amp;_USD"/>
      <sheetName val="chart2_meeting"/>
      <sheetName val="t200_(2)3"/>
      <sheetName val="t110_(2)3"/>
      <sheetName val="list_eq3"/>
      <sheetName val="Summary_OO_Cost3"/>
      <sheetName val="GAJI_JUNI2"/>
      <sheetName val="Rekap_Honor2"/>
      <sheetName val="KPC_Coal2"/>
      <sheetName val="_SAF_021"/>
      <sheetName val="SMU_Input1"/>
      <sheetName val="Data_Base2"/>
      <sheetName val="Jan_071"/>
      <sheetName val="Wheel_Grp1"/>
      <sheetName val="BD_Cont_&amp;_Sched1"/>
      <sheetName val="ocean_voyage1"/>
      <sheetName val="Daf_11"/>
      <sheetName val="List_Model1"/>
      <sheetName val="BI_Share1"/>
      <sheetName val="Monthly_Entry1"/>
      <sheetName val="Bank_data1"/>
      <sheetName val="Data_Entry1"/>
      <sheetName val="DAY_WORK1"/>
      <sheetName val="Absen_Log1"/>
      <sheetName val="Absen_Prod1"/>
      <sheetName val="Absen_RM1"/>
      <sheetName val="Absen_Staff1"/>
      <sheetName val="Gaji_GA1"/>
      <sheetName val="Gaji_Log1"/>
      <sheetName val="Gaji_Prod1"/>
      <sheetName val="Gaji_RM1"/>
      <sheetName val="Gaji_Staff1"/>
      <sheetName val="SUMMARY_TONNAGE_&amp;_USD1"/>
      <sheetName val="chart2_meeting1"/>
      <sheetName val="t200_(2)4"/>
      <sheetName val="t110_(2)4"/>
      <sheetName val="list_eq4"/>
      <sheetName val="Summary_OO_Cost4"/>
      <sheetName val="GAJI_JUNI3"/>
      <sheetName val="Rekap_Honor3"/>
      <sheetName val="KPC_Coal3"/>
      <sheetName val="_SAF_022"/>
      <sheetName val="SMU_Input2"/>
      <sheetName val="Data_Base3"/>
      <sheetName val="Jan_072"/>
      <sheetName val="Wheel_Grp2"/>
      <sheetName val="BD_Cont_&amp;_Sched2"/>
      <sheetName val="ocean_voyage2"/>
      <sheetName val="Daf_12"/>
      <sheetName val="List_Model2"/>
      <sheetName val="BI_Share2"/>
      <sheetName val="Monthly_Entry2"/>
      <sheetName val="Bank_data2"/>
      <sheetName val="Data_Entry2"/>
      <sheetName val="DAY_WORK2"/>
      <sheetName val="Absen_Log2"/>
      <sheetName val="Absen_Prod2"/>
      <sheetName val="Absen_RM2"/>
      <sheetName val="Absen_Staff2"/>
      <sheetName val="Gaji_GA2"/>
      <sheetName val="Gaji_Log2"/>
      <sheetName val="Gaji_Prod2"/>
      <sheetName val="Gaji_RM2"/>
      <sheetName val="Gaji_Staff2"/>
      <sheetName val="SUMMARY_TONNAGE_&amp;_USD2"/>
      <sheetName val="chart2_meeting2"/>
      <sheetName val="Settingan"/>
      <sheetName val="Rate Adjust"/>
      <sheetName val="DH-Statistic"/>
      <sheetName val="List"/>
      <sheetName val="wh"/>
      <sheetName val="Tabel_stock1"/>
      <sheetName val="Master_Fault1"/>
      <sheetName val="Tabel_971"/>
      <sheetName val="Tabel_stock"/>
      <sheetName val="Master_Fault"/>
      <sheetName val="Tabel_97"/>
      <sheetName val="Mstr"/>
      <sheetName val="Fuel Parameter"/>
      <sheetName val="ST"/>
      <sheetName val="M"/>
      <sheetName val="Konversi Jarak"/>
      <sheetName val="Formulasi HM"/>
      <sheetName val="Refference"/>
      <sheetName val="KAMPAR"/>
      <sheetName val="CLNT"/>
      <sheetName val="Data_Monthly"/>
      <sheetName val="DRILL"/>
      <sheetName val="F_BUS"/>
      <sheetName val="FMC"/>
      <sheetName val="GRS"/>
      <sheetName val="POP_Me"/>
      <sheetName val="OIL"/>
      <sheetName val="OVH"/>
      <sheetName val="OIL_SMPL"/>
      <sheetName val="PART_SER"/>
      <sheetName val="UC"/>
      <sheetName val="Data_1"/>
      <sheetName val="Data_2"/>
      <sheetName val="Data_3"/>
      <sheetName val="Pareto Major Comp by Freq"/>
      <sheetName val="Leadtime PAP."/>
      <sheetName val="Data Q1"/>
      <sheetName val="EqList"/>
      <sheetName val="01"/>
      <sheetName val="Entire_2"/>
      <sheetName val="Data_Unit"/>
      <sheetName val="Plant"/>
      <sheetName val="BIS"/>
      <sheetName val="SUMMARY KPI"/>
      <sheetName val="RMcost Budget"/>
      <sheetName val="Entry Prod"/>
      <sheetName val="Plan Weekly"/>
      <sheetName val="t200_(2)5"/>
      <sheetName val="t110_(2)5"/>
      <sheetName val="list_eq5"/>
      <sheetName val="Summary_OO_Cost5"/>
      <sheetName val="GAJI_JUNI4"/>
      <sheetName val="Rekap_Honor4"/>
      <sheetName val="KPC_Coal4"/>
      <sheetName val="Data_Base4"/>
      <sheetName val="Jan_073"/>
      <sheetName val="Wheel_Grp3"/>
      <sheetName val="Monthly_Entry3"/>
      <sheetName val="Bank_data3"/>
      <sheetName val="Data_Entry3"/>
      <sheetName val="DAY_WORK3"/>
      <sheetName val="Absen_Log3"/>
      <sheetName val="Absen_Prod3"/>
      <sheetName val="Absen_RM3"/>
      <sheetName val="Absen_Staff3"/>
      <sheetName val="Gaji_GA3"/>
      <sheetName val="Gaji_Log3"/>
      <sheetName val="Gaji_Prod3"/>
      <sheetName val="Gaji_RM3"/>
      <sheetName val="Gaji_Staff3"/>
      <sheetName val="SUMMARY_TONNAGE_&amp;_USD3"/>
      <sheetName val="chart2_meeting3"/>
      <sheetName val="simulasi_prod'ty"/>
      <sheetName val="Sales_Mining"/>
      <sheetName val="Loss_time"/>
      <sheetName val="Qual_Brand"/>
      <sheetName val="ocean_voyage3"/>
      <sheetName val="_SAF_023"/>
      <sheetName val="SMU_Input3"/>
      <sheetName val="BD_Cont_&amp;_Sched3"/>
      <sheetName val="Daf_13"/>
      <sheetName val="List_Model3"/>
      <sheetName val="BI_Share3"/>
      <sheetName val="Rate_Adjust"/>
      <sheetName val="Payroll Slip"/>
      <sheetName val="Unschedule"/>
      <sheetName val="COA"/>
      <sheetName val="Assumption"/>
      <sheetName val="VD"/>
      <sheetName val="RAW EVENT (2)"/>
      <sheetName val="Existing"/>
      <sheetName val="KPI JAN 15"/>
      <sheetName val="BD 1003"/>
      <sheetName val="BD 1004"/>
      <sheetName val="BD 1005"/>
      <sheetName val="BD 2001"/>
      <sheetName val="EB 1001"/>
      <sheetName val="EB 1002"/>
      <sheetName val="EB 3002"/>
      <sheetName val="EB 3003"/>
      <sheetName val="EB 3004"/>
      <sheetName val="EB 3005"/>
      <sheetName val="EB 4001"/>
      <sheetName val="RE-GR 2002"/>
      <sheetName val="RT 1030"/>
      <sheetName val="RT 1031"/>
      <sheetName val="RT 1032"/>
      <sheetName val="RT 1033"/>
      <sheetName val="RT 1034"/>
      <sheetName val="RT 1035"/>
      <sheetName val="RT 1036"/>
      <sheetName val="RT 1037"/>
      <sheetName val="RT 1038"/>
      <sheetName val="RT 1039"/>
      <sheetName val="RT 1040"/>
      <sheetName val="RT-1041"/>
      <sheetName val="RT-1042"/>
      <sheetName val="RT-1043"/>
      <sheetName val="RT-1044"/>
      <sheetName val="RT-1045"/>
      <sheetName val="RT 4001"/>
      <sheetName val="RT 4002"/>
      <sheetName val="RT 4003"/>
      <sheetName val="RT 4004"/>
      <sheetName val="RT 4005"/>
      <sheetName val="RT 4006"/>
      <sheetName val="RT 4007"/>
      <sheetName val="RT 4008"/>
      <sheetName val="RT 4009"/>
      <sheetName val="Bid Cost Summary"/>
      <sheetName val="Bahan"/>
      <sheetName val="OVBD"/>
      <sheetName val="Notes"/>
      <sheetName val="01-Asumsi - p &amp; i"/>
      <sheetName val="02-Ikhtisar Keuangan-1&amp;2 - i"/>
      <sheetName val="NAMES"/>
      <sheetName val="HR Detail"/>
      <sheetName val="HRPar"/>
      <sheetName val="COAL"/>
      <sheetName val="UQTY"/>
      <sheetName val="SQTY"/>
      <sheetName val="RSTR"/>
      <sheetName val="SPEC"/>
      <sheetName val="PAVB"/>
      <sheetName val="name"/>
      <sheetName val="Daily Activity (SUM)"/>
      <sheetName val="BARGING"/>
      <sheetName val="CLOSING"/>
      <sheetName val="summ. crush"/>
      <sheetName val="GETTING"/>
      <sheetName val="FORMULA"/>
      <sheetName val="DRILL_BLAST"/>
      <sheetName val="Blend Scenario"/>
      <sheetName val="ob"/>
      <sheetName val="RAIN_SILPPERY"/>
      <sheetName val="Dist"/>
      <sheetName val="Monthly"/>
      <sheetName val="Safety"/>
      <sheetName val="OB_Dbase"/>
      <sheetName val="Rincian Iuran"/>
      <sheetName val="1a"/>
      <sheetName val="1c"/>
      <sheetName val="Unit Support"/>
      <sheetName val="Equipment Data"/>
      <sheetName val="Monthly Plan"/>
      <sheetName val="Calendar"/>
      <sheetName val="DailyPlan"/>
      <sheetName val="Blasting_per_block"/>
      <sheetName val="PARTS IN"/>
      <sheetName val="PARTS OUT"/>
      <sheetName val="STOCK PART"/>
      <sheetName val="Non-staff Tender Rates"/>
      <sheetName val="Lost time"/>
      <sheetName val="3-Entry CH"/>
      <sheetName val="DPR"/>
      <sheetName val="4-Entry WH+HM"/>
      <sheetName val="OB+CG"/>
      <sheetName val="Sales Parameter"/>
      <sheetName val="INPUTS"/>
      <sheetName val="shipping_program"/>
      <sheetName val="Summary"/>
      <sheetName val="BASIC DATE"/>
      <sheetName val="Data Base Parts"/>
      <sheetName val="DATA ENTRY PRODUKSI"/>
      <sheetName val="DAYLY REPORT PRODUKSI"/>
      <sheetName val="PURCHASING REPORT by PROJECT"/>
      <sheetName val="1-ENTRY OB"/>
      <sheetName val="Worksheet-03"/>
      <sheetName val="BB"/>
      <sheetName val="Population"/>
      <sheetName val="Prod'ty"/>
      <sheetName val="UA"/>
      <sheetName val="Production"/>
      <sheetName val="Rain"/>
      <sheetName val="2 Pct"/>
      <sheetName val="Spart-SB"/>
      <sheetName val="COGS"/>
      <sheetName val="Eq.Population"/>
      <sheetName val="GP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 country"/>
      <sheetName val="POO"/>
      <sheetName val="Table"/>
      <sheetName val="Eligible-Data"/>
      <sheetName val="Data"/>
      <sheetName val="Total Earnings"/>
      <sheetName val="BS_Scale"/>
      <sheetName val="Adjustment"/>
      <sheetName val="Salary Ranges 2002"/>
      <sheetName val="SalRange2"/>
      <sheetName val="National Sta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st Depr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Evaluasi"/>
      <sheetName val="010306"/>
      <sheetName val="Data"/>
      <sheetName val="Produksi"/>
      <sheetName val="Target Lost Time"/>
      <sheetName val="Konversi Jarak"/>
      <sheetName val="Reference"/>
      <sheetName val="Sheet1"/>
      <sheetName val="Sheet2"/>
      <sheetName val="Sheet3"/>
      <sheetName val="Test Depre"/>
      <sheetName val="Konversi_Jarak"/>
      <sheetName val="Master_Evaluasi"/>
      <sheetName val="Target_Lost_Time"/>
      <sheetName val="Lists"/>
      <sheetName val="awal bulan"/>
      <sheetName val="FS01"/>
      <sheetName val="Formula"/>
      <sheetName val="CA110_sep10"/>
      <sheetName val="Productivity"/>
      <sheetName val="PRA401"/>
      <sheetName val="Asset List"/>
      <sheetName val="Component History"/>
      <sheetName val="Forecast"/>
      <sheetName val="EX2500FIX"/>
      <sheetName val="Cost Code"/>
      <sheetName val="Parameter"/>
      <sheetName val="Blasting_per_block"/>
      <sheetName val="Master "/>
      <sheetName val="Petrosea"/>
      <sheetName val="DTDummy"/>
      <sheetName val="MASTER"/>
      <sheetName val="KPTJ001"/>
      <sheetName val=" SAF 02"/>
      <sheetName val="Hotel"/>
      <sheetName val="H.Satuan"/>
      <sheetName val="PEXFEE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Row Data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COA"/>
      <sheetName val="March_april _2_"/>
      <sheetName val="SMU Rental"/>
      <sheetName val="Rate"/>
      <sheetName val="SALES_SUMMARY"/>
      <sheetName val="shipping_program"/>
      <sheetName val="KPC_PRINANG_MO_CF"/>
      <sheetName val="_file____C__InterDept_160_partn"/>
      <sheetName val="_file____C__COMM_200_200_BA_OPR"/>
      <sheetName val="POO"/>
      <sheetName val="awal_bulan2"/>
      <sheetName val="awal_bulan"/>
      <sheetName val="awal_bulan1"/>
      <sheetName val="_SAF 0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March-april (2)"/>
      <sheetName val="Resume Eng"/>
      <sheetName val="REP"/>
      <sheetName val="BOR"/>
      <sheetName val="EXIST"/>
      <sheetName val="KUPL"/>
      <sheetName val="REOP"/>
      <sheetName val="STIM"/>
      <sheetName val="KONS DIT HULU"/>
      <sheetName val="Ex-Rate"/>
      <sheetName val="ThisMonth"/>
      <sheetName val="Act_cost"/>
      <sheetName val="1"/>
      <sheetName val="Coal Class_April2016"/>
      <sheetName val="Galian 1"/>
      <sheetName val="Cost Parameter"/>
      <sheetName val="COVER"/>
      <sheetName val="DATA BULAN LALU"/>
      <sheetName val="BA PENERIMAAN"/>
      <sheetName val="SUPPORT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TABEL STOCK"/>
      <sheetName val="Konversi_Jarak4"/>
      <sheetName val="Master_Evaluasi4"/>
      <sheetName val="Target_Lost_Time4"/>
      <sheetName val="Master_3"/>
      <sheetName val="awal_bulan3"/>
      <sheetName val="Test_Depre"/>
      <sheetName val="Asset_List"/>
      <sheetName val="Component_History"/>
      <sheetName val="_SAF_02"/>
      <sheetName val="Row_Data"/>
      <sheetName val="Data_Base3"/>
      <sheetName val="Cost_Code"/>
      <sheetName val="H_Satuan"/>
      <sheetName val="March_april__2_"/>
      <sheetName val="Konversi_Jarak5"/>
      <sheetName val="Master_Evaluasi5"/>
      <sheetName val="Target_Lost_Time5"/>
      <sheetName val="Master_4"/>
      <sheetName val="awal_bulan4"/>
      <sheetName val="Test_Depre1"/>
      <sheetName val="Asset_List1"/>
      <sheetName val="Component_History1"/>
      <sheetName val="_SAF_021"/>
      <sheetName val="Row_Data1"/>
      <sheetName val="Data_Base4"/>
      <sheetName val="Cost_Code1"/>
      <sheetName val="H_Satuan1"/>
      <sheetName val="March_april__2_1"/>
      <sheetName val="Konversi_Jarak6"/>
      <sheetName val="Master_Evaluasi6"/>
      <sheetName val="Target_Lost_Time6"/>
      <sheetName val="Master_5"/>
      <sheetName val="awal_bulan5"/>
      <sheetName val="Test_Depre2"/>
      <sheetName val="Asset_List2"/>
      <sheetName val="Component_History2"/>
      <sheetName val="_SAF_022"/>
      <sheetName val="Row_Data2"/>
      <sheetName val="Data_Base5"/>
      <sheetName val="Cost_Code2"/>
      <sheetName val="H_Satuan2"/>
      <sheetName val="March_april__2_2"/>
      <sheetName val="Coal_Class_April2016"/>
      <sheetName val="Galian_1"/>
      <sheetName val="Cost_Parameter"/>
      <sheetName val="DATA_BULAN_LALU"/>
      <sheetName val="BA_PENERIMAAN"/>
      <sheetName val="SUPPORT_SUBCONT"/>
      <sheetName val="PT_PPA"/>
      <sheetName val="PT_MNK"/>
      <sheetName val="PT_EKA_CITRA"/>
      <sheetName val="PT__ABP"/>
      <sheetName val="PT_HPU"/>
      <sheetName val="PT_TITAN"/>
      <sheetName val="PT_AMM"/>
      <sheetName val="PT_MTK"/>
      <sheetName val="Saldo_Solar"/>
      <sheetName val="BA_SELISIH_SOLAR_PT__USI"/>
      <sheetName val="Solar_Masuk_PT__USI"/>
      <sheetName val="KM-SUPPORT_"/>
      <sheetName val="BA_SO"/>
      <sheetName val="REKAP_ALL"/>
      <sheetName val="FLOWMETER_SS6"/>
      <sheetName val="FUEL_UNIT"/>
      <sheetName val="FUEL_SUPPORT"/>
      <sheetName val="TABEL_STOCK"/>
      <sheetName val="March-april_(2)"/>
      <sheetName val="Resume_Eng"/>
      <sheetName val="Konversi_Jarak9"/>
      <sheetName val="Master_Evaluasi9"/>
      <sheetName val="Target_Lost_Time9"/>
      <sheetName val="Master_8"/>
      <sheetName val="awal_bulan8"/>
      <sheetName val="Test_Depre5"/>
      <sheetName val="Asset_List5"/>
      <sheetName val="Component_History5"/>
      <sheetName val="_SAF_025"/>
      <sheetName val="Row_Data5"/>
      <sheetName val="Data_Base8"/>
      <sheetName val="Cost_Code5"/>
      <sheetName val="H_Satuan5"/>
      <sheetName val="March_april__2_5"/>
      <sheetName val="March-april_(2)3"/>
      <sheetName val="Resume_Eng3"/>
      <sheetName val="Coal_Class_April20163"/>
      <sheetName val="Galian_13"/>
      <sheetName val="Cost_Parameter3"/>
      <sheetName val="DATA_BULAN_LALU3"/>
      <sheetName val="BA_PENERIMAAN3"/>
      <sheetName val="SUPPORT_SUBCONT3"/>
      <sheetName val="PT_PPA3"/>
      <sheetName val="PT_MNK3"/>
      <sheetName val="PT_EKA_CITRA3"/>
      <sheetName val="PT__ABP3"/>
      <sheetName val="PT_HPU3"/>
      <sheetName val="PT_TITAN3"/>
      <sheetName val="PT_AMM3"/>
      <sheetName val="PT_MTK3"/>
      <sheetName val="Saldo_Solar3"/>
      <sheetName val="BA_SELISIH_SOLAR_PT__USI3"/>
      <sheetName val="Solar_Masuk_PT__USI3"/>
      <sheetName val="KM-SUPPORT_3"/>
      <sheetName val="BA_SO3"/>
      <sheetName val="REKAP_ALL3"/>
      <sheetName val="FLOWMETER_SS63"/>
      <sheetName val="FUEL_UNIT3"/>
      <sheetName val="FUEL_SUPPORT3"/>
      <sheetName val="TABEL_STOCK3"/>
      <sheetName val="Konversi_Jarak8"/>
      <sheetName val="Master_Evaluasi8"/>
      <sheetName val="Target_Lost_Time8"/>
      <sheetName val="Master_7"/>
      <sheetName val="awal_bulan7"/>
      <sheetName val="Test_Depre4"/>
      <sheetName val="Asset_List4"/>
      <sheetName val="Component_History4"/>
      <sheetName val="_SAF_024"/>
      <sheetName val="Row_Data4"/>
      <sheetName val="Data_Base7"/>
      <sheetName val="Cost_Code4"/>
      <sheetName val="H_Satuan4"/>
      <sheetName val="March_april__2_4"/>
      <sheetName val="March-april_(2)2"/>
      <sheetName val="Resume_Eng2"/>
      <sheetName val="Coal_Class_April20162"/>
      <sheetName val="Galian_12"/>
      <sheetName val="Cost_Parameter2"/>
      <sheetName val="DATA_BULAN_LALU2"/>
      <sheetName val="BA_PENERIMAAN2"/>
      <sheetName val="SUPPORT_SUBCONT2"/>
      <sheetName val="PT_PPA2"/>
      <sheetName val="PT_MNK2"/>
      <sheetName val="PT_EKA_CITRA2"/>
      <sheetName val="PT__ABP2"/>
      <sheetName val="PT_HPU2"/>
      <sheetName val="PT_TITAN2"/>
      <sheetName val="PT_AMM2"/>
      <sheetName val="PT_MTK2"/>
      <sheetName val="Saldo_Solar2"/>
      <sheetName val="BA_SELISIH_SOLAR_PT__USI2"/>
      <sheetName val="Solar_Masuk_PT__USI2"/>
      <sheetName val="KM-SUPPORT_2"/>
      <sheetName val="BA_SO2"/>
      <sheetName val="REKAP_ALL2"/>
      <sheetName val="FLOWMETER_SS62"/>
      <sheetName val="FUEL_UNIT2"/>
      <sheetName val="FUEL_SUPPORT2"/>
      <sheetName val="TABEL_STOCK2"/>
      <sheetName val="Konversi_Jarak7"/>
      <sheetName val="Master_Evaluasi7"/>
      <sheetName val="Target_Lost_Time7"/>
      <sheetName val="Master_6"/>
      <sheetName val="awal_bulan6"/>
      <sheetName val="Test_Depre3"/>
      <sheetName val="Asset_List3"/>
      <sheetName val="Component_History3"/>
      <sheetName val="_SAF_023"/>
      <sheetName val="Row_Data3"/>
      <sheetName val="Data_Base6"/>
      <sheetName val="Cost_Code3"/>
      <sheetName val="H_Satuan3"/>
      <sheetName val="March_april__2_3"/>
      <sheetName val="March-april_(2)1"/>
      <sheetName val="Resume_Eng1"/>
      <sheetName val="Coal_Class_April20161"/>
      <sheetName val="Galian_11"/>
      <sheetName val="Cost_Parameter1"/>
      <sheetName val="DATA_BULAN_LALU1"/>
      <sheetName val="BA_PENERIMAAN1"/>
      <sheetName val="SUPPORT_SUBCONT1"/>
      <sheetName val="PT_PPA1"/>
      <sheetName val="PT_MNK1"/>
      <sheetName val="PT_EKA_CITRA1"/>
      <sheetName val="PT__ABP1"/>
      <sheetName val="PT_HPU1"/>
      <sheetName val="PT_TITAN1"/>
      <sheetName val="PT_AMM1"/>
      <sheetName val="PT_MTK1"/>
      <sheetName val="Saldo_Solar1"/>
      <sheetName val="BA_SELISIH_SOLAR_PT__USI1"/>
      <sheetName val="Solar_Masuk_PT__USI1"/>
      <sheetName val="KM-SUPPORT_1"/>
      <sheetName val="BA_SO1"/>
      <sheetName val="REKAP_ALL1"/>
      <sheetName val="FLOWMETER_SS61"/>
      <sheetName val="FUEL_UNIT1"/>
      <sheetName val="FUEL_SUPPORT1"/>
      <sheetName val="TABEL_STOCK1"/>
      <sheetName val="Konversi_Jarak10"/>
      <sheetName val="Master_Evaluasi10"/>
      <sheetName val="Target_Lost_Time10"/>
      <sheetName val="Master_9"/>
      <sheetName val="awal_bulan9"/>
      <sheetName val="Test_Depre6"/>
      <sheetName val="Asset_List6"/>
      <sheetName val="Component_History6"/>
      <sheetName val="_SAF_026"/>
      <sheetName val="Row_Data6"/>
      <sheetName val="Data_Base9"/>
      <sheetName val="Cost_Code6"/>
      <sheetName val="H_Satuan6"/>
      <sheetName val="March_april__2_6"/>
      <sheetName val="March-april_(2)4"/>
      <sheetName val="Resume_Eng4"/>
      <sheetName val="Coal_Class_April20164"/>
      <sheetName val="Galian_14"/>
      <sheetName val="Cost_Parameter4"/>
      <sheetName val="DATA_BULAN_LALU4"/>
      <sheetName val="BA_PENERIMAAN4"/>
      <sheetName val="SUPPORT_SUBCONT4"/>
      <sheetName val="PT_PPA4"/>
      <sheetName val="PT_MNK4"/>
      <sheetName val="PT_EKA_CITRA4"/>
      <sheetName val="PT__ABP4"/>
      <sheetName val="PT_HPU4"/>
      <sheetName val="PT_TITAN4"/>
      <sheetName val="PT_AMM4"/>
      <sheetName val="PT_MTK4"/>
      <sheetName val="Saldo_Solar4"/>
      <sheetName val="BA_SELISIH_SOLAR_PT__USI4"/>
      <sheetName val="Solar_Masuk_PT__USI4"/>
      <sheetName val="KM-SUPPORT_4"/>
      <sheetName val="BA_SO4"/>
      <sheetName val="REKAP_ALL4"/>
      <sheetName val="FLOWMETER_SS64"/>
      <sheetName val="FUEL_UNIT4"/>
      <sheetName val="FUEL_SUPPORT4"/>
      <sheetName val="TABEL_STOCK4"/>
      <sheetName val="smu"/>
      <sheetName val="Wheel Grp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DAY WORK"/>
      <sheetName val="SMU_Rental"/>
      <sheetName val="SMU_Rental1"/>
      <sheetName val="SMU_Rental2"/>
      <sheetName val="SMU_Rental3"/>
      <sheetName val="SMU_Rental4"/>
      <sheetName val="Master_Evaluasi11"/>
      <sheetName val="Target_Lost_Time11"/>
      <sheetName val="Konversi_Jarak11"/>
      <sheetName val="Test_Depre7"/>
      <sheetName val="Master_10"/>
      <sheetName val="Asset_List7"/>
      <sheetName val="Component_History7"/>
      <sheetName val="Cost_Code7"/>
      <sheetName val="_SAF_027"/>
      <sheetName val="H_Satuan7"/>
      <sheetName val="Data_Base10"/>
      <sheetName val="Row_Data7"/>
      <sheetName val="March_april__2_7"/>
      <sheetName val="SMU_Rental6"/>
      <sheetName val="SMU_Rental5"/>
      <sheetName val="Master_Evaluasi12"/>
      <sheetName val="Target_Lost_Time12"/>
      <sheetName val="Konversi_Jarak12"/>
      <sheetName val="Test_Depre8"/>
      <sheetName val="Master_11"/>
      <sheetName val="Asset_List8"/>
      <sheetName val="Component_History8"/>
      <sheetName val="Cost_Code8"/>
      <sheetName val="_SAF_028"/>
      <sheetName val="H_Satuan8"/>
      <sheetName val="Data_Base11"/>
      <sheetName val="Row_Data8"/>
      <sheetName val="March_april__2_8"/>
      <sheetName val="SMU_Rental7"/>
      <sheetName val="Master_Evaluasi13"/>
      <sheetName val="Target_Lost_Time13"/>
      <sheetName val="Konversi_Jarak13"/>
      <sheetName val="Test_Depre9"/>
      <sheetName val="Master_12"/>
      <sheetName val="Asset_List9"/>
      <sheetName val="Component_History9"/>
      <sheetName val="Cost_Code9"/>
      <sheetName val="_SAF_029"/>
      <sheetName val="H_Satuan9"/>
      <sheetName val="Data_Base12"/>
      <sheetName val="Row_Data9"/>
      <sheetName val="March_april__2_9"/>
      <sheetName val="SMU_Rental8"/>
      <sheetName val="seq_plan"/>
      <sheetName val="HISTORICAL_COAL_HAUL"/>
      <sheetName val="HAUL_DIST_KANGURU"/>
      <sheetName val="seq_plan1"/>
      <sheetName val="HISTORICAL_COAL_HAUL1"/>
      <sheetName val="HAUL_DIST_KANGURU1"/>
      <sheetName val="Financials"/>
      <sheetName val="Outcome"/>
      <sheetName val="Master_Evaluasi14"/>
      <sheetName val="Target_Lost_Time14"/>
      <sheetName val="Konversi_Jarak14"/>
      <sheetName val="Test_Depre10"/>
      <sheetName val="awal_bulan10"/>
      <sheetName val="Master_13"/>
      <sheetName val="Asset_List10"/>
      <sheetName val="Component_History10"/>
      <sheetName val="Cost_Code10"/>
      <sheetName val="_SAF_0210"/>
      <sheetName val="H_Satuan10"/>
      <sheetName val="Data_Base13"/>
      <sheetName val="Row_Data10"/>
      <sheetName val="March_april__2_10"/>
      <sheetName val="SMU_Rental9"/>
      <sheetName val="Input OB"/>
      <sheetName val="Input Coal"/>
      <sheetName val="KONS_DIT_HULU5"/>
      <sheetName val="seq_plan5"/>
      <sheetName val="_SAF_0211"/>
      <sheetName val="KONS_DIT_HULU1"/>
      <sheetName val="KONS_DIT_HULU"/>
      <sheetName val="KONS_DIT_HULU2"/>
      <sheetName val="seq_plan2"/>
      <sheetName val="KONS_DIT_HULU3"/>
      <sheetName val="seq_plan3"/>
      <sheetName val="KONS_DIT_HULU4"/>
      <sheetName val="seq_plan4"/>
      <sheetName val="_SAF_0212"/>
      <sheetName val="KONS_DIT_HULU6"/>
      <sheetName val="seq_plan6"/>
      <sheetName val="_SAF_0213"/>
      <sheetName val="DAY_WORK"/>
      <sheetName val="DASBOARD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EWH-UA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Busang1"/>
      <sheetName val="Busang2"/>
      <sheetName val="Busang3"/>
      <sheetName val="Jonggon1"/>
      <sheetName val="Jonggon2"/>
      <sheetName val="Jonggon3"/>
      <sheetName val="Trading Statement"/>
      <sheetName val="Based Data_wacc"/>
      <sheetName val="DRILL&amp;BLAST"/>
      <sheetName val="DOZING"/>
      <sheetName val="PLAN CC"/>
      <sheetName val="PLAN CM"/>
      <sheetName val="PLAN OB"/>
      <sheetName val="Cost from Acc"/>
      <sheetName val="DOZER"/>
      <sheetName val="EXCA"/>
      <sheetName val="HAULER"/>
      <sheetName val="Update"/>
      <sheetName val="PRO_COAL"/>
      <sheetName val="Data Material"/>
      <sheetName val="GeneralInfo"/>
      <sheetName val="OFF"/>
      <sheetName val="RF"/>
      <sheetName val="BARGING-SHIPMENT"/>
      <sheetName val="base"/>
      <sheetName val="2002"/>
      <sheetName val="KASUS8"/>
      <sheetName val="KASUS10"/>
      <sheetName val="ACT COAL"/>
      <sheetName val="POTO MAC"/>
      <sheetName val="I-ME"/>
      <sheetName val="DIV.1"/>
      <sheetName val="DIV_1"/>
      <sheetName val="Premi Iuran"/>
      <sheetName val="4-Basic Price"/>
      <sheetName val="Rekap"/>
      <sheetName val="Input2"/>
      <sheetName val="SPit"/>
      <sheetName val="PLO_YTD"/>
      <sheetName val="PLO_TM"/>
      <sheetName val="Database Update TRN"/>
      <sheetName val="DPR"/>
      <sheetName val="Pr"/>
      <sheetName val="General"/>
      <sheetName val="DataEqp"/>
      <sheetName val="Eq"/>
      <sheetName val="Variables"/>
      <sheetName val="week 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0000"/>
      <sheetName val="COSTSALES"/>
      <sheetName val="DCOST"/>
      <sheetName val="MCOST1"/>
      <sheetName val="MCOST2"/>
      <sheetName val="BS01"/>
      <sheetName val="BS02"/>
      <sheetName val="PL1"/>
      <sheetName val="PL"/>
      <sheetName val="9.22"/>
      <sheetName val="7.8"/>
      <sheetName val="KAMPAR"/>
      <sheetName val="bni(rp)"/>
      <sheetName val="bni($)"/>
      <sheetName val="bpd(rp)"/>
      <sheetName val="cash"/>
      <sheetName val="kebd(rp)"/>
      <sheetName val="kebd($)"/>
      <sheetName val="Tabel Top Soil"/>
      <sheetName val="BKJ"/>
      <sheetName val="TMCT"/>
      <sheetName val="recap(sm)"/>
      <sheetName val="SIEMBA"/>
      <sheetName val="APM"/>
      <sheetName val="BKP"/>
      <sheetName val="I"/>
      <sheetName val="II"/>
      <sheetName val="III"/>
      <sheetName val="Laporan"/>
      <sheetName val="일정표"/>
      <sheetName val="JKT경비"/>
      <sheetName val="SILICATE"/>
      <sheetName val="2003-03"/>
      <sheetName val="전제조건"/>
      <sheetName val="CTA"/>
      <sheetName val="SBS"/>
      <sheetName val="기획팀 의견"/>
      <sheetName val="SBS Tug &amp; Bg. 입거수리계획"/>
      <sheetName val="29a"/>
      <sheetName val="29b"/>
      <sheetName val="29d"/>
      <sheetName val="29e"/>
      <sheetName val="29f"/>
      <sheetName val="29g"/>
      <sheetName val="Production RKAB 2017"/>
      <sheetName val="FS"/>
      <sheetName val="ABP"/>
      <sheetName val="FS Report"/>
      <sheetName val="MB Capex 2017 "/>
      <sheetName val="Tax Actual + Plan 2017"/>
      <sheetName val="Tax Actual 2017"/>
      <sheetName val="Tax Planning 2017"/>
      <sheetName val="COA"/>
      <sheetName val="Setle-Carloan"/>
      <sheetName val="RMCONS"/>
      <sheetName val="CGS"/>
      <sheetName val="Test Depre"/>
      <sheetName val="Bant"/>
      <sheetName val="DASBOARD"/>
      <sheetName val="DATA UNIT"/>
      <sheetName val="POPULASI UNIT MHA"/>
      <sheetName val="MAIN MENU"/>
      <sheetName val="1.PENGESAHAN"/>
      <sheetName val="2. POPULSI UNIT"/>
      <sheetName val="SUM BS - BUS"/>
      <sheetName val="3.HM"/>
      <sheetName val="4.MONITORING HM"/>
      <sheetName val="5.Work Hr"/>
      <sheetName val="6.Daily Bd"/>
      <sheetName val="9.SUMMARY PA"/>
      <sheetName val="Calender"/>
      <sheetName val="Mech HM (2)"/>
      <sheetName val="8.PLANNING PA"/>
      <sheetName val="7.KPI"/>
      <sheetName val="10.TOTAL PA YEARLY"/>
      <sheetName val="11.SUMMARY MTBF"/>
      <sheetName val="12.SUMMARY MTBF YEARLY"/>
      <sheetName val="13.SUMMARY MTTR"/>
      <sheetName val="14.SUMMARY MTTR YEARLY"/>
      <sheetName val="15.B-D COMPONENT"/>
      <sheetName val="16.BD COMP YEARLY"/>
      <sheetName val="17.B-D FACTOR"/>
      <sheetName val="18.BD FACTOR YEARLY"/>
      <sheetName val="19.SUMMARY BD COMPONENT"/>
      <sheetName val="20.SUMMARY BD FACTOR"/>
      <sheetName val="21.DATA SERVICE"/>
      <sheetName val="22.SUMMARY SERVICE"/>
      <sheetName val="23. PICA"/>
      <sheetName val="GRAFIK"/>
      <sheetName val="PICA"/>
      <sheetName val="PI ACHIVEMENT"/>
      <sheetName val="rekap"/>
      <sheetName val="23.UTILITAS TYRE"/>
      <sheetName val="28"/>
      <sheetName val="9_22"/>
      <sheetName val="7_8"/>
      <sheetName val="Tabel_Top_Soil"/>
      <sheetName val="기획팀_의견"/>
      <sheetName val="SBS_Tug_&amp;_Bg__입거수리계획"/>
      <sheetName val="Production_RKAB_2017"/>
      <sheetName val="FS_Report"/>
      <sheetName val="MB_Capex_2017_"/>
      <sheetName val="Tax_Actual_+_Plan_2017"/>
      <sheetName val="Tax_Actual_2017"/>
      <sheetName val="Tax_Planning_2017"/>
      <sheetName val="Test_Depre"/>
      <sheetName val="DATA_UNIT"/>
      <sheetName val="POPULASI_UNIT_MHA"/>
      <sheetName val="MAIN_MENU"/>
      <sheetName val="1_PENGESAHAN"/>
      <sheetName val="2__POPULSI_UNIT"/>
      <sheetName val="SUM_BS_-_BUS"/>
      <sheetName val="3_HM"/>
      <sheetName val="4_MONITORING_HM"/>
      <sheetName val="5_Work_Hr"/>
      <sheetName val="6_Daily_Bd"/>
      <sheetName val="9_SUMMARY_PA"/>
      <sheetName val="Mech_HM_(2)"/>
      <sheetName val="8_PLANNING_PA"/>
      <sheetName val="7_KPI"/>
      <sheetName val="10_TOTAL_PA_YEARLY"/>
      <sheetName val="11_SUMMARY_MTBF"/>
      <sheetName val="12_SUMMARY_MTBF_YEARLY"/>
      <sheetName val="13_SUMMARY_MTTR"/>
      <sheetName val="14_SUMMARY_MTTR_YEARLY"/>
      <sheetName val="15_B-D_COMPONENT"/>
      <sheetName val="16_BD_COMP_YEARLY"/>
      <sheetName val="17_B-D_FACTOR"/>
      <sheetName val="18_BD_FACTOR_YEARLY"/>
      <sheetName val="19_SUMMARY_BD_COMPONENT"/>
      <sheetName val="20_SUMMARY_BD_FACTOR"/>
      <sheetName val="21_DATA_SERVICE"/>
      <sheetName val="22_SUMMARY_SERVICE"/>
      <sheetName val="23__PICA"/>
      <sheetName val="PI_ACHIVEMENT"/>
      <sheetName val="23_UTILITAS_TYRE"/>
      <sheetName val="9_221"/>
      <sheetName val="7_81"/>
      <sheetName val="Tabel_Top_Soil1"/>
      <sheetName val="기획팀_의견1"/>
      <sheetName val="SBS_Tug_&amp;_Bg__입거수리계획1"/>
      <sheetName val="Production_RKAB_20171"/>
      <sheetName val="FS_Report1"/>
      <sheetName val="MB_Capex_2017_1"/>
      <sheetName val="Tax_Actual_+_Plan_20171"/>
      <sheetName val="Tax_Actual_20171"/>
      <sheetName val="Tax_Planning_20171"/>
      <sheetName val="Test_Depre1"/>
      <sheetName val="DATA_UNIT1"/>
      <sheetName val="POPULASI_UNIT_MHA1"/>
      <sheetName val="MAIN_MENU1"/>
      <sheetName val="1_PENGESAHAN1"/>
      <sheetName val="2__POPULSI_UNIT1"/>
      <sheetName val="SUM_BS_-_BUS1"/>
      <sheetName val="3_HM1"/>
      <sheetName val="4_MONITORING_HM1"/>
      <sheetName val="5_Work_Hr1"/>
      <sheetName val="6_Daily_Bd1"/>
      <sheetName val="9_SUMMARY_PA1"/>
      <sheetName val="Mech_HM_(2)1"/>
      <sheetName val="8_PLANNING_PA1"/>
      <sheetName val="7_KPI1"/>
      <sheetName val="10_TOTAL_PA_YEARLY1"/>
      <sheetName val="11_SUMMARY_MTBF1"/>
      <sheetName val="12_SUMMARY_MTBF_YEARLY1"/>
      <sheetName val="13_SUMMARY_MTTR1"/>
      <sheetName val="14_SUMMARY_MTTR_YEARLY1"/>
      <sheetName val="15_B-D_COMPONENT1"/>
      <sheetName val="16_BD_COMP_YEARLY1"/>
      <sheetName val="17_B-D_FACTOR1"/>
      <sheetName val="18_BD_FACTOR_YEARLY1"/>
      <sheetName val="19_SUMMARY_BD_COMPONENT1"/>
      <sheetName val="20_SUMMARY_BD_FACTOR1"/>
      <sheetName val="21_DATA_SERVICE1"/>
      <sheetName val="22_SUMMARY_SERVICE1"/>
      <sheetName val="23__PICA1"/>
      <sheetName val="PI_ACHIVEMENT1"/>
      <sheetName val="23_UTILITAS_TYRE1"/>
      <sheetName val="Data"/>
      <sheetName val="Konversi Jarak"/>
      <sheetName val="Interim --&gt; Top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102"/>
      <sheetName val="2105"/>
      <sheetName val="PAY2105JAN"/>
      <sheetName val="PAY2102JAN"/>
      <sheetName val="PAY2102(검증)"/>
      <sheetName val="2102Rp계정별"/>
      <sheetName val="2102Rp거래처별"/>
      <sheetName val="2102U$계정별"/>
      <sheetName val="2102U$계정별 (2)"/>
      <sheetName val="2102U$거래처별"/>
      <sheetName val="2102U$거래처별 (2)"/>
      <sheetName val="2102기타통화계정별"/>
      <sheetName val="2105Rp계정별"/>
      <sheetName val="2105Rp거래처별"/>
      <sheetName val="PAY2105(검증)"/>
      <sheetName val="Contract"/>
      <sheetName val="JKT경비"/>
      <sheetName val="15"/>
      <sheetName val="3"/>
      <sheetName val="9.22"/>
      <sheetName val="7.8"/>
      <sheetName val="Vehicle JKT"/>
      <sheetName val="KAMP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000"/>
      <sheetName val="2004"/>
      <sheetName val="D-04"/>
      <sheetName val="D-05"/>
      <sheetName val="Contract"/>
      <sheetName val="인건비"/>
      <sheetName val="임차도급"/>
      <sheetName val="MCOST1"/>
      <sheetName val="기본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pah"/>
      <sheetName val="NRPP &amp; Nama"/>
      <sheetName val="BDA"/>
      <sheetName val="Premi"/>
      <sheetName val="Absen Prod"/>
      <sheetName val="Absen Log"/>
      <sheetName val="Absen RM"/>
      <sheetName val="HR,GEA,SHE"/>
      <sheetName val="Absen Staff"/>
      <sheetName val="Gaji Log"/>
      <sheetName val="Gaji GA"/>
      <sheetName val="Gaji Staff"/>
      <sheetName val="Gaji Prod"/>
      <sheetName val="Gaji RM"/>
      <sheetName val="Slip Gaji GA"/>
      <sheetName val="Slip Gaji Log"/>
      <sheetName val="Slip Gaji Staff"/>
      <sheetName val="Slip Gaji RM"/>
      <sheetName val="Slip Gaji Prod"/>
      <sheetName val="Rekap Per Item"/>
      <sheetName val="Rekap A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Detail"/>
      <sheetName val="HSEQP"/>
      <sheetName val="HSPIPING"/>
      <sheetName val="PIPING"/>
      <sheetName val="OTH IN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.O.Q"/>
      <sheetName val="GEN Assumpt"/>
      <sheetName val="Schedulling PIT"/>
      <sheetName val="w.hours"/>
      <sheetName val="Productivity Alat"/>
      <sheetName val="Sch OF PIT"/>
      <sheetName val="prodty"/>
      <sheetName val="FIX COST UNIT"/>
      <sheetName val="OPR COST UNIT"/>
      <sheetName val="SUPPORTING UNIT"/>
      <sheetName val="Equip Require &amp; INV"/>
      <sheetName val="INV&amp;D.E.I"/>
      <sheetName val="Lubricant and Fuel"/>
      <sheetName val="CALC_OPR"/>
      <sheetName val="HR DB"/>
      <sheetName val="Labor"/>
      <sheetName val="OVERHEAD &amp; NOE"/>
      <sheetName val="Production Schedule"/>
      <sheetName val="Assump Rate"/>
      <sheetName val="FINancial"/>
      <sheetName val="resum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E"/>
      <sheetName val="Summary"/>
      <sheetName val="Wh Coal"/>
      <sheetName val="Daily Plan"/>
      <sheetName val="Daily Plan_coal"/>
      <sheetName val="Contractor Coal Plan"/>
      <sheetName val="Seq VC Eq"/>
      <sheetName val="Inventory"/>
      <sheetName val="Quality (2)"/>
      <sheetName val="Sim_Plan_mar'13"/>
      <sheetName val="Coal"/>
      <sheetName val="Quali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 notes"/>
      <sheetName val="2 checks"/>
      <sheetName val="3.1 input stats"/>
      <sheetName val="3.2 input cost"/>
      <sheetName val="3.3 input opbals"/>
      <sheetName val="3.4 adjustments"/>
      <sheetName val="4 summary"/>
      <sheetName val="5 waste NAL"/>
      <sheetName val="6 waste BGA"/>
      <sheetName val="7.1 total ore NAL"/>
      <sheetName val="7.2 ROM ore NAL"/>
      <sheetName val="7.3 pre 96 ore NAL"/>
      <sheetName val="7.4 post 96 ore NAL"/>
      <sheetName val="7.5 mtc NAL"/>
      <sheetName val="8.1 total ore BGA"/>
      <sheetName val="8.2 ROM ore BGA"/>
      <sheetName val="8.3 pre 96 ore BGA"/>
      <sheetName val="8.4 post 96 ore BGA"/>
      <sheetName val="8.5 mtc BGA"/>
      <sheetName val="9.1 total gic NAL"/>
      <sheetName val="9.2 op gic NAL"/>
      <sheetName val="9.3 mtc gic NAL"/>
      <sheetName val="10.1 total gic BGA"/>
      <sheetName val="10.2 op gic BGA"/>
      <sheetName val="10.3 mtc gic BGA"/>
      <sheetName val="Sheet3"/>
      <sheetName val="11.1 US$ summary BGA"/>
      <sheetName val="11.2 US$ waste BGA"/>
      <sheetName val="11.3 US$ total ore BGA"/>
      <sheetName val="11.4 US$ ROM ore BGA"/>
      <sheetName val="11.5 US$ pre 96 ore BGA"/>
      <sheetName val="11.6 US$ post 96 ore BGA"/>
      <sheetName val="11.7 US$ mtc BGA"/>
      <sheetName val="11.8 US$ total gic BGA"/>
      <sheetName val="11.9 US$ op gic BGA"/>
      <sheetName val="11.10 US$ mtc gic BGA"/>
      <sheetName val="11.11 US$ NRV BGA"/>
      <sheetName val="SEHAT"/>
      <sheetName val="D-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3.4 adjustments"/>
      <sheetName val="3.2 input cost"/>
      <sheetName val="1 notes"/>
      <sheetName val="3.3 input opbals"/>
      <sheetName val="3.1 input sta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ract"/>
      <sheetName val="Cost"/>
      <sheetName val="PL"/>
      <sheetName val="Tot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NTUAN"/>
      <sheetName val="M435"/>
      <sheetName val="M420"/>
      <sheetName val="M470"/>
      <sheetName val="tes 470"/>
      <sheetName val="tes 420"/>
      <sheetName val="Formula"/>
      <sheetName val="Data"/>
      <sheetName val="Konversi Jarak"/>
      <sheetName val="I"/>
      <sheetName val="II"/>
      <sheetName val="III"/>
      <sheetName val="bANT"/>
      <sheetName val="giat"/>
      <sheetName val="Contract"/>
      <sheetName val="Ref"/>
      <sheetName val="Detail"/>
      <sheetName val="Petrosea"/>
      <sheetName val="Input OB"/>
      <sheetName val="tes_470"/>
      <sheetName val="tes_420"/>
      <sheetName val="Konversi_Jarak"/>
      <sheetName val="tes_4701"/>
      <sheetName val="tes_4201"/>
      <sheetName val="Konversi_Jarak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chedule"/>
      <sheetName val="Master"/>
      <sheetName val="Report Internal"/>
      <sheetName val="WA pagi"/>
      <sheetName val="Report"/>
      <sheetName val="db_eqp"/>
      <sheetName val="Rit-OB"/>
      <sheetName val="Rit-Coal"/>
      <sheetName val="Status"/>
      <sheetName val="Rain"/>
      <sheetName val="Fuel"/>
      <sheetName val="BD"/>
      <sheetName val="HM"/>
      <sheetName val="POMPA"/>
      <sheetName val="Hourly Production"/>
      <sheetName val="PTY"/>
      <sheetName val="Shift"/>
      <sheetName val="Equper"/>
      <sheetName val="Report HM"/>
      <sheetName val="Production"/>
      <sheetName val="Performance"/>
      <sheetName val="YTD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A-HRG"/>
      <sheetName val="ALAT"/>
      <sheetName val="ALAT-PTG-KRS"/>
    </sheetNames>
    <sheetDataSet>
      <sheetData sheetId="0"/>
      <sheetData sheetId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chedule"/>
      <sheetName val="Master"/>
      <sheetName val="Report"/>
      <sheetName val="Status"/>
      <sheetName val="Rit-OB"/>
      <sheetName val="Rit-Coal"/>
      <sheetName val="RainSlipp"/>
      <sheetName val="Fuel"/>
      <sheetName val="BD"/>
      <sheetName val="HM"/>
      <sheetName val="HDS"/>
      <sheetName val="Hourly Production"/>
      <sheetName val="Production"/>
      <sheetName val="Report Internal"/>
      <sheetName val="Performance"/>
      <sheetName val="Sheet1"/>
      <sheetName val="Sheet2"/>
      <sheetName val="Equiper"/>
      <sheetName val="FuelCons"/>
      <sheetName val="Dump Point"/>
      <sheetName val="Shiftly"/>
      <sheetName val="Coal Expose"/>
      <sheetName val="Rekap Fu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lama"/>
      <sheetName val="Master (2)"/>
      <sheetName val="Master (3)"/>
      <sheetName val="Sheet1"/>
      <sheetName val="Sheet2"/>
      <sheetName val="Sheet3"/>
      <sheetName val="Sheet4"/>
      <sheetName val="Sheet5"/>
      <sheetName val="Master New 201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rESUME"/>
      <sheetName val="Edit"/>
      <sheetName val="PMR76HA3"/>
      <sheetName val="bANT"/>
      <sheetName val="LD201"/>
      <sheetName val="LD202"/>
      <sheetName val="LD203"/>
      <sheetName val="LD204"/>
      <sheetName val="LD205"/>
      <sheetName val="LD106"/>
      <sheetName val="LD107"/>
      <sheetName val="LD108"/>
      <sheetName val="LD109"/>
      <sheetName val="LD110"/>
      <sheetName val="LD111"/>
      <sheetName val="LD112"/>
      <sheetName val="LD113"/>
      <sheetName val="LD114"/>
      <sheetName val="LD115"/>
      <sheetName val="LD206"/>
      <sheetName val="LD207"/>
      <sheetName val="LD208"/>
      <sheetName val="LD209"/>
      <sheetName val="LD210"/>
      <sheetName val="LD121"/>
      <sheetName val="LD122"/>
      <sheetName val="LD116"/>
      <sheetName val="LD117"/>
      <sheetName val="LD118"/>
      <sheetName val="LD119"/>
      <sheetName val="LD120"/>
      <sheetName val="LD123"/>
      <sheetName val="LD124"/>
      <sheetName val="LD125"/>
      <sheetName val="LD133"/>
      <sheetName val="LD134"/>
      <sheetName val="Formula"/>
      <sheetName val="01"/>
      <sheetName val="giat"/>
      <sheetName val="08"/>
      <sheetName val="ACT"/>
      <sheetName val="PL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ACTUAL"/>
      <sheetName val="Count_LOADER"/>
      <sheetName val="PL_LOSE"/>
      <sheetName val="ACTUAL_M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nEX2011"/>
      <sheetName val="BanEX2012"/>
      <sheetName val="BanEX244"/>
      <sheetName val="BanEX245"/>
      <sheetName val="Resume"/>
      <sheetName val="Edit"/>
      <sheetName val="PMR76HA3"/>
      <sheetName val="Bant"/>
      <sheetName val="Royalty"/>
      <sheetName val="VOLUMES"/>
      <sheetName val="Misc Input"/>
      <sheetName val="Act_Wk"/>
      <sheetName val="PLAN"/>
      <sheetName val="Data"/>
      <sheetName val="Konversi Jarak"/>
      <sheetName val="28_Detail2"/>
      <sheetName val="Misc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4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rESUME"/>
      <sheetName val="Edit"/>
      <sheetName val="PMR76HA3"/>
      <sheetName val="Bant"/>
      <sheetName val="LD201"/>
      <sheetName val="LD202"/>
      <sheetName val="LD203"/>
      <sheetName val="LD204"/>
      <sheetName val="LD205"/>
      <sheetName val="LD106"/>
      <sheetName val="LD107"/>
      <sheetName val="LD108"/>
      <sheetName val="LD109"/>
      <sheetName val="LD110"/>
      <sheetName val="LD111"/>
      <sheetName val="LD112"/>
      <sheetName val="LD113"/>
      <sheetName val="LD114"/>
      <sheetName val="LD115"/>
      <sheetName val="LD206"/>
      <sheetName val="LD207"/>
      <sheetName val="LD208"/>
      <sheetName val="LD209"/>
      <sheetName val="LD210"/>
      <sheetName val="LD121"/>
      <sheetName val="LD122"/>
      <sheetName val="LD116"/>
      <sheetName val="LD117"/>
      <sheetName val="LD118"/>
      <sheetName val="LD119"/>
      <sheetName val="LD120"/>
      <sheetName val="LD123"/>
      <sheetName val="LD124"/>
      <sheetName val="LD125"/>
      <sheetName val="LD133"/>
      <sheetName val="LD134"/>
      <sheetName val="I"/>
      <sheetName val="II"/>
      <sheetName val="III"/>
      <sheetName val="MAR"/>
      <sheetName val="Royalty"/>
      <sheetName val="giat"/>
      <sheetName val="Data"/>
      <sheetName val="Plant"/>
      <sheetName val="bni(rp)"/>
      <sheetName val="bni($)"/>
      <sheetName val="bpd(rp)"/>
      <sheetName val="cash"/>
      <sheetName val="kebd(rp)"/>
      <sheetName val="kebd($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1A"/>
      <sheetName val="RC1B"/>
      <sheetName val="RC2A"/>
      <sheetName val="RC2B"/>
      <sheetName val="RC2C"/>
      <sheetName val="FS1A"/>
      <sheetName val="transfer"/>
      <sheetName val="FS1B"/>
      <sheetName val="FS1C"/>
      <sheetName val="FS1D"/>
      <sheetName val="G"/>
      <sheetName val="FS2A"/>
      <sheetName val="FS2B"/>
      <sheetName val="FS2C"/>
      <sheetName val="FS2D"/>
      <sheetName val="Oth"/>
      <sheetName val="stockpile"/>
      <sheetName val="Barge"/>
      <sheetName val="data barging"/>
      <sheetName val="Report"/>
      <sheetName val="Summary"/>
      <sheetName val="Bant"/>
      <sheetName val="VOLUMES"/>
      <sheetName val="Misc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ily Schedule"/>
      <sheetName val="Master"/>
      <sheetName val="Breakdown"/>
      <sheetName val="HM Unit"/>
      <sheetName val="Equiper"/>
      <sheetName val="HM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Detail"/>
      <sheetName val="임차도급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ta"/>
      <sheetName val="data"/>
      <sheetName val="input"/>
      <sheetName val="rain"/>
      <sheetName val="aplan"/>
      <sheetName val="bplan"/>
      <sheetName val="_"/>
      <sheetName val="gabungan"/>
      <sheetName val="r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5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bmo"/>
      <sheetName val="survey-bmo"/>
      <sheetName val="FIXED"/>
      <sheetName val="others master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sh"/>
      <sheetName val="bpd(rp)"/>
      <sheetName val="bni(rp)"/>
      <sheetName val="kebd(rp)"/>
      <sheetName val="bni($)"/>
      <sheetName val="kebd($)"/>
      <sheetName val="Actual"/>
      <sheetName val="Creteria"/>
      <sheetName val="Bank Manager(0704)-Monthly"/>
      <sheetName val="28_Detail2"/>
      <sheetName val="2102"/>
      <sheetName val="Test Dep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Monthly £ 1"/>
    </sheetNames>
    <sheetDataSet>
      <sheetData sheetId="0"/>
      <sheetData sheetId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nitoring Kehadiran"/>
      <sheetName val="Rekap abSen"/>
      <sheetName val="Alokasi Load"/>
      <sheetName val="Sheet4"/>
      <sheetName val="Compare"/>
      <sheetName val="Master"/>
      <sheetName val="iNPUT dRIVER"/>
      <sheetName val="Sheet2"/>
      <sheetName val="Sheet3"/>
      <sheetName val="Tempel"/>
      <sheetName val="Tmpl"/>
      <sheetName val="UA"/>
      <sheetName val="Check"/>
      <sheetName val="Pres Target "/>
      <sheetName val="Sheet1"/>
      <sheetName val="Roster"/>
      <sheetName val="Tempel (2)"/>
      <sheetName val="Produksi September  2011"/>
      <sheetName val="PA"/>
      <sheetName val="KPI"/>
      <sheetName val="OUTCM"/>
      <sheetName val="M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ecast"/>
      <sheetName val="Budget"/>
      <sheetName val="FYFCNOV"/>
      <sheetName val="Monthly £ 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ARAN"/>
      <sheetName val="SIS SMO"/>
      <sheetName val="SIS BMO"/>
      <sheetName val="BUMA BMO 7"/>
      <sheetName val="BUMA Lati"/>
      <sheetName val="2007"/>
      <sheetName val="2008"/>
      <sheetName val="cost 2007"/>
      <sheetName val="cost 2008"/>
      <sheetName val="Report"/>
      <sheetName val="Reg_Fuel Consumption 2009"/>
      <sheetName val="Budget"/>
      <sheetName val="Forecast"/>
      <sheetName val="작성기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_"/>
      <sheetName val="Summarised FS"/>
      <sheetName val="Other income &amp; Admin"/>
      <sheetName val="CODE"/>
      <sheetName val="USD by month"/>
      <sheetName val="USD Adjustments"/>
      <sheetName val="AUSD by month"/>
      <sheetName val="PMG"/>
      <sheetName val="Accounts Payable &amp; Consumables"/>
      <sheetName val="MAR"/>
      <sheetName val="BUMA BMO 7"/>
      <sheetName val="BUMA Lati"/>
      <sheetName val="SIS BMO"/>
      <sheetName val="SIS S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ozing Estimation"/>
      <sheetName val="Production"/>
      <sheetName val="Graphic OB"/>
      <sheetName val="Graphic Coal"/>
      <sheetName val="Trip OB"/>
      <sheetName val="OB-PIT"/>
      <sheetName val="Productivity"/>
      <sheetName val="Dozing-Side Cast"/>
      <sheetName val="COAL-PIT "/>
      <sheetName val="Sheet2"/>
      <sheetName val="Production (2)"/>
      <sheetName val="Dozing Estimation (2)"/>
      <sheetName val="COAL-PIT  (2)"/>
      <sheetName val="DRILLBLAST"/>
      <sheetName val="ACT OB"/>
      <sheetName val="ACT COAL"/>
      <sheetName val="REPORT01"/>
      <sheetName val="COAL CRUSH PLAN"/>
      <sheetName val=" COAL MINE PLAN"/>
      <sheetName val=" SAF 02"/>
      <sheetName val="KODE"/>
      <sheetName val="Sheet1"/>
      <sheetName val="DATABASE"/>
      <sheetName val="Kode Aktifitas"/>
      <sheetName val="Esperanza"/>
      <sheetName val="Mth KPI's"/>
      <sheetName val="Populasi Unit MTN 054C "/>
      <sheetName val="SMU Aug 2019"/>
      <sheetName val="Cash Flow - IDR"/>
      <sheetName val="Cash Flow - USD"/>
      <sheetName val="Deposits"/>
      <sheetName val="Detail Incoming"/>
      <sheetName val="Incoming Trend Chart"/>
      <sheetName val="AR Detail - AsPer 30Apr"/>
      <sheetName val="AR Detail - AsPer 31Mar"/>
      <sheetName val="AR Detail - As per 28Feb"/>
      <sheetName val="Incoming Trend Chart "/>
      <sheetName val="Lease Loan Juni 2019"/>
      <sheetName val="Payment UT &amp; TU (2)"/>
      <sheetName val="AR Detail - As Per 30 Sep"/>
      <sheetName val="AR Detail - AsPer30Jun"/>
      <sheetName val="AR Detail - AsPer 31May"/>
      <sheetName val="Lease Loan - Jan 2019"/>
      <sheetName val="Payment UT &amp; TU"/>
      <sheetName val="Schedule New Unit"/>
      <sheetName val="Actual Projection 2018"/>
      <sheetName val="031C"/>
      <sheetName val="037C"/>
      <sheetName val="042C"/>
      <sheetName val="043C"/>
      <sheetName val="047C"/>
      <sheetName val="048C"/>
      <sheetName val="050C"/>
      <sheetName val="051C"/>
      <sheetName val="052C"/>
      <sheetName val="053C"/>
      <sheetName val="054C"/>
      <sheetName val="055C"/>
      <sheetName val="056C"/>
      <sheetName val="DAF-2"/>
      <sheetName val="List HE"/>
      <sheetName val="Populasi Unit"/>
      <sheetName val="Graphic_OB"/>
      <sheetName val="Graphic_Coal"/>
      <sheetName val="Trip_OB"/>
      <sheetName val="Dozing-Side_Cast"/>
      <sheetName val="COAL-PIT_"/>
      <sheetName val="Dozing_Estimation"/>
      <sheetName val="Production_(2)"/>
      <sheetName val="Dozing_Estimation_(2)"/>
      <sheetName val="COAL-PIT__(2)"/>
      <sheetName val="List_HE"/>
      <sheetName val="Populasi_Unit"/>
      <sheetName val="Graphic_OB1"/>
      <sheetName val="Graphic_Coal1"/>
      <sheetName val="Trip_OB1"/>
      <sheetName val="Dozing-Side_Cast1"/>
      <sheetName val="COAL-PIT_1"/>
      <sheetName val="Dozing_Estimation1"/>
      <sheetName val="Production_(2)1"/>
      <sheetName val="Dozing_Estimation_(2)1"/>
      <sheetName val="COAL-PIT__(2)1"/>
      <sheetName val="List_HE1"/>
      <sheetName val="Populasi_Unit1"/>
      <sheetName val="Daily Production KSM  0604"/>
      <sheetName val="Parameter-OPT"/>
      <sheetName val="tbl_activity"/>
      <sheetName val="tbl_overhead"/>
      <sheetName val="tbl_condition"/>
      <sheetName val="tbl_tools_facility"/>
      <sheetName val="Leasing"/>
      <sheetName val="Rental"/>
      <sheetName val="tbl_sallary"/>
      <sheetName val="tbl_unit"/>
      <sheetName val="Criteria"/>
      <sheetName val="REKAP IDR"/>
      <sheetName val="Data Validasi"/>
      <sheetName val="Data Validation"/>
      <sheetName val="cus"/>
      <sheetName val="BUMA BMO 7"/>
      <sheetName val="BUMA Lati"/>
      <sheetName val="SIS BMO"/>
      <sheetName val="SIS SMO"/>
      <sheetName val="Base"/>
      <sheetName val="Cap"/>
      <sheetName val="MMCR"/>
      <sheetName val="Ref"/>
      <sheetName val="HM"/>
      <sheetName val="Summary PA"/>
      <sheetName val="Summary UA"/>
      <sheetName val="HM JUL 2022"/>
      <sheetName val="DT 1053"/>
      <sheetName val="DT 1056"/>
      <sheetName val="1050"/>
      <sheetName val="DT 1058"/>
      <sheetName val="DT 1059"/>
      <sheetName val="DT 1060"/>
      <sheetName val="DT 1061"/>
      <sheetName val="DT 1062"/>
      <sheetName val="DT 1063"/>
      <sheetName val="DT 1064"/>
      <sheetName val="DT 1065"/>
      <sheetName val="DT 1066"/>
      <sheetName val="DT 1067"/>
      <sheetName val="DT 1068"/>
      <sheetName val="DT 1069"/>
      <sheetName val="DT 1070"/>
      <sheetName val="DT 1072"/>
      <sheetName val="DT 1073"/>
      <sheetName val="DT 1074"/>
      <sheetName val="DT 1075"/>
      <sheetName val="DT 1076"/>
      <sheetName val="DT 1077"/>
      <sheetName val="DT 1078"/>
      <sheetName val="DT 1079"/>
      <sheetName val="DT 1080"/>
      <sheetName val="DT 2001"/>
      <sheetName val="DT 2002"/>
      <sheetName val="DT 2003"/>
      <sheetName val="DT 2004"/>
      <sheetName val="DT 2005"/>
      <sheetName val="DT 2006"/>
      <sheetName val="DT 2007"/>
      <sheetName val="DT 2008"/>
      <sheetName val="DT 2009"/>
      <sheetName val="DT 2010"/>
      <sheetName val="DT 2011"/>
      <sheetName val="DT 2012"/>
      <sheetName val="DT 2015"/>
      <sheetName val="DT 2016"/>
      <sheetName val="DT 2017"/>
      <sheetName val="DT 2018"/>
      <sheetName val="DT 2019"/>
      <sheetName val="DT 2020"/>
      <sheetName val="DT 2021"/>
      <sheetName val="DT 2022"/>
      <sheetName val="DT 2023"/>
      <sheetName val="DT 2025"/>
      <sheetName val="DT 2026"/>
      <sheetName val="DT 2027"/>
      <sheetName val="DT 2033"/>
      <sheetName val="DT 2035"/>
      <sheetName val="DT 2036"/>
      <sheetName val="DT 2037"/>
      <sheetName val="DT 2038"/>
      <sheetName val="DT 2039"/>
      <sheetName val="DT 2040"/>
      <sheetName val="DT 2041"/>
      <sheetName val="DT 2042"/>
      <sheetName val="DT 2043"/>
      <sheetName val="DT 2045"/>
      <sheetName val="DT 2046"/>
      <sheetName val="DT 2047"/>
      <sheetName val="DT 2048"/>
      <sheetName val="Qtty B"/>
      <sheetName val="Asset"/>
      <sheetName val="C"/>
      <sheetName val="OLIE"/>
      <sheetName val="Cost Per Unit"/>
      <sheetName val="MASTER HARGA"/>
      <sheetName val="DB"/>
      <sheetName val="H.Satuan"/>
      <sheetName val="6. Waterfall Analysis"/>
      <sheetName val="SUMMARY NDE"/>
      <sheetName val="PV MOS"/>
      <sheetName val="BS"/>
      <sheetName val="UA &amp; MA HRC 1500"/>
      <sheetName val="HRC 1500"/>
      <sheetName val="Ppls"/>
      <sheetName val="Populasi"/>
      <sheetName val="3. Weekly BALANCE STOCK"/>
      <sheetName val="PARTS IN"/>
      <sheetName val="PARTS OUT"/>
      <sheetName val="STOCK PART"/>
      <sheetName val="Equipment Cost"/>
      <sheetName val="date"/>
      <sheetName val="Big"/>
      <sheetName val="Coal_Mining"/>
      <sheetName val="Cover"/>
      <sheetName val="Htr"/>
      <sheetName val="KPC Coal"/>
      <sheetName val="KPC"/>
      <sheetName val="KPC_Total"/>
      <sheetName val="MS"/>
      <sheetName val="73 SC EXT"/>
      <sheetName val="Sheet4"/>
      <sheetName val="Sheet8"/>
      <sheetName val="Sheet29"/>
      <sheetName val="plan"/>
      <sheetName val="List"/>
      <sheetName val="COA"/>
      <sheetName val="Sheet3"/>
      <sheetName val="Price Part"/>
      <sheetName val="Sched"/>
      <sheetName val="EqMaster"/>
      <sheetName val="Sheet5"/>
      <sheetName val="Sheet6"/>
      <sheetName val="Sheet7"/>
      <sheetName val="Sheet9"/>
      <sheetName val="Sheet12"/>
      <sheetName val="Sheet20"/>
      <sheetName val="Data OB"/>
      <sheetName val="BRE"/>
      <sheetName val="EBL"/>
      <sheetName val="GPM"/>
      <sheetName val="KPI PA"/>
      <sheetName val="wh"/>
      <sheetName val="01-Asumsi - p &amp; i"/>
      <sheetName val="02-Ikhtisar Keuangan-1&amp;2 - i"/>
      <sheetName val="Bahan"/>
      <sheetName val="RF"/>
      <sheetName val="Code"/>
      <sheetName val="EQL"/>
      <sheetName val="MDB"/>
      <sheetName val="PAR"/>
      <sheetName val="Master"/>
      <sheetName val="name"/>
      <sheetName val="D25KS"/>
      <sheetName val="Kode_Aktifitas"/>
      <sheetName val="Cost_Per_Unit"/>
      <sheetName val="Daily_Production_KSM__0604"/>
      <sheetName val="Mth_KPI's"/>
      <sheetName val="ACT_OB"/>
      <sheetName val="ACT_COAL"/>
      <sheetName val="COAL_CRUSH_PLAN"/>
      <sheetName val="_COAL_MINE_PLAN"/>
      <sheetName val="_SAF_02"/>
      <sheetName val="Populasi_Unit_MTN_054C_"/>
      <sheetName val="SMU_Aug_2019"/>
      <sheetName val="By_Area"/>
      <sheetName val="OV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</sheetDataSet>
  </externalBook>
</externalLink>
</file>

<file path=xl/externalLinks/externalLink5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it C3"/>
      <sheetName val="Pit E"/>
      <sheetName val="Coal"/>
      <sheetName val="wh"/>
      <sheetName val="A2B"/>
      <sheetName val="Jan"/>
      <sheetName val="OLIE"/>
      <sheetName val="Sheet1"/>
      <sheetName val="Pit_C3"/>
      <sheetName val="Pit_E"/>
      <sheetName val="Summary"/>
      <sheetName val="Sheet3"/>
      <sheetName val="Sheet4"/>
      <sheetName val="Sheet8"/>
      <sheetName val="Sheet20"/>
      <sheetName val="Sheet6"/>
      <sheetName val="Sheet12"/>
      <sheetName val="Sheet29"/>
      <sheetName val="Data"/>
      <sheetName val="Data Base"/>
      <sheetName val="Monthly Entry"/>
      <sheetName val="Bank data"/>
      <sheetName val="Data Entry"/>
      <sheetName val="Tabel stock"/>
      <sheetName val="WBS"/>
      <sheetName val="By_Area"/>
      <sheetName val="Data_Base"/>
      <sheetName val="Monthly_Entry"/>
      <sheetName val="Bank_data"/>
      <sheetName val="Data_Entry"/>
      <sheetName val="Tabel_stock"/>
      <sheetName val="MASTER"/>
      <sheetName val="SUMMARY NDE"/>
      <sheetName val="Data Barging"/>
      <sheetName val="Forecast"/>
      <sheetName val="Record Operation"/>
      <sheetName val="Unload Lati Port"/>
      <sheetName val="LT Coal"/>
      <sheetName val="LT OB"/>
      <sheetName val="Safety"/>
      <sheetName val="Code"/>
      <sheetName val="PAR"/>
      <sheetName val="ITRate"/>
      <sheetName val="WH Unit_Sept"/>
      <sheetName val="Validation"/>
      <sheetName val="Pit_C31"/>
      <sheetName val="Pit_E1"/>
      <sheetName val="Data_Base1"/>
      <sheetName val="Monthly_Entry1"/>
      <sheetName val="Bank_data1"/>
      <sheetName val="Data_Entry1"/>
      <sheetName val="SUMMARY_NDE"/>
      <sheetName val="Data_Barging"/>
      <sheetName val="Record_Operation"/>
      <sheetName val="Unload_Lati_Port"/>
      <sheetName val="LT_Coal"/>
      <sheetName val="LT_OB"/>
      <sheetName val="Tabel_stock1"/>
      <sheetName val="WH_Unit_Sept"/>
      <sheetName val="_"/>
      <sheetName val="Dozing Estimatio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ILY REPORT"/>
      <sheetName val="DATA BASE"/>
      <sheetName val="TimeSheet Idle-Delay"/>
      <sheetName val="Daily Performance Calculation"/>
      <sheetName val="Daily Machine Condition Report"/>
      <sheetName val="DAFTAR HADIR"/>
      <sheetName val="Sheet1"/>
      <sheetName val="TIME SHEET"/>
      <sheetName val="REPORT"/>
      <sheetName val="Forecast"/>
      <sheetName val="RFID"/>
      <sheetName val="CONSUMPSI FUEL"/>
      <sheetName val="Hauling Performance"/>
      <sheetName val="PERFORM (DAILY)"/>
      <sheetName val="RIT OPERATOR"/>
      <sheetName val="ABSEN"/>
      <sheetName val="FUEL"/>
      <sheetName val="CHECK HM &amp; KM PENGISIAN FUEL"/>
      <sheetName val="PERFORM (MONTHLY)"/>
      <sheetName val="DASHBOARD FR"/>
      <sheetName val="Sheet3"/>
      <sheetName val="MONTHLY REPORT"/>
      <sheetName val="PERFORMANCE OPERATOR"/>
      <sheetName val="DASHBOARD MTD PRODUKSI"/>
      <sheetName val="SETTING APLIK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itle &amp; Notes"/>
      <sheetName val="NPV  SUMMARY"/>
      <sheetName val="Input Sheet"/>
      <sheetName val="EconInput"/>
      <sheetName val="Prod Schedule"/>
      <sheetName val="GRAPHS AND TABLES"/>
      <sheetName val="XPAC Sch Results"/>
      <sheetName val="plan"/>
      <sheetName val="Hyper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ta"/>
      <sheetName val="data"/>
      <sheetName val="input"/>
      <sheetName val="rain"/>
      <sheetName val="Rfr21"/>
      <sheetName val="aplan"/>
      <sheetName val="bplan"/>
      <sheetName val="gabungan"/>
      <sheetName val="r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IGN"/>
      <sheetName val="COVR"/>
      <sheetName val="SPEC"/>
      <sheetName val="RSTR"/>
      <sheetName val="PAVB"/>
      <sheetName val="UQTY"/>
      <sheetName val="SQTY"/>
      <sheetName val="OVBD"/>
      <sheetName val="COAL"/>
      <sheetName val="SUMR"/>
      <sheetName val="BLST"/>
      <sheetName val="OOCS"/>
      <sheetName val="REVN"/>
      <sheetName val="Monthly Entry"/>
      <sheetName val="Bank data"/>
      <sheetName val="Data En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Master_Data"/>
      <sheetName val="General_Assumption"/>
      <sheetName val="Budget_Description"/>
      <sheetName val="Technical_Assumption"/>
      <sheetName val="SUMMARY_24-PRODUCTION QHSE"/>
      <sheetName val="Leave_and_Relocation"/>
      <sheetName val="Travel_Fares_Accomodation"/>
      <sheetName val="Safety_Equipment"/>
      <sheetName val="Trans_fuel_lubricant"/>
      <sheetName val="Repair_and_maint"/>
      <sheetName val="Hire_Equipment"/>
      <sheetName val="Consultant"/>
      <sheetName val="Other_Expense"/>
      <sheetName val="CAPEX"/>
      <sheetName val="Capex 5 Years"/>
      <sheetName val="Input"/>
      <sheetName val="Sheet1"/>
      <sheetName val="Title &amp; Notes"/>
      <sheetName val="SUMMARY_24-PRODUCTION_QHSE"/>
      <sheetName val="Capex_5_Years"/>
      <sheetName val="Title_&amp;_Notes"/>
      <sheetName val="SUMMARY_24-PRODUCTION_QHSE1"/>
      <sheetName val="Capex_5_Years1"/>
      <sheetName val="Title_&amp;_Not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eb"/>
      <sheetName val="Rate feb"/>
      <sheetName val="prod feb"/>
      <sheetName val="Mar"/>
      <sheetName val="Rate Mar"/>
      <sheetName val="prod mar"/>
      <sheetName val="pty"/>
      <sheetName val="Prod'ty"/>
      <sheetName val="OLIE"/>
      <sheetName val="RF"/>
      <sheetName val="Code"/>
      <sheetName val="EQL"/>
      <sheetName val="MDB"/>
      <sheetName val="PAR"/>
      <sheetName val="Monthly Entry"/>
      <sheetName val="Bank data"/>
      <sheetName val="Data Entry"/>
      <sheetName val="SPit"/>
      <sheetName val="COAL"/>
      <sheetName val="UQTY"/>
      <sheetName val="OVBD"/>
      <sheetName val="SQTY"/>
      <sheetName val="RSTR"/>
      <sheetName val="SPEC"/>
      <sheetName val="PAVB"/>
      <sheetName val="Daily"/>
      <sheetName val="Barging Entry"/>
      <sheetName val="Monthly"/>
      <sheetName val="Sambarata 2002"/>
      <sheetName val="PPU"/>
      <sheetName val="SPK"/>
      <sheetName val="STATUS"/>
      <sheetName val="SPK.UNIT"/>
      <sheetName val="PA.UNIT"/>
      <sheetName val="BD PERMANENT"/>
      <sheetName val="BACKLOG"/>
      <sheetName val="Sheet1"/>
      <sheetName val="Laporan RM Oktober 2010"/>
      <sheetName val="2002"/>
      <sheetName val="wh"/>
      <sheetName val="base"/>
      <sheetName val="Data Base"/>
      <sheetName val="CLOSING"/>
      <sheetName val="isi"/>
      <sheetName val="MASTER"/>
      <sheetName val="KPTJ001"/>
      <sheetName val="Configuration"/>
      <sheetName val="Rate_feb"/>
      <sheetName val="prod_feb"/>
      <sheetName val="Rate_Mar"/>
      <sheetName val="prod_mar"/>
      <sheetName val="Monthly_Entry"/>
      <sheetName val="Bank_data"/>
      <sheetName val="Data_En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6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X"/>
      <sheetName val="samsidb"/>
      <sheetName val="FORM OB &amp; COAL"/>
      <sheetName val="Chart1"/>
      <sheetName val="FORM HL &amp; DB"/>
      <sheetName val="COAL CRUSH PLAN"/>
      <sheetName val=" COAL MINE PLAN"/>
      <sheetName val=" OB PLAN"/>
      <sheetName val="Ktd"/>
      <sheetName val="REPORT01"/>
      <sheetName val="Report 02"/>
      <sheetName val="REPORT 03"/>
      <sheetName val="ACT COAL"/>
      <sheetName val="ACT DIRTY COAL"/>
      <sheetName val="ACT OB"/>
      <sheetName val="ACT HAUL"/>
      <sheetName val="DRILLBLAST"/>
      <sheetName val="DAILY_SUM"/>
      <sheetName val="Rain &amp; Slippery Method"/>
      <sheetName val="ACTDIRTYCOAL"/>
      <sheetName val="Rain_SlipperyMethod"/>
      <sheetName val="ADR(new)"/>
      <sheetName val="Attendance Ratio"/>
      <sheetName val="week 3"/>
      <sheetName val="week 1"/>
      <sheetName val="Master"/>
      <sheetName val="Sheet1"/>
      <sheetName val="Validation"/>
      <sheetName val="r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FORM (2)"/>
      <sheetName val="Sum_Dept"/>
      <sheetName val="Sum_Dept (2)"/>
      <sheetName val="Plan-Q"/>
      <sheetName val="Dept"/>
      <sheetName val="HO"/>
      <sheetName val="Tj. Redeb"/>
      <sheetName val="BMO"/>
      <sheetName val="LMO"/>
      <sheetName val="SMO"/>
      <sheetName val="Pie_YDBBC"/>
      <sheetName val="Pie_budget"/>
      <sheetName val="SO_CD_05"/>
      <sheetName val="Form_Kinerja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"/>
      <sheetName val="GRAFIK"/>
      <sheetName val="DAILY"/>
      <sheetName val="PRICE"/>
      <sheetName val="MASTER"/>
      <sheetName val="Oil_Consumption_AGM_201306"/>
      <sheetName val="NO1PUMP FRONT NC AT FULL STROKE"/>
      <sheetName val="NO1PUMP FRONT NC RH TRACK2"/>
      <sheetName val="NO1PUMPREARNC ALL LEVERSNEUTRAL"/>
      <sheetName val="NO1PUMP REARNC LH TRACK2"/>
      <sheetName val="NO1PUMP REARNC FULL STROKE"/>
      <sheetName val="NO2PUMP REARNC ALL LEVER NEUTRA"/>
      <sheetName val="NO2REARNCPUMP SWING FULL STRUK "/>
      <sheetName val="NO2PUMP REAR DURING SWINGING"/>
      <sheetName val="NO1PUMP FRONTCO BOOM RAISE.FNC"/>
      <sheetName val="NO1PUMPFRONT COBOOM RAISE.RNC"/>
      <sheetName val="NO1PUMPFRONTCO SWING RELIEF FNC"/>
      <sheetName val="NO1PUMPSWING RELIEFRNC"/>
      <sheetName val="SWING ENG FULL RELIEF LH"/>
      <sheetName val="SWING ENG FULL RELIEF RH"/>
      <sheetName val="BOMRAISE ALHEAVY SWITCH.OFF"/>
      <sheetName val="BOMRAISEATHEAVYSWITCH.ON"/>
      <sheetName val="LH TRAVEL FOR&amp;REV FRONT PUMP"/>
      <sheetName val="LH TRAVELFOR&amp;REV REAR PUMP"/>
      <sheetName val="RHTRAVEL FOR&amp;REV REAR PUMP"/>
      <sheetName val="NO1PUMPFRONT LEVERSAT NEUTRAL"/>
      <sheetName val="LH TRAVEL UNDER P6 MAIN"/>
      <sheetName val="LH TRAVEL FORWAD P6 MAIN"/>
      <sheetName val="LHTRAVEL REVERSE P6 MAIN"/>
      <sheetName val="AUTO OFF P7 CONC"/>
      <sheetName val="BOOM RAISE OFF P7CONC"/>
      <sheetName val="AUTO OFF P8 MAIN"/>
      <sheetName val="BOOM RAISE OFF P8MAIN"/>
      <sheetName val="SWING UNDER P7CONC"/>
      <sheetName val="SWING UNDER P8 MAIN"/>
      <sheetName val="RH SWING P8 MAIN"/>
      <sheetName val="LH SWING P8 MAIN "/>
      <sheetName val="REMARKS"/>
      <sheetName val="Sheet22"/>
      <sheetName val="DATE"/>
      <sheetName val="HM"/>
      <sheetName val="STD LH TRAVEL 5 TURNS"/>
      <sheetName val="CONTROL PUMP ENG FULL"/>
      <sheetName val="TVC BOOM RAISE RELIEF"/>
      <sheetName val="TVC HEAVYLIFT ON BOOM RAISE "/>
      <sheetName val="TVC SWING RELIEF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note"/>
      <sheetName val="ASS"/>
      <sheetName val="SPEC"/>
      <sheetName val="SUMM"/>
      <sheetName val="SCHE"/>
      <sheetName val="WHRS"/>
      <sheetName val="WHRSSUM"/>
      <sheetName val="EQREQ"/>
      <sheetName val="MOBIL"/>
      <sheetName val="SUBC"/>
      <sheetName val="FUEL"/>
      <sheetName val="DRILL"/>
      <sheetName val="EXPL"/>
      <sheetName val="BLAS"/>
      <sheetName val="MAT"/>
      <sheetName val="TGET"/>
      <sheetName val="REV"/>
      <sheetName val="INV"/>
      <sheetName val="DEPR"/>
      <sheetName val="MANP"/>
      <sheetName val="GEA"/>
      <sheetName val="P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nge"/>
      <sheetName val="Cost C"/>
      <sheetName val="Prod Dbase-OB"/>
      <sheetName val="Prod Dbase-CO"/>
      <sheetName val="Sheet2"/>
      <sheetName val="Working Hrs-All"/>
      <sheetName val="MA-ALL"/>
      <sheetName val="Dbase No Prod"/>
      <sheetName val="Dbase Support"/>
      <sheetName val="OB Digger P'vity"/>
      <sheetName val="Eqp HM"/>
      <sheetName val="Eqp Fuel"/>
      <sheetName val="Mechanism"/>
      <sheetName val="Cost Code"/>
      <sheetName val="Data Coal"/>
      <sheetName val="Dbase OB"/>
      <sheetName val="Delay DB"/>
      <sheetName val="Report Prod RBA"/>
      <sheetName val="HM"/>
      <sheetName val="FuelOilube"/>
      <sheetName val="Safety"/>
      <sheetName val="Summary"/>
      <sheetName val="Report P&amp;L"/>
      <sheetName val="Food &amp; Mess"/>
      <sheetName val="Populasi Unit MTN 054C "/>
      <sheetName val="SMU Aug 2019"/>
      <sheetName val="Sheet1"/>
      <sheetName val="Master"/>
      <sheetName val="Report"/>
      <sheetName val="Fuel"/>
      <sheetName val="Sheet3"/>
      <sheetName val="COAL INV 2012"/>
      <sheetName val="IP,KUD,CITRA"/>
      <sheetName val="Ponton"/>
      <sheetName val="Master Juli"/>
      <sheetName val="Master August"/>
      <sheetName val="Crircle."/>
      <sheetName val="Transhipment"/>
      <sheetName val="Jetty "/>
      <sheetName val="BCT "/>
      <sheetName val="KONTR_BARGE"/>
      <sheetName val="KUD "/>
      <sheetName val="H.Pem "/>
      <sheetName val="IP"/>
      <sheetName val="Cost_C"/>
      <sheetName val="Prod_Dbase-OB"/>
      <sheetName val="Prod_Dbase-CO"/>
      <sheetName val="Working_Hrs-All"/>
      <sheetName val="Dbase_No_Prod"/>
      <sheetName val="Dbase_Support"/>
      <sheetName val="OB_Digger_P'vity"/>
      <sheetName val="Eqp_HM"/>
      <sheetName val="Eqp_Fuel"/>
      <sheetName val="Cost_Code"/>
      <sheetName val="Data_Coal"/>
      <sheetName val="Dbase_OB"/>
      <sheetName val="Delay_DB"/>
      <sheetName val="Report_Prod_RBA"/>
      <sheetName val="Report_P&amp;L"/>
      <sheetName val="Food_&amp;_Mess"/>
      <sheetName val="DB1"/>
      <sheetName val="Dozing Estimation"/>
      <sheetName val="COST"/>
      <sheetName val="Hirarki"/>
      <sheetName val="POP"/>
      <sheetName val="RESUME"/>
      <sheetName val="Lists"/>
      <sheetName val="Base Unit"/>
      <sheetName val="Actual Data"/>
      <sheetName val="Component Details"/>
      <sheetName val="Scenarios and Sensitivities"/>
      <sheetName val="Global Assumptions"/>
      <sheetName val="Down Equipment"/>
      <sheetName val="Metal"/>
      <sheetName val="Database Report"/>
      <sheetName val="PA_Prod"/>
      <sheetName val="Prodty"/>
      <sheetName val="EVENT"/>
      <sheetName val="posisi"/>
      <sheetName val="Data"/>
      <sheetName val="PS"/>
      <sheetName val="#REF"/>
      <sheetName val="Isi_Job_Pending"/>
      <sheetName val="PTDH Update"/>
      <sheetName val="#List#"/>
      <sheetName val="Populasi_Unit_MTN_054C_"/>
      <sheetName val="SMU_Aug_2019"/>
      <sheetName val="DATA BASE"/>
      <sheetName val="BARGING"/>
      <sheetName val="CLOSING"/>
      <sheetName val="summ. crush"/>
      <sheetName val="Shiftly Production"/>
      <sheetName val="name"/>
      <sheetName val="COAL"/>
      <sheetName val="UQTY"/>
      <sheetName val="OVBD"/>
      <sheetName val="SQTY"/>
      <sheetName val="RSTR"/>
      <sheetName val="SPEC"/>
      <sheetName val="PAVB"/>
      <sheetName val="seq plan"/>
      <sheetName val="wh"/>
      <sheetName val="Sales Parameter"/>
      <sheetName val="Parameter"/>
      <sheetName val="M"/>
      <sheetName val="SMU Input"/>
      <sheetName val="DbCost"/>
      <sheetName val="Forecast"/>
      <sheetName val="Record Operation"/>
      <sheetName val="Unload Lati Port"/>
      <sheetName val="LT Coal"/>
      <sheetName val="LT OB"/>
      <sheetName val="Data entry"/>
      <sheetName val="Monthly Entry"/>
      <sheetName val="Bank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7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cpp-bin"/>
      <sheetName val="cpp-sur"/>
      <sheetName val="FIXED"/>
      <sheetName val="POTENTIA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cpp-lati"/>
      <sheetName val="FIXED"/>
      <sheetName val="cpp-bin"/>
      <sheetName val="cpp-sur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cpp-lati"/>
    </sheetNames>
    <sheetDataSet>
      <sheetData sheetId="0"/>
      <sheetData sheetId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ikung Voy 2"/>
      <sheetName val="bin-week"/>
      <sheetName val="bank-data"/>
      <sheetName val="MV.M-TANJUNG"/>
      <sheetName val="pAITON-NOV"/>
      <sheetName val="lati-week"/>
      <sheetName val="MV.SANTA ROSA"/>
      <sheetName val="MV.TAPAH"/>
      <sheetName val="tanjung"/>
      <sheetName val="Technical_Assumption"/>
      <sheetName val="COSTSALES"/>
      <sheetName val="Dbase Man Hours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STR"/>
      <sheetName val="PRC"/>
      <sheetName val="OUTCM"/>
      <sheetName val="INCM"/>
      <sheetName val="INCM RKP"/>
      <sheetName val="INDX"/>
      <sheetName val="SUMMARY"/>
      <sheetName val="MONITORING LV"/>
      <sheetName val="CHAR"/>
      <sheetName val="PRD"/>
      <sheetName val="Sheet1"/>
      <sheetName val="SOUNDING-2"/>
      <sheetName val="SOUNDING-1"/>
      <sheetName val="MONITOR-FT"/>
      <sheetName val="seq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7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base_new (2)"/>
      <sheetName val="Isijobpending"/>
      <sheetName val="jobpending"/>
      <sheetName val="Sheet1"/>
      <sheetName val="2016"/>
      <sheetName val="Data Karyawan"/>
      <sheetName val="BukuKas-kah ini"/>
      <sheetName val="bank-data"/>
      <sheetName val="D25KS"/>
      <sheetName val="Expl"/>
      <sheetName val="Data_Unit"/>
      <sheetName val="Graph"/>
      <sheetName val="Input (a)"/>
      <sheetName val="Input (b)"/>
      <sheetName val="Input (t)"/>
      <sheetName val="Dbase Man Hours"/>
      <sheetName val="Test Depre"/>
      <sheetName val="Assetdb"/>
      <sheetName val="PersList"/>
      <sheetName val="AssetPar"/>
      <sheetName val="Sales Parameter"/>
      <sheetName val="summary"/>
      <sheetName val="Sheet1 (2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REPORT PROTO"/>
      <sheetName val="YTD"/>
      <sheetName val="DB-A"/>
      <sheetName val="FORECAS"/>
      <sheetName val="Sheet2"/>
      <sheetName val="Sheet3"/>
      <sheetName val="Sheet1"/>
      <sheetName val="RFID"/>
      <sheetName val="FUEL"/>
      <sheetName val="PVT-RIT"/>
      <sheetName val="PVT-HM"/>
      <sheetName val="TMS"/>
      <sheetName val="SET"/>
    </sheetNames>
    <definedNames>
      <definedName name="Data.Top.Lef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Master_Data"/>
      <sheetName val="General_Assumption"/>
      <sheetName val="Budget_Description"/>
      <sheetName val="Technical_Assumption"/>
      <sheetName val="SUMMARY_24-PRODUCTION QHSE"/>
      <sheetName val="Analysis"/>
      <sheetName val="Notes"/>
      <sheetName val="Leave_and_Relocation"/>
      <sheetName val="Safety_Equipment"/>
      <sheetName val="Travel_Fares_Accomodation"/>
      <sheetName val="Trans_fuel_lubricant"/>
      <sheetName val="Repair_and_maint"/>
      <sheetName val="Hire_Equipment"/>
      <sheetName val="Other_Expense"/>
      <sheetName val="CAPEX"/>
      <sheetName val="Input"/>
      <sheetName val="Des"/>
      <sheetName val="Nov"/>
      <sheetName val="2016"/>
      <sheetName val="Data Karyawan"/>
      <sheetName val="CALc civil (POWERHOUSE)"/>
      <sheetName val="SUMMARY_24-PRODUCTION_QHSE"/>
      <sheetName val="Data_Karyawan"/>
      <sheetName val="CALc_civil_(POWERHOUSE)"/>
      <sheetName val="SUMMARY_24-PRODUCTION_QHSE1"/>
      <sheetName val="Data_Karyawan1"/>
      <sheetName val="CALc_civil_(POWERHOUSE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Sheet1"/>
      <sheetName val="SUMMARY"/>
      <sheetName val="PRODUKSI"/>
      <sheetName val="COPY KE DAILY"/>
      <sheetName val="OB"/>
      <sheetName val="COAL"/>
      <sheetName val="PRODUKSI (COAL LAPUK)"/>
      <sheetName val="Sheet2"/>
      <sheetName val="Sheet3"/>
      <sheetName val="Sheet1 (2)"/>
      <sheetName val="Sheet4"/>
      <sheetName val="Sheet5"/>
      <sheetName val="Sheet6"/>
      <sheetName val="Sheet7"/>
      <sheetName val="Sheet8"/>
      <sheetName val="11"/>
      <sheetName val="Data entry"/>
      <sheetName val="Forecast"/>
      <sheetName val="Record Operation"/>
      <sheetName val="Unload Lati Port"/>
      <sheetName val="LT Coal"/>
      <sheetName val="LT OB"/>
      <sheetName val="Safe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000"/>
      <sheetName val="2004"/>
      <sheetName val="D-04"/>
      <sheetName val="D-05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000000"/>
      <sheetName val="기본Data"/>
      <sheetName val="항목별Cost"/>
      <sheetName val="PasirCost"/>
      <sheetName val="PL분석"/>
      <sheetName val="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"/>
      <sheetName val="Master"/>
      <sheetName val="Ritase"/>
      <sheetName val="Status"/>
      <sheetName val="Rain"/>
      <sheetName val="Fuel"/>
      <sheetName val="Blasting"/>
      <sheetName val="Drilling &amp; Weekly"/>
      <sheetName val="Elevasi"/>
      <sheetName val="Coal Expose+Plan coal gett"/>
      <sheetName val="Hourly"/>
      <sheetName val="PTY"/>
      <sheetName val="Shift"/>
      <sheetName val="Equper"/>
      <sheetName val="Pit A+B"/>
      <sheetName val="Production"/>
      <sheetName val="Fuel Cons"/>
      <sheetName val="Performance"/>
      <sheetName val="YTD"/>
      <sheetName val="SMS"/>
      <sheetName val="DM_1"/>
      <sheetName val="DM_2"/>
      <sheetName val="POMPA"/>
      <sheetName val="Papan"/>
      <sheetName val="Accuan PTY"/>
      <sheetName val="Input"/>
      <sheetName val="Roster"/>
      <sheetName val="Loader"/>
      <sheetName val="Hauler"/>
      <sheetName val="Gabungan"/>
      <sheetName val="PICA"/>
      <sheetName val="Liter Unit"/>
      <sheetName val="Jihad"/>
      <sheetName val="Liter BCM"/>
      <sheetName val="Liter TON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8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G Profile"/>
      <sheetName val="Rates"/>
      <sheetName val="CostP"/>
      <sheetName val="LH Costs"/>
      <sheetName val="DB Costs"/>
      <sheetName val="Ancil Costs"/>
      <sheetName val="Ecc Analysis"/>
      <sheetName val="Schedule"/>
      <sheetName val="Cashflow"/>
      <sheetName val="Sens"/>
      <sheetName val="Seym Sched"/>
      <sheetName val="기본Data"/>
      <sheetName val="환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(2)"/>
      <sheetName val="MASTER"/>
      <sheetName val="Man Power"/>
      <sheetName val="Absensi"/>
      <sheetName val="BDA"/>
      <sheetName val="B.Premi"/>
      <sheetName val="Slip Gaji Prod"/>
      <sheetName val="Slip Gaji Log"/>
      <sheetName val="Slip Gaji Staff"/>
      <sheetName val="Slip Gaji GA"/>
      <sheetName val="Slip Gaji RM"/>
      <sheetName val="Rekapan Logistik"/>
      <sheetName val="Rekapan GA"/>
      <sheetName val="Rekapan RM"/>
      <sheetName val="Rekapan Produksi"/>
      <sheetName val="Rekap All"/>
      <sheetName val="Rekap Pot "/>
      <sheetName val="Rekap Per Item"/>
      <sheetName val="Rekapan Staff"/>
      <sheetName val="Gaji April 2011 MSJ ap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8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d"/>
      <sheetName val="Coal Hauling"/>
      <sheetName val="Data OB"/>
      <sheetName val="Loader"/>
      <sheetName val="Master"/>
      <sheetName val="RSF"/>
      <sheetName val="Rumus stock coal Savin"/>
      <sheetName val="CH Pit To MPP&amp;MHU"/>
      <sheetName val="CH ROM to MPP"/>
      <sheetName val="CH Pit to ROM"/>
      <sheetName val="RainFall (mm)"/>
      <sheetName val="Sheet1"/>
      <sheetName val="Rekap Coal Pit To ROM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NTEGORIES"/>
      <sheetName val="UOM"/>
      <sheetName val="MASTER"/>
      <sheetName val="ISSUED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8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Notes"/>
      <sheetName val="Master_Data"/>
      <sheetName val="General_Assumption"/>
      <sheetName val="Technical_Assumption"/>
      <sheetName val="Budget_Description"/>
      <sheetName val="UPDATED_20&amp;21-HS&amp;E"/>
      <sheetName val="UPDATED_21-HSE (2)"/>
      <sheetName val="UPDATED_21-ENV"/>
      <sheetName val="UPDATED_20_HS"/>
      <sheetName val="UPDATED_Leave_and_Relocation"/>
      <sheetName val="UPDATED_Trans_fuel Lubricant"/>
      <sheetName val="BDF"/>
      <sheetName val="UPDATED_Top_Soil"/>
      <sheetName val="Detail_bukaan_lahan"/>
      <sheetName val="Fasilitas_Reklamasi_DC_2010"/>
      <sheetName val="Fasilitas Reklamasi 2010"/>
      <sheetName val="UPDATED_Erotion_Control"/>
      <sheetName val="Detail_Rencana_Rek2010r1"/>
      <sheetName val="Detail_area_revgts"/>
      <sheetName val="Detail_biaya_rvgts "/>
      <sheetName val="UPDATED_Safety_APD"/>
      <sheetName val="UPDATED_Revegetation"/>
      <sheetName val="UPDATED_Safety_Equipment"/>
      <sheetName val="UPDATED_Research_Development"/>
      <sheetName val="UPDATED_Safety_Campaign"/>
      <sheetName val="UPDATED_Trafic and sign board"/>
      <sheetName val="UPDATED_Travel_Fares"/>
      <sheetName val="UPDATED_Travel_Accomodation"/>
      <sheetName val="UPDATED_Repair_and_maintenance"/>
      <sheetName val="UPDATED_waste_treatment "/>
      <sheetName val="UPDATED_Lab_Analysis"/>
      <sheetName val="Detail_assump.lab_analysis"/>
      <sheetName val="UPDATED_SHE_Inspection"/>
      <sheetName val="Detail_SHE_Insp_resp "/>
      <sheetName val="detail_Honor_Tamu"/>
      <sheetName val="detail_Reporting"/>
      <sheetName val="detail_Titik_Penaatan_Air"/>
      <sheetName val="Detail_TPS_LB3"/>
      <sheetName val="UPDATED_Consultant"/>
      <sheetName val="UPDATED_Other_Expense"/>
      <sheetName val="UPDATED_CAPEX_Environment"/>
      <sheetName val="Detail_CAPEX WASTE"/>
      <sheetName val="임차도급"/>
      <sheetName val="Input"/>
      <sheetName val="SG Profile"/>
      <sheetName val="Rates"/>
      <sheetName val="CostP"/>
      <sheetName val="Ecc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"/>
      <sheetName val="Master"/>
      <sheetName val="Ritase"/>
      <sheetName val="Status"/>
      <sheetName val="Rain"/>
      <sheetName val="Fuel"/>
      <sheetName val="Blasting"/>
      <sheetName val="Drilling &amp; Weekly"/>
      <sheetName val="Elevasi"/>
      <sheetName val="Coal Expose+Plan coal gett"/>
      <sheetName val="Hourly"/>
      <sheetName val="PTY"/>
      <sheetName val="Shift"/>
      <sheetName val="Equper"/>
      <sheetName val="Pit A+B"/>
      <sheetName val="Production"/>
      <sheetName val="Fuel Cons"/>
      <sheetName val="Performance"/>
      <sheetName val="YTD"/>
      <sheetName val="SMS"/>
      <sheetName val="DM_1"/>
      <sheetName val="DM_2"/>
      <sheetName val="POMPA"/>
      <sheetName val="Papan"/>
      <sheetName val="Accuan PTY"/>
      <sheetName val="Input"/>
      <sheetName val="Roster"/>
      <sheetName val="Loader"/>
      <sheetName val="Hauler"/>
      <sheetName val="Gabungan"/>
      <sheetName val="PICA"/>
      <sheetName val="Liter Unit"/>
      <sheetName val="Jihad"/>
      <sheetName val="Liter BCM"/>
      <sheetName val="Liter TON"/>
      <sheetName val="M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8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x"/>
      <sheetName val="Input"/>
      <sheetName val="Ouput Supp."/>
      <sheetName val="Ouput HE"/>
      <sheetName val="Grs_Histo"/>
      <sheetName val="Report Supp."/>
      <sheetName val="Report HE"/>
      <sheetName val="Price"/>
      <sheetName val="I"/>
      <sheetName val="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Report"/>
      <sheetName val="HM"/>
      <sheetName val="Plant produktifitas "/>
      <sheetName val="Inpu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Monthly"/>
      <sheetName val="HM"/>
      <sheetName val="Sheet1"/>
      <sheetName val="Performanc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sipliner"/>
      <sheetName val="Master"/>
      <sheetName val="Monitoring Kehadiran 11"/>
      <sheetName val="List Driver"/>
      <sheetName val="Transaksi "/>
      <sheetName val="Compare"/>
      <sheetName val="Tempel"/>
      <sheetName val="Presensi untuk Target"/>
      <sheetName val="Report"/>
      <sheetName val="No HP"/>
      <sheetName val="ket. Driver"/>
      <sheetName val="Sheet1"/>
      <sheetName val="Copy of Input Mei 2012 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9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y"/>
      <sheetName val="week"/>
      <sheetName val="ach"/>
      <sheetName val="Sheet1"/>
      <sheetName val="D-04"/>
      <sheetName val="Inpu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IMS"/>
      <sheetName val="year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M"/>
      <sheetName val="Plan"/>
      <sheetName val="Report Internal"/>
      <sheetName val="+"/>
      <sheetName val="WA pagi"/>
      <sheetName val="Master"/>
      <sheetName val="POMPA"/>
      <sheetName val="db_eqp"/>
      <sheetName val="Rit-OB"/>
      <sheetName val="PROBLEM_PTY"/>
      <sheetName val="BD"/>
      <sheetName val="Rit-Coal"/>
      <sheetName val="Rain"/>
      <sheetName val="Status"/>
      <sheetName val="Fuel"/>
      <sheetName val="Hourly"/>
      <sheetName val="Production"/>
      <sheetName val="Equper"/>
      <sheetName val="Shift"/>
      <sheetName val="Report"/>
      <sheetName val="Performance"/>
      <sheetName val="YTD"/>
      <sheetName val=" +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an"/>
      <sheetName val="Feb"/>
      <sheetName val="March"/>
      <sheetName val="April"/>
      <sheetName val="Mei"/>
      <sheetName val="Juni"/>
      <sheetName val="Juli"/>
      <sheetName val="Agt"/>
      <sheetName val="Sept"/>
      <sheetName val="Okt"/>
      <sheetName val="Nov"/>
      <sheetName val="Des"/>
      <sheetName val="KIDE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ract"/>
      <sheetName val="Cost"/>
      <sheetName val="PL"/>
      <sheetName val="Tot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ehs"/>
      <sheetName val="Revisi Safety supplies"/>
      <sheetName val="MCOST1"/>
      <sheetName val="COSTSALES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9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LOWCACLC"/>
      <sheetName val="B O Q"/>
      <sheetName val="GEN ASSUMPT"/>
      <sheetName val="INPUT"/>
      <sheetName val="stbhours"/>
      <sheetName val="STBY"/>
      <sheetName val="STBY &amp; IDLE HRS"/>
      <sheetName val="EQ SPECH"/>
      <sheetName val="HAULPROD"/>
      <sheetName val="GRADER_CALC"/>
      <sheetName val="WATERTRUCK_CALC"/>
      <sheetName val="AVAILABLE"/>
      <sheetName val="SPECI"/>
      <sheetName val="SOURCE"/>
      <sheetName val="SCHEDULE"/>
      <sheetName val="PRODUCTION"/>
      <sheetName val="WHRS"/>
      <sheetName val="EQ_REQUIR"/>
      <sheetName val="ACTIVITIESRATE"/>
      <sheetName val="EQRATE"/>
      <sheetName val="invalat"/>
      <sheetName val="DEMOB"/>
      <sheetName val="Sheet4"/>
      <sheetName val="BLAST"/>
      <sheetName val="FUEL"/>
      <sheetName val="DEPREXISTASSET"/>
      <sheetName val="EXISTASSET"/>
      <sheetName val="RMSOURCE"/>
      <sheetName val="RMSOURCE BSS"/>
      <sheetName val="RM"/>
      <sheetName val="RMCOST"/>
      <sheetName val="OPR-MECH"/>
      <sheetName val="HR DB"/>
      <sheetName val="Labor"/>
      <sheetName val="HR DETAIL"/>
      <sheetName val="EMPL"/>
      <sheetName val="INFR"/>
      <sheetName val="GAA"/>
      <sheetName val="SUBCONT"/>
      <sheetName val="RATE"/>
      <sheetName val="ADDREV"/>
      <sheetName val="CAPEX"/>
      <sheetName val="EST COST"/>
      <sheetName val="OOC"/>
      <sheetName val="REVENUE"/>
      <sheetName val="Sheet6"/>
      <sheetName val="COSTSUM"/>
      <sheetName val="FIN2"/>
      <sheetName val="EXCSUMM"/>
      <sheetName val="SUM Info"/>
      <sheetName val="PRO"/>
      <sheetName val="EQ"/>
      <sheetName val="PRASARANA"/>
      <sheetName val="MANPOWER"/>
      <sheetName val="SUMARYCOST"/>
      <sheetName val="FINANCIAL"/>
      <sheetName val="SENSITIVITIES"/>
      <sheetName val="EXCSUM"/>
      <sheetName val="NPV &amp; IRR"/>
      <sheetName val="Sheet13"/>
      <sheetName val="Sheet14"/>
      <sheetName val="Sheet1"/>
      <sheetName val="OHD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tunjuk"/>
      <sheetName val="Bottom Sump cbm"/>
      <sheetName val="Void I barat"/>
      <sheetName val="RML"/>
      <sheetName val="Bottom Sump mid"/>
      <sheetName val="Sump Tabuhan"/>
      <sheetName val="DATA"/>
      <sheetName val="release wk2"/>
      <sheetName val="release"/>
      <sheetName val="review"/>
      <sheetName val="01_Daily Actual Pump Data"/>
      <sheetName val="02_Daily Rainfall Data"/>
      <sheetName val="03A_Database Sump Vol"/>
      <sheetName val="03B_Est. Dry Time"/>
      <sheetName val="04_Daily Report"/>
      <sheetName val="Daily Report"/>
      <sheetName val="Daily Data Pump"/>
      <sheetName val="Daily Data Rainfall"/>
      <sheetName val="Database Sump Vol"/>
      <sheetName val="Est. Dry Time"/>
      <sheetName val="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PP B-7"/>
      <sheetName val="Budget Construction"/>
      <sheetName val="Investment"/>
      <sheetName val="Loan Schedule"/>
      <sheetName val="Proposal"/>
      <sheetName val="overhead"/>
      <sheetName val="General Assumtion"/>
      <sheetName val="Finance Assumtion"/>
      <sheetName val="PROD"/>
      <sheetName val="COGS"/>
      <sheetName val="DEP"/>
      <sheetName val="LOAN"/>
      <sheetName val="REV"/>
      <sheetName val="P&amp;L - CF"/>
      <sheetName val="BS"/>
      <sheetName val="DCF"/>
      <sheetName val="Sheet1"/>
      <sheetName val="MPP"/>
      <sheetName val="Part &amp; Lube"/>
      <sheetName val="FMC"/>
      <sheetName val="Ownership Factors"/>
      <sheetName val="Labor Cost"/>
      <sheetName val="Organization"/>
      <sheetName val="Loan Amortization Schedule"/>
      <sheetName val="1 - 4.5 mtpa"/>
      <sheetName val="2 - 8.6 mtpa"/>
      <sheetName val="Assesment"/>
      <sheetName val="ProductionScheme"/>
      <sheetName val="release wk2"/>
      <sheetName val="Bottom Sump mid"/>
      <sheetName val="Sump Tabuhan"/>
      <sheetName val="Bottom Sump cb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eng"/>
      <sheetName val="RM_FOL"/>
      <sheetName val="ELECTRIC"/>
      <sheetName val="INVEST-eng"/>
      <sheetName val="Summary"/>
      <sheetName val="Suaran FPM"/>
      <sheetName val="Bin FPM"/>
      <sheetName val="Genset"/>
      <sheetName val="Loan Amortization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0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DE"/>
      <sheetName val="Hmca entities by nat&amp;sub"/>
      <sheetName val="310"/>
      <sheetName val="311"/>
      <sheetName val="315"/>
      <sheetName val="316"/>
      <sheetName val="317"/>
      <sheetName val="318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40"/>
      <sheetName val="341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60"/>
      <sheetName val="361"/>
      <sheetName val="362"/>
      <sheetName val="363"/>
      <sheetName val="364"/>
      <sheetName val="365"/>
      <sheetName val="366"/>
      <sheetName val="367"/>
      <sheetName val="368"/>
      <sheetName val="375"/>
      <sheetName val="376"/>
      <sheetName val="377"/>
      <sheetName val="378"/>
      <sheetName val="379"/>
      <sheetName val="390"/>
      <sheetName val="391"/>
      <sheetName val="392"/>
      <sheetName val="393"/>
      <sheetName val="394"/>
      <sheetName val="395"/>
      <sheetName val="396"/>
      <sheetName val="397"/>
      <sheetName val="G&amp;A -Malaysia "/>
      <sheetName val="MCOST1"/>
      <sheetName val="COSTSAL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OSSTIME-METER"/>
      <sheetName val="WEEKLY KIDECO-SELASA"/>
      <sheetName val="SUMMARY COAL PRODUCTION"/>
      <sheetName val="WK KAMIS LIST EQUIPMENT"/>
      <sheetName val="WK KAMIS COAL PROD"/>
      <sheetName val="KALENDER"/>
      <sheetName val="COAL REPORT"/>
      <sheetName val="DB-A"/>
      <sheetName val="TBL PERFORM DAILY"/>
      <sheetName val="FORECAS"/>
      <sheetName val="MTD"/>
      <sheetName val="PERFORMA"/>
      <sheetName val="WEEKLY SIMS-RABU"/>
      <sheetName val="TBL PERFORM UNIT"/>
      <sheetName val="BA PA"/>
      <sheetName val="TARGET DAN OUTLOOK"/>
      <sheetName val="DESKTOP PRODUCTION"/>
      <sheetName val="DAILY REPORT"/>
      <sheetName val="ANALISA PERJAM"/>
      <sheetName val="PLAN ROSTER"/>
      <sheetName val="RFID"/>
      <sheetName val="TmSht"/>
      <sheetName val="Prod"/>
      <sheetName val="FUEL"/>
      <sheetName val="SetFleet"/>
      <sheetName val="cek RFID"/>
      <sheetName val="HM PERSONAL"/>
      <sheetName val="RIT DRIVER"/>
      <sheetName val="HM OPRT"/>
      <sheetName val="PVT-HM"/>
      <sheetName val="PVT-RIT"/>
      <sheetName val="ABSEN"/>
      <sheetName val="ROSTER"/>
      <sheetName val="p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orksheet"/>
      <sheetName val="Extra"/>
      <sheetName val="Work"/>
      <sheetName val="fohdepr"/>
      <sheetName val="ShareGaji"/>
      <sheetName val="Extra (2)"/>
      <sheetName val="OVERBURDEN"/>
      <sheetName val="SUBKON"/>
      <sheetName val="MAINTENANCE"/>
      <sheetName val="Sheet1"/>
      <sheetName val="EX-2040"/>
      <sheetName val="EX-5014"/>
      <sheetName val="EX-6001"/>
      <sheetName val="EX-6002"/>
      <sheetName val="EX-6016"/>
      <sheetName val="BD-4002"/>
      <sheetName val="BD-5017"/>
      <sheetName val="BD-5019"/>
      <sheetName val="BD-6015"/>
      <sheetName val="BD-6025"/>
      <sheetName val="BD-6026"/>
      <sheetName val="BD-6028"/>
      <sheetName val="BD-7014"/>
      <sheetName val="BD-6036"/>
      <sheetName val="BD-8004"/>
      <sheetName val="BD-8005"/>
      <sheetName val="GR-3007"/>
      <sheetName val="GR-3008"/>
      <sheetName val="GR-3018"/>
      <sheetName val="TR-1001"/>
      <sheetName val="TR-1002"/>
      <sheetName val="TR-1003"/>
      <sheetName val="TR-1021"/>
      <sheetName val="TR-3047"/>
      <sheetName val="TV-3011"/>
      <sheetName val="TC-3007"/>
      <sheetName val="TC-3013"/>
      <sheetName val="TC-3027"/>
      <sheetName val="TC-3028"/>
      <sheetName val="TC-3035"/>
      <sheetName val="TC-3036"/>
      <sheetName val="TC-3037"/>
      <sheetName val="TC-3038"/>
      <sheetName val="TC-3055"/>
      <sheetName val="TC-3057"/>
      <sheetName val="PU-2010"/>
      <sheetName val="PU-3008"/>
      <sheetName val="TS-2004"/>
      <sheetName val="TF-2002"/>
      <sheetName val="TW-2003"/>
      <sheetName val="TW-4010"/>
      <sheetName val="LV-2061"/>
      <sheetName val="LV-2065"/>
      <sheetName val="TR-3054"/>
      <sheetName val="TR-3055"/>
      <sheetName val="TR-3056"/>
      <sheetName val="TR-3080"/>
      <sheetName val="TR-3193"/>
      <sheetName val="TR-3194"/>
      <sheetName val="TR-3195"/>
      <sheetName val="TR-3196"/>
      <sheetName val="TR-3202"/>
      <sheetName val="TR-3203"/>
      <sheetName val="TR-3204"/>
      <sheetName val="TR-3205"/>
      <sheetName val="TR-3206"/>
      <sheetName val="TR-3215"/>
      <sheetName val="TR-3218"/>
      <sheetName val="TR-3219"/>
      <sheetName val="TR-3220"/>
      <sheetName val="TR-3221"/>
      <sheetName val="TR-3222"/>
      <sheetName val="TR-3223"/>
      <sheetName val="LV-2130"/>
      <sheetName val="LV-2156"/>
      <sheetName val="LV-2159"/>
      <sheetName val="LV-2180"/>
      <sheetName val="LV-2194"/>
      <sheetName val="LV-2198"/>
      <sheetName val="LV-2217"/>
      <sheetName val="LV-2218"/>
      <sheetName val="LV-2219"/>
      <sheetName val="LV-2224"/>
      <sheetName val="LV-2302"/>
      <sheetName val="LV-2303"/>
      <sheetName val="LV-2304"/>
      <sheetName val="LV-2305"/>
      <sheetName val="LV-2306"/>
      <sheetName val="LV-2311"/>
      <sheetName val="LV-2312"/>
      <sheetName val="LV-2313"/>
      <sheetName val="LV-2314"/>
      <sheetName val="LV-2315"/>
      <sheetName val="LV-2370"/>
      <sheetName val="LV-2371"/>
      <sheetName val="LV-2372"/>
      <sheetName val="LV-2396"/>
      <sheetName val="LV-2397"/>
      <sheetName val="LV-2398"/>
      <sheetName val="LV-3024"/>
      <sheetName val="LP-2021"/>
      <sheetName val="LP-2051"/>
      <sheetName val="LP-2079"/>
      <sheetName val="LP-2088"/>
      <sheetName val="LP-2102"/>
      <sheetName val="LP-2120"/>
      <sheetName val="LP-2165"/>
      <sheetName val="LP-2166"/>
      <sheetName val="LP-2167"/>
      <sheetName val="LP-2168"/>
      <sheetName val="LP-2169"/>
      <sheetName val="LP-2170"/>
      <sheetName val="LP-3016"/>
      <sheetName val="LP-3017"/>
      <sheetName val="LP-3021"/>
      <sheetName val="TC-3045"/>
      <sheetName val="TC-3113"/>
      <sheetName val="TC-3114"/>
      <sheetName val="TC-3115"/>
      <sheetName val="TC-3117"/>
      <sheetName val="TC-3118"/>
      <sheetName val="TC-3126"/>
      <sheetName val="TS-4008"/>
      <sheetName val="TS-4017"/>
      <sheetName val="TF-4004"/>
      <sheetName val="TF-4005"/>
      <sheetName val="TF-4014"/>
      <sheetName val="TW-4013"/>
      <sheetName val="MH-7003"/>
      <sheetName val="MH-8003"/>
      <sheetName val="PU-2026"/>
      <sheetName val="PU-4002"/>
      <sheetName val="PU-4012"/>
      <sheetName val="CT-3008"/>
      <sheetName val="RC-2003"/>
      <sheetName val="FS-2002"/>
      <sheetName val="GE-1023"/>
      <sheetName val="GE-1027"/>
      <sheetName val="GE-1029"/>
      <sheetName val="GE-1030"/>
      <sheetName val="GE-4020"/>
      <sheetName val="GE-4021"/>
      <sheetName val="GE-4028"/>
      <sheetName val="WM-1016"/>
      <sheetName val="WM-1035"/>
      <sheetName val="AC-2031"/>
      <sheetName val="AC-2007"/>
      <sheetName val="MCR"/>
      <sheetName val="Downtime"/>
      <sheetName val="AC-2047"/>
      <sheetName val="SMU"/>
      <sheetName val="ODO-LV"/>
      <sheetName val="Rekap"/>
      <sheetName val="Price"/>
      <sheetName val="TS-4018"/>
      <sheetName val="GE-4035"/>
      <sheetName val="WL-1005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</sheetDataSet>
  </externalBook>
</externalLink>
</file>

<file path=xl/externalLinks/externalLink10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Rekapitulasi Budget"/>
      <sheetName val="ERS Budget 2005"/>
      <sheetName val="Public Relation"/>
      <sheetName val="HUT RI 2005"/>
      <sheetName val="Qurban 2005"/>
      <sheetName val="Investasi Lahan"/>
      <sheetName val="Hewan Qurban"/>
      <sheetName val="External Relation"/>
      <sheetName val="Security Section"/>
      <sheetName val="310"/>
      <sheetName val="311"/>
      <sheetName val="315"/>
      <sheetName val="316"/>
      <sheetName val="317"/>
      <sheetName val="318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40"/>
      <sheetName val="341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60"/>
      <sheetName val="361"/>
      <sheetName val="362"/>
      <sheetName val="363"/>
      <sheetName val="364"/>
      <sheetName val="365"/>
      <sheetName val="366"/>
      <sheetName val="367"/>
      <sheetName val="368"/>
      <sheetName val="375"/>
      <sheetName val="376"/>
      <sheetName val="377"/>
      <sheetName val="378"/>
      <sheetName val="379"/>
      <sheetName val="390"/>
      <sheetName val="391"/>
      <sheetName val="392"/>
      <sheetName val="393"/>
      <sheetName val="394"/>
      <sheetName val="395"/>
      <sheetName val="396"/>
      <sheetName val="3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0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 PA_P3"/>
      <sheetName val="Plan wh"/>
      <sheetName val="PLAN PROD"/>
      <sheetName val="M"/>
      <sheetName val="Ritasi"/>
      <sheetName val="Status"/>
      <sheetName val="BD"/>
      <sheetName val="CEK"/>
      <sheetName val="Hourly"/>
      <sheetName val="MTD"/>
      <sheetName val="EP"/>
      <sheetName val="PTY"/>
      <sheetName val="Data"/>
      <sheetName val="Material"/>
      <sheetName val="Graph"/>
      <sheetName val="UNIT RFU "/>
      <sheetName val="perjam"/>
      <sheetName val="morning"/>
      <sheetName val="Report Pagi S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Sheet3"/>
      <sheetName val="편성지침"/>
      <sheetName val="생산판매"/>
      <sheetName val="손익계획"/>
      <sheetName val="투자계획"/>
      <sheetName val="월별"/>
      <sheetName val="KIDECO요약"/>
      <sheetName val="임차도급"/>
      <sheetName val="인원계획"/>
      <sheetName val="원가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oel  Larry Actual"/>
      <sheetName val="ProntoActual"/>
      <sheetName val="HOMESTAKE "/>
      <sheetName val="RIGHT"/>
      <sheetName val="Cost Summary"/>
      <sheetName val="Cost Summaries"/>
      <sheetName val="Sheet1"/>
      <sheetName val="UNDERGROUND physicals"/>
      <sheetName val="MILL PHYSICALS"/>
      <sheetName val="GEOLOGY COSTS"/>
      <sheetName val="Ore Movement"/>
      <sheetName val="Genesis"/>
      <sheetName val="GEO PERSONNEL"/>
      <sheetName val="OP costs"/>
      <sheetName val="UNDER SUMMARY"/>
      <sheetName val="UNDERCOSTS"/>
      <sheetName val="UNDERPERSONNEL"/>
      <sheetName val="Mill costs"/>
      <sheetName val="ADMIN"/>
      <sheetName val="Govt Royalties"/>
      <sheetName val="Reclamation"/>
      <sheetName val="CAPEX"/>
      <sheetName val="ProdStat"/>
      <sheetName val="Acquired Exploration"/>
      <sheetName val="PreproductioND&amp;A"/>
      <sheetName val="Rehabilitation&amp;RV"/>
      <sheetName val="Not used Pronto Budget"/>
      <sheetName val="Not used FBT"/>
      <sheetName val="Not Used Manpower "/>
      <sheetName val="Not used Overhead Summary"/>
      <sheetName val="Not Used CATER &amp; FLIGHTS"/>
      <sheetName val="Not used AcqFAS109"/>
      <sheetName val="Not usedAcquiredRes"/>
      <sheetName val="Module1"/>
      <sheetName val="Module2"/>
      <sheetName val="Module3"/>
      <sheetName val="Pronto Budget"/>
      <sheetName val="HOMESTAKE (2)"/>
      <sheetName val="Actual"/>
      <sheetName val="AcquiredRes"/>
      <sheetName val="AcqFAS109"/>
      <sheetName val="FBT"/>
      <sheetName val="Manpower "/>
      <sheetName val="Overhead Summary"/>
      <sheetName val="CATER &amp; FLIGHTS"/>
      <sheetName val="MINING physicals"/>
      <sheetName val="Preproduction"/>
      <sheetName val="Rehabilitation"/>
      <sheetName val="기본Data"/>
      <sheetName val="FORM"/>
      <sheetName val="JIB0607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10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Detail"/>
      <sheetName val="ProntoActual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ily Report"/>
      <sheetName val="NB065 &amp; NB061"/>
      <sheetName val="Master"/>
      <sheetName val="Sheet1"/>
      <sheetName val="Calculation"/>
      <sheetName val="Pivot"/>
      <sheetName val="DTDummy"/>
      <sheetName val="Dashboard"/>
      <sheetName val="Master_Data"/>
      <sheetName val="Dist Coal"/>
      <sheetName val="M"/>
      <sheetName val="For_Ari"/>
      <sheetName val="Down_Time"/>
      <sheetName val="Input_Date"/>
      <sheetName val="Extra"/>
      <sheetName val="FORM"/>
      <sheetName val="FEB"/>
      <sheetName val="JAN"/>
      <sheetName val="MAR"/>
      <sheetName val="020220"/>
      <sheetName val="Indirect Function - Dropdowns"/>
      <sheetName val="Eq.Population"/>
      <sheetName val="_SAF 02"/>
      <sheetName val="BLSP"/>
      <sheetName val="Ranges"/>
      <sheetName val="PS"/>
      <sheetName val="Kode"/>
      <sheetName val="date"/>
      <sheetName val="Fuel Usage"/>
      <sheetName val="GeneralInfo"/>
      <sheetName val="Ex_Rate"/>
      <sheetName val="data_ee_&lt;nra(1)"/>
      <sheetName val="table"/>
      <sheetName val="OLDMAP"/>
      <sheetName val="COA"/>
      <sheetName val="PRO_COAL"/>
      <sheetName val="April"/>
      <sheetName val="addl cost"/>
      <sheetName val="FF-2 (1)"/>
      <sheetName val="FSA"/>
      <sheetName val="B"/>
      <sheetName val="trf 7 jht"/>
      <sheetName val="Fixset"/>
      <sheetName val="f"/>
      <sheetName val="h"/>
      <sheetName val="i"/>
      <sheetName val="k"/>
      <sheetName val="r"/>
      <sheetName val="#REF"/>
      <sheetName val="Daily_Report"/>
      <sheetName val="NB065_&amp;_NB061"/>
      <sheetName val="Fuel_Usage"/>
      <sheetName val="addl_cost"/>
      <sheetName val="FF-2_(1)"/>
      <sheetName val="trf_7_jht"/>
      <sheetName val="PConsCS"/>
      <sheetName val="dia-in"/>
      <sheetName val="Calender"/>
      <sheetName val="Param"/>
      <sheetName val="EST EoM"/>
      <sheetName val="NewP90"/>
      <sheetName val="OrigP10"/>
      <sheetName val="OrigP50"/>
      <sheetName val="Break_down"/>
      <sheetName val="simulasi prod'ty"/>
      <sheetName val="USD 0107"/>
      <sheetName val="USD 0207"/>
      <sheetName val="East"/>
      <sheetName val="IDR 0107"/>
      <sheetName val="IDR 02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IMS"/>
      <sheetName val="yearly"/>
      <sheetName val="FEB"/>
      <sheetName val="JAN"/>
      <sheetName val="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x"/>
      <sheetName val="Input"/>
      <sheetName val="Ouput HE"/>
      <sheetName val="Ouput Supp."/>
      <sheetName val="Grs_Histo"/>
      <sheetName val="Price"/>
      <sheetName val="Report HE"/>
      <sheetName val="Report Supp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Internal Approval"/>
      <sheetName val="Client Approval"/>
      <sheetName val="SPO"/>
      <sheetName val="WH and EWH"/>
      <sheetName val="OB Cap"/>
      <sheetName val="CO Cap"/>
      <sheetName val="REV PLAN"/>
      <sheetName val="Fuel Consump"/>
      <sheetName val="Man Power Operator"/>
      <sheetName val="Fuel Ratio"/>
      <sheetName val="Productivity"/>
      <sheetName val="Equipment and Fleet_allocation"/>
      <sheetName val="REMARKS"/>
      <sheetName val="PLAN DISTANCE OB"/>
      <sheetName val="PLAN DISTANCE COAL"/>
      <sheetName val="Sheet1"/>
      <sheetName val="Mine Scheduling Result"/>
      <sheetName val="Plan Summary"/>
      <sheetName val="Material Class and Balance"/>
      <sheetName val="DnB"/>
      <sheetName val="Reclamation Plan"/>
      <sheetName val="Financial Plan"/>
      <sheetName val="Activity Plan"/>
      <sheetName val="Financial Plan "/>
      <sheetName val="Cost Calc "/>
      <sheetName val="Issue"/>
      <sheetName val="EQL"/>
      <sheetName val="Cost 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_FOB "/>
      <sheetName val="Sales_status"/>
      <sheetName val="E_FOB"/>
      <sheetName val="Major_Index"/>
      <sheetName val="Summary I"/>
      <sheetName val="Sheet2"/>
      <sheetName val="Summary II"/>
      <sheetName val="BLU"/>
      <sheetName val="HPB"/>
      <sheetName val="Sheet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BP_E"/>
      <sheetName val="BP_K"/>
      <sheetName val="Export_FOB"/>
      <sheetName val="Sheet2"/>
      <sheetName val="KIDECO_FOB"/>
      <sheetName val="Margin"/>
      <sheetName val="Monthly report"/>
      <sheetName val="Stats.(unfixed)"/>
      <sheetName val="Summary"/>
      <sheetName val="Share"/>
      <sheetName val="Indices"/>
      <sheetName val="vs BP"/>
      <sheetName val="수수료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-DATA"/>
      <sheetName val="MASTER"/>
      <sheetName val="Lembur"/>
      <sheetName val="HM"/>
      <sheetName val="Slip Gaji"/>
      <sheetName val="Sheet1"/>
      <sheetName val="Payroll"/>
      <sheetName val="Slip Staff"/>
      <sheetName val="Data Transfer"/>
      <sheetName val="PRODUKSI"/>
      <sheetName val="CEK UNIT"/>
      <sheetName val="GAJI Formula Gaji JULI 2011 BS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Master_Data"/>
      <sheetName val="Budget_Description"/>
      <sheetName val="Travel_Fares_Accomodation"/>
      <sheetName val="Leave_and_Relocation"/>
      <sheetName val="SUMMARY_06-GEOTECH"/>
      <sheetName val="Trans_fuel_lubricant"/>
      <sheetName val="General_Assumption"/>
      <sheetName val="Travel_Accomodation"/>
      <sheetName val="Geotechnical_Services"/>
      <sheetName val="Repair_and_maintenance"/>
      <sheetName val="Technical_Assumption"/>
      <sheetName val="Hire_Equipment"/>
      <sheetName val="Lab&amp;Analysis"/>
      <sheetName val="Consultant"/>
      <sheetName val="Other_Expense"/>
      <sheetName val="CAPEX_GEOTECH"/>
      <sheetName val="Contract"/>
      <sheetName val="PF-FUNGSI"/>
      <sheetName val="PF-Utama"/>
      <sheetName val="2003 Salary Range"/>
      <sheetName val="Lists"/>
      <sheetName val="2003_Salary_Range"/>
      <sheetName val="2003_Salary_Range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</sheetDataSet>
  </externalBook>
</externalLink>
</file>

<file path=xl/externalLinks/externalLink1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GA 2005"/>
      <sheetName val="Form budget GA 2005"/>
      <sheetName val="Investasi"/>
      <sheetName val="Fac&amp;Main"/>
      <sheetName val="Gab_Fac&amp;Main"/>
      <sheetName val="Catering"/>
      <sheetName val="Groceries, Off. supply etc  "/>
      <sheetName val="Training"/>
      <sheetName val="Bussiness Trip"/>
      <sheetName val="Bantal, guling. seprei"/>
      <sheetName val="Local Transportation "/>
      <sheetName val="Speed Boat"/>
      <sheetName val="Operation"/>
      <sheetName val="Technical_Assump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pah"/>
      <sheetName val="MP maret 11"/>
      <sheetName val="NRPP &amp; Nama"/>
      <sheetName val="Kontrol NRPP"/>
      <sheetName val="Kontrol Kode Payroll"/>
      <sheetName val="Sheet1"/>
      <sheetName val="Sheet2"/>
      <sheetName val="Sheet4"/>
      <sheetName val="Sheet3"/>
      <sheetName val="Cover"/>
      <sheetName val="KPI"/>
      <sheetName val="Populasi"/>
      <sheetName val="PA"/>
      <sheetName val="MTBF"/>
      <sheetName val="MTTR"/>
      <sheetName val="Backlog"/>
      <sheetName val="Mechanic Ut"/>
      <sheetName val="Mechanic Av"/>
      <sheetName val="RMCost"/>
      <sheetName val="Unplanned Hrs"/>
      <sheetName val="Aging BD "/>
      <sheetName val="CR"/>
      <sheetName val="WHS"/>
      <sheetName val="PS"/>
      <sheetName val="H"/>
      <sheetName val="DB2"/>
      <sheetName val="DB3"/>
      <sheetName val="EP"/>
      <sheetName val="ABC"/>
      <sheetName val="MP"/>
      <sheetName val="SE"/>
      <sheetName val="REVCOST"/>
      <sheetName val="MPSTR"/>
      <sheetName val="Title &amp; Notes"/>
      <sheetName val="Input Sheet1"/>
      <sheetName val="NPV Summary1"/>
      <sheetName val="Data Sources1"/>
      <sheetName val="Data Sources2"/>
      <sheetName val="Informasi"/>
      <sheetName val="Rek."/>
      <sheetName val="Time "/>
      <sheetName val="RAB"/>
      <sheetName val="2"/>
      <sheetName val="3"/>
      <sheetName val="5"/>
      <sheetName val="B.Dsr"/>
      <sheetName val="An.Q"/>
      <sheetName val="U,B"/>
      <sheetName val="R.ALT"/>
      <sheetName val="Alt"/>
      <sheetName val="AnalisaJEMBATAN"/>
      <sheetName val="RAB.JMB"/>
      <sheetName val="1"/>
      <sheetName val="6"/>
      <sheetName val="7"/>
      <sheetName val="7(a)"/>
      <sheetName val="11"/>
      <sheetName val="Rek Sukma "/>
      <sheetName val="RAB Sukma "/>
      <sheetName val="Rek SD"/>
      <sheetName val="RAB SD"/>
      <sheetName val="Rek Persip"/>
      <sheetName val="RAB Persip"/>
      <sheetName val="10"/>
      <sheetName val="Agregat Halus &amp; Kasar"/>
      <sheetName val="Rek Persib"/>
      <sheetName val="RAB Persib"/>
      <sheetName val="Volume"/>
      <sheetName val="8"/>
      <sheetName val="JMB"/>
      <sheetName val="ANALIS BOW2"/>
      <sheetName val="4"/>
      <sheetName val="9"/>
      <sheetName val="Rek. (2)"/>
      <sheetName val="RAB (2)"/>
      <sheetName val="Nego"/>
      <sheetName val="Schdul"/>
      <sheetName val="paket K3 "/>
      <sheetName val="EV_Qlfk_K"/>
      <sheetName val="EV_SPR_CK"/>
      <sheetName val="D1"/>
      <sheetName val="D2"/>
      <sheetName val="D3"/>
      <sheetName val="D4 KAYU"/>
      <sheetName val="D5"/>
      <sheetName val="D6 BETON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on-site"/>
      <sheetName val="hrg-stn-dsr"/>
      <sheetName val="AHS"/>
      <sheetName val="Mtd-SET"/>
      <sheetName val="alat"/>
      <sheetName val="KUANT"/>
      <sheetName val="REKAP"/>
      <sheetName val="Sch"/>
      <sheetName val="dt"/>
      <sheetName val="twr"/>
      <sheetName val="an land"/>
      <sheetName val="an lev"/>
      <sheetName val="an ush tani"/>
      <sheetName val="time"/>
      <sheetName val="terb"/>
      <sheetName val="LAP.BLN 4 REF"/>
      <sheetName val="lap-bulan"/>
      <sheetName val="Lap-Minggu"/>
      <sheetName val="SHEDULLE JULI"/>
      <sheetName val="SHEDULLE AGT"/>
      <sheetName val="LAP.BLN 1"/>
      <sheetName val="LAP.BLN 2"/>
      <sheetName val="LAP.BLN  3"/>
      <sheetName val="LAP.BLN  4"/>
      <sheetName val="LAP.BLN CCO F1"/>
      <sheetName val="LAP.MINGGUAN1"/>
      <sheetName val="LAP.MINGGUAN2"/>
      <sheetName val="LAP.MINGGUAN3"/>
      <sheetName val="LAP.MINGGUAN4"/>
      <sheetName val="LAP.MINGGUAN5"/>
      <sheetName val="LAP.MINGGUAN6"/>
      <sheetName val="LAP.MINGGUAN 7"/>
      <sheetName val="LAP.MINGGUAN 8"/>
      <sheetName val="LAP.MINGGUAN 9"/>
      <sheetName val="LAP.MINGGUAN  10"/>
      <sheetName val="LAP.MINGGUAN  11"/>
      <sheetName val="LAP.MINGGUAN  12"/>
      <sheetName val="LAP.MINGGUAN  13"/>
      <sheetName val="LAP.MINGGUAN  14"/>
      <sheetName val="LAP.MINGGUAN  15"/>
      <sheetName val="A1"/>
      <sheetName val="LAP.TEMBAKAN"/>
      <sheetName val="Data Debitur"/>
      <sheetName val="SKK"/>
      <sheetName val="Cessie"/>
      <sheetName val="SKJ Bergerak"/>
      <sheetName val="FEO"/>
      <sheetName val="Perjanjian Kredit"/>
      <sheetName val="SPPK"/>
      <sheetName val="Lampiran FEO"/>
      <sheetName val="Syarat-syarat"/>
      <sheetName val="Bukti "/>
      <sheetName val="Jadwal Angsuran"/>
      <sheetName val="Terbilang 1"/>
      <sheetName val="Terbilang 2"/>
      <sheetName val="Terbilang 3"/>
      <sheetName val="Terbilang 4"/>
      <sheetName val="Terbilang 5"/>
      <sheetName val="Terbilang 6"/>
      <sheetName val="Terbilang 7"/>
      <sheetName val="Kartu"/>
      <sheetName val="Bukti"/>
      <sheetName val="SKJ Tetap"/>
      <sheetName val="Kosong"/>
      <sheetName val="BACK UP"/>
      <sheetName val="Bahan"/>
      <sheetName val="Analisa"/>
      <sheetName val="REK"/>
      <sheetName val="DIV3"/>
      <sheetName val="PEMBESIAN BALOK ANAK!"/>
      <sheetName val="PEMBESIAN BALOK INDUK!"/>
      <sheetName val="1. BETON POOR DAN PEDESTAL!"/>
      <sheetName val="1. BEKISTING POER&amp;PEDESTAL! "/>
      <sheetName val="2. GLIN POOR PLAT ENTRANCE! "/>
      <sheetName val="2. URUGAN ENTRANCE! "/>
      <sheetName val="2. BTN POOR&amp; PEDESTAL ENTRA "/>
      <sheetName val="2.PEMBESIAN PEDESTALENTRANCE!"/>
      <sheetName val="2. BEKISTING POER&amp;PDSTAL ENtran"/>
      <sheetName val="2.PSR URUG BWH PONDASI POER!"/>
      <sheetName val="2.LANTAI KERJA!"/>
      <sheetName val="3. URUGAN  PONDASI BT. GUNUNG!"/>
      <sheetName val="4. URUGAN TANAH BAWAH LANTAI"/>
      <sheetName val="4.URUGAN TANAH BWH LANTAI!"/>
      <sheetName val="5.BETON SLOOF K175!"/>
      <sheetName val="5.PEMBESIAN SLOOF!"/>
      <sheetName val="5.BEKISTING SLOOF!"/>
      <sheetName val="5.BEKISTING SLOOF 100 %"/>
      <sheetName val="B.1BETON KOLOM!"/>
      <sheetName val="B.1PEMB. KOLOM"/>
      <sheetName val="B.1.BEKISTING KOLOM!"/>
      <sheetName val="B.1BETON KOLOM ENTRANCE"/>
      <sheetName val="B.2.PEMBESIAN KOLOM ENTRANCE!"/>
      <sheetName val="B.2.BEKISTING KOLOM ENTRANC (2)"/>
      <sheetName val="B.3.BEKISTING BALOK INDUK!"/>
      <sheetName val="BEKISTING BALOK ANAK!"/>
      <sheetName val="CATATAN"/>
      <sheetName val="Pasangan Batu Gunung Showrom"/>
      <sheetName val="Urugan Kembali Pas. Bt Gunung"/>
      <sheetName val="Pas. Bt. Kosong"/>
      <sheetName val="Urugan Pasir bwh pondasi"/>
      <sheetName val="Urugan Tanah Dalam Bangunan"/>
      <sheetName val="Pengadaan Klm Pipa D 20&quot;"/>
      <sheetName val="Pengadaan Klm Pipa D 16&quot; "/>
      <sheetName val="DIV1"/>
      <sheetName val="DIV2"/>
      <sheetName val="DIV5"/>
      <sheetName val="DIV6"/>
      <sheetName val="DIV7"/>
      <sheetName val="Analisa JEMBATAN"/>
      <sheetName val="RAB JBT"/>
      <sheetName val="rehab jbt"/>
      <sheetName val="DIV1 (2)"/>
      <sheetName val="met"/>
      <sheetName val="Siring Bt Kajang"/>
      <sheetName val="Psr BLKG"/>
      <sheetName val="Kuaro"/>
      <sheetName val="Long Ikis"/>
      <sheetName val="Hitungan Pas. Batu"/>
      <sheetName val="Struktur"/>
      <sheetName val="Hit Pas. Bt Baru"/>
      <sheetName val="PEMBESIAN BALOK R.PELATIHAN!"/>
      <sheetName val="PEMBESIAN BALOK R.PELATIHAN (4)"/>
      <sheetName val="PEMBESIAN LISPLANK"/>
      <sheetName val="PEMBESIAN BALOK R.PELATIHAN (3)"/>
      <sheetName val="PEMBESIAN BALOK GDG PELATIHAN!"/>
      <sheetName val="PEMBESIAN BALOK R.PELATIHAN (2)"/>
      <sheetName val="PEMBESIAN BALOK ATAP II!"/>
      <sheetName val="PEMBESIAN BALOK ATAP II! (2)"/>
      <sheetName val="PEMBESIAN BALOK ATAP (16 m)"/>
      <sheetName val="PEMBESIAN BALOK ATAP (24M)"/>
      <sheetName val="PEMBESIAN BLK ATAP(30 M)"/>
      <sheetName val="PEMBESIAN BLK LISPLANK W.ROTAN"/>
      <sheetName val="B.7 Pembesian pond kayu"/>
      <sheetName val="PEMBESIAN PENGERING"/>
      <sheetName val="PEMBESIAN ENTRANCE!"/>
      <sheetName val="PEMBESIAN ENTRANCE! (2)"/>
      <sheetName val="PEMBESIAN KOLOM ENTRANCE"/>
      <sheetName val="PEMBESIAN PEDESTALENTRANCE! "/>
      <sheetName val="PEMBESIAN ENTRANCE (2)"/>
      <sheetName val="B.7 Pembesian pond kayu (2)"/>
      <sheetName val="PEMB. POER,SLOOF,PEDEST ACTUAL"/>
      <sheetName val="PEMB. KOLOM"/>
      <sheetName val="PEMB SLOOF!"/>
      <sheetName val="PEMB. Poer"/>
      <sheetName val="PEMB. SLOOF BETON SIRIP"/>
      <sheetName val="PEMBESIAN PEDESTAL"/>
      <sheetName val="PEMBESIAN SLOOF SHOWROOM"/>
      <sheetName val="B.7 Pembesian pondasi Poer "/>
      <sheetName val="PEMBESIAN BALOK"/>
      <sheetName val="PEMBESIAN BALOK tukang"/>
      <sheetName val="PEMBESIAN BALOK tukang (2)"/>
      <sheetName val="PEMBESIAN BALOK WORKSHOP!"/>
      <sheetName val="PEMBESIAN BALOK INDUK DAN ANAK"/>
      <sheetName val="PEMBESIAN SEPTIKTANK "/>
      <sheetName val="GALIAN SEPTIKTANK"/>
      <sheetName val="BETON SEPTIKTANK"/>
      <sheetName val="LANTAI KERJA SEPTIKTANK "/>
      <sheetName val="PEMBESIAN SEPTIKTANK  (2)"/>
      <sheetName val="BETON SEPTIKTANK (2)"/>
      <sheetName val="PAS.BATA SHOWROOM"/>
      <sheetName val="PEMBESIAN BALOK LISPLANK"/>
      <sheetName val="PEMBESIAN BALOK LISPLANk rotan"/>
      <sheetName val="PEMBESIAN BLK LISPLANk PELATIHA"/>
      <sheetName val="PEMBESIAN BALOK (2)"/>
      <sheetName val="PEMBESIAN BALOK workshop kayu"/>
      <sheetName val="PEMBESIAN ENTRANCE"/>
      <sheetName val="PEMBESIAN PEDESTALENTRANCE! (2)"/>
      <sheetName val="DATA"/>
      <sheetName val="REKAPITULASI"/>
      <sheetName val="R A B"/>
      <sheetName val="Rekap Harga"/>
      <sheetName val="Daftar Kwantitas dan Harga"/>
      <sheetName val="Volume Galian"/>
      <sheetName val="Perhitungan Volume"/>
      <sheetName val="Analisa Harga"/>
      <sheetName val="Harga Satuan"/>
      <sheetName val="Tabel"/>
      <sheetName val="Galian"/>
      <sheetName val="Urugan"/>
      <sheetName val="Agregat Base"/>
      <sheetName val="A T B  &amp;  H R S"/>
      <sheetName val="12"/>
      <sheetName val="Time  (2)"/>
      <sheetName val="Sheet1 (2)"/>
      <sheetName val="I "/>
      <sheetName val="BULANAN"/>
      <sheetName val="Rin"/>
      <sheetName val="Rkp"/>
      <sheetName val="Agg Hls &amp; Ksr"/>
      <sheetName val="Long Kali"/>
      <sheetName val="Data Jalan"/>
      <sheetName val="Rekap Biaya"/>
      <sheetName val="Kuantitas &amp; Harga"/>
      <sheetName val="3-DIV2"/>
      <sheetName val="3-DIV3"/>
      <sheetName val="3-DIV7"/>
      <sheetName val="5-ALAT"/>
      <sheetName val="3 -DIV1"/>
      <sheetName val="%"/>
      <sheetName val="terbilang"/>
      <sheetName val="Pekerjaan Utama"/>
      <sheetName val="4-BASIC"/>
      <sheetName val=" met"/>
      <sheetName val="Spesifikasi  bahan"/>
      <sheetName val="Cut"/>
      <sheetName val="Renolit"/>
      <sheetName val="Upah K"/>
      <sheetName val="Rekap Analisa K"/>
      <sheetName val="K.321"/>
      <sheetName val="K.311"/>
      <sheetName val="K.714"/>
      <sheetName val="K.715"/>
      <sheetName val="K.516"/>
      <sheetName val="K.705"/>
      <sheetName val="K.719"/>
      <sheetName val="K.725"/>
      <sheetName val="K.722"/>
      <sheetName val="K.721"/>
      <sheetName val="Rekap Sesuai Bow"/>
      <sheetName val="Rab Sesuai Bow"/>
      <sheetName val="Rekap Analisa Bow"/>
      <sheetName val="Analisa Bow (2)"/>
      <sheetName val="Analisa Bow"/>
      <sheetName val="Metode"/>
      <sheetName val="Mobdemobil"/>
      <sheetName val="Schedule"/>
      <sheetName val="Besi Abutment"/>
      <sheetName val="REK.K"/>
      <sheetName val="REK.E"/>
      <sheetName val="UPH"/>
      <sheetName val="BHN"/>
      <sheetName val="UMUM"/>
      <sheetName val="BOW2"/>
      <sheetName val="AN.K1"/>
      <sheetName val="AN.K2"/>
      <sheetName val="AN.K3"/>
      <sheetName val="ANLSA"/>
      <sheetName val="E1"/>
      <sheetName val="E2"/>
      <sheetName val="ANGKUT"/>
      <sheetName val="RKP_TOT"/>
      <sheetName val="RKP_UPH"/>
      <sheetName val="RKP_ALAT"/>
      <sheetName val="AN_ALAT"/>
      <sheetName val="RKP_BHN"/>
      <sheetName val="AN_BHN"/>
      <sheetName val="LD2"/>
      <sheetName val="LD3"/>
      <sheetName val="D4"/>
      <sheetName val="LD4"/>
      <sheetName val="LD5"/>
      <sheetName val="D6"/>
      <sheetName val="LD6"/>
      <sheetName val="LD7"/>
      <sheetName val="LD8"/>
      <sheetName val="LD10"/>
      <sheetName val="Budget"/>
      <sheetName val="PARAMETER COST"/>
      <sheetName val="Outlook"/>
      <sheetName val="Mining"/>
      <sheetName val="RC"/>
      <sheetName val="Daily"/>
      <sheetName val="xxx"/>
      <sheetName val="Logistik"/>
      <sheetName val="Produksi"/>
      <sheetName val="RENTAL BEP"/>
      <sheetName val="Stnby Rate"/>
      <sheetName val="Finance"/>
      <sheetName val="GA"/>
      <sheetName val="PMB"/>
      <sheetName val="FUEL"/>
      <sheetName val="ASSET"/>
      <sheetName val="RENTAL BMG"/>
      <sheetName val="Cost per bcm"/>
      <sheetName val="Insurance"/>
      <sheetName val="LEASING"/>
      <sheetName val="DEPRE"/>
      <sheetName val="RENT"/>
      <sheetName val="feb"/>
      <sheetName val="simulasi prod'ty"/>
      <sheetName val="OVERBURDEN"/>
      <sheetName val="MAINTENANCE"/>
      <sheetName val="SUBKON"/>
      <sheetName val="Attendance Ratio"/>
      <sheetName val="Tyre Life Time"/>
      <sheetName val="Master"/>
      <sheetName val="NEW"/>
      <sheetName val="STATUS UNIT"/>
      <sheetName val="RM Cost"/>
      <sheetName val="-REF-"/>
      <sheetName val="Revenue"/>
      <sheetName val="Detail"/>
      <sheetName val="Ref"/>
      <sheetName val="PE"/>
      <sheetName val="#REF!"/>
      <sheetName val="EX572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dbase EGI"/>
      <sheetName val="RATE"/>
      <sheetName val="UNIT"/>
      <sheetName val="ocean voyage"/>
      <sheetName val="Maret"/>
      <sheetName val="Petrosea"/>
      <sheetName val="Budget Cash Out"/>
      <sheetName val="CLAIM EMBUNG"/>
      <sheetName val="CALC"/>
      <sheetName val="list unit"/>
      <sheetName val="Operation - Prod"/>
      <sheetName val="LIST"/>
      <sheetName val="Nama Operator-Driver"/>
      <sheetName val="date"/>
      <sheetName val="Kode"/>
      <sheetName val="Tyre_Life_Time1"/>
      <sheetName val="Nama_Operator-Driver1"/>
      <sheetName val="Tyre_Life_Time"/>
      <sheetName val="Nama_Operator-Driver"/>
      <sheetName val="Distance Pit-TSP to WBM"/>
      <sheetName val="Distance Pit-PSG to BJM"/>
      <sheetName val="Distance Pit-TSP to BJM"/>
      <sheetName val="Monitoring Kehadiran"/>
      <sheetName val="Rekap abSen"/>
      <sheetName val="Alokasi Load"/>
      <sheetName val="Compare"/>
      <sheetName val="iNPUT dRIVER"/>
      <sheetName val="Tempel"/>
      <sheetName val="Tmpl"/>
      <sheetName val="UA"/>
      <sheetName val="Check"/>
      <sheetName val="Pres Target "/>
      <sheetName val="Roster"/>
      <sheetName val="Tempel (2)"/>
      <sheetName val="Produksi September  2011"/>
      <sheetName val="RecoveredExternalLink1"/>
      <sheetName val="Data Entry"/>
      <sheetName val="Weekly"/>
      <sheetName val="Barging Entry"/>
      <sheetName val="Working Entry"/>
      <sheetName val="Rain Entry"/>
      <sheetName val="Monthly Entry"/>
      <sheetName val="Monthly"/>
      <sheetName val="SPO"/>
      <sheetName val="database"/>
      <sheetName val="Cons"/>
      <sheetName val="PAR"/>
      <sheetName val="CO Cap"/>
      <sheetName val="OB Cap"/>
      <sheetName val="OLIE"/>
      <sheetName val="Sambarata 02"/>
      <sheetName val="sbl"/>
      <sheetName val="PT"/>
      <sheetName val="POPUN"/>
      <sheetName val="COA"/>
      <sheetName val="poductvty JAN"/>
      <sheetName val=" SAF 02"/>
      <sheetName val="Query PM"/>
      <sheetName val="RMSOURCE BSS"/>
      <sheetName val="GEN ASSUMPT"/>
      <sheetName val="WHRS"/>
      <sheetName val="RF"/>
      <sheetName val="Code"/>
      <sheetName val="EQL"/>
      <sheetName val="MDB"/>
      <sheetName val="MASTER-DATA"/>
      <sheetName val="MA"/>
      <sheetName val="QUALITY"/>
      <sheetName val="week Mar"/>
      <sheetName val="coal"/>
      <sheetName val="ob"/>
      <sheetName val="Parameter"/>
      <sheetName val="Data Base"/>
      <sheetName val="244 Black coal"/>
      <sheetName val="LABA"/>
      <sheetName val="HRPar"/>
      <sheetName val="Rain&amp;Slippery Maret"/>
      <sheetName val="Report"/>
      <sheetName val="Lists"/>
      <sheetName val="Delay codes"/>
      <sheetName val="Dbase"/>
      <sheetName val="qual_q"/>
      <sheetName val="qual_r"/>
      <sheetName val="qual_t"/>
      <sheetName val="Base DPR"/>
      <sheetName val="Cost Code"/>
      <sheetName val="Hours"/>
      <sheetName val="Haul Dist"/>
      <sheetName val="Rain &amp; Slippery"/>
      <sheetName val="DB Mining Coal"/>
      <sheetName val="Central DB"/>
      <sheetName val="DPR_MORISS"/>
      <sheetName val="DPR_MTN_HO"/>
      <sheetName val="Review DPR"/>
      <sheetName val="CO PLAN VS ACT"/>
      <sheetName val="Graph"/>
      <sheetName val="Mat_Balance_New"/>
      <sheetName val="Rain Fall"/>
      <sheetName val="Weekly Plan"/>
      <sheetName val="Daily Meeting_MTN New"/>
      <sheetName val="Daily Meeting_MTN"/>
      <sheetName val="Daily Meeting_MRS"/>
      <sheetName val="DPR For Big Boss MTN"/>
      <sheetName val="DPR_C1 SDK R"/>
      <sheetName val="DPR_C1 SDK"/>
      <sheetName val="Fuel_C1 SDK"/>
      <sheetName val="DPR_GELORA R"/>
      <sheetName val="Fuel_GELORA"/>
      <sheetName val="DPR_GELORA"/>
      <sheetName val="DPR_D SDK R "/>
      <sheetName val="DPR_D SDK "/>
      <sheetName val="Fuel_D SDK "/>
      <sheetName val="Production"/>
      <sheetName val="Avg.Haul Dist"/>
      <sheetName val="P&amp;L"/>
      <sheetName val="Food,Mess&amp;Fuel"/>
      <sheetName val="DB Coal Hauling"/>
      <sheetName val="DB Coal Barge"/>
      <sheetName val="DB Coal Hopper"/>
      <sheetName val="Insentif"/>
      <sheetName val="Table"/>
      <sheetName val="PLANT"/>
      <sheetName val="Ritase"/>
      <sheetName val="Status"/>
      <sheetName val="Hourly OB"/>
      <sheetName val="Equper"/>
      <sheetName val="Rain Slippery &amp; FOG Pit"/>
      <sheetName val="Rain Slippery &amp; FOG Haul"/>
      <sheetName val="Prod"/>
      <sheetName val="Performance"/>
      <sheetName val="Fuel Cons"/>
      <sheetName val="Res"/>
      <sheetName val="Plan"/>
      <sheetName val="M"/>
      <sheetName val="input"/>
      <sheetName val="Ritasi"/>
      <sheetName val="Hourly"/>
      <sheetName val="BD"/>
      <sheetName val="CEK"/>
      <sheetName val="PTY"/>
      <sheetName val="M!"/>
      <sheetName val="PCKr2"/>
      <sheetName val="R2 "/>
      <sheetName val="FPJr2"/>
      <sheetName val="PCKr4"/>
      <sheetName val="R4"/>
      <sheetName val="FPJr4"/>
      <sheetName val="COVR"/>
      <sheetName val="RASL"/>
      <sheetName val="UNTP"/>
      <sheetName val="UNTQ"/>
      <sheetName val="UQPT"/>
      <sheetName val="calender"/>
      <sheetName val="STBY"/>
      <sheetName val="OVBD"/>
      <sheetName val="BLST"/>
      <sheetName val="AVAIL"/>
      <sheetName val="OOCS"/>
      <sheetName val="BLSP"/>
      <sheetName val="Overhead"/>
      <sheetName val="MPP"/>
      <sheetName val="Capex Requirement"/>
      <sheetName val="P &amp; L"/>
      <sheetName val="RKA"/>
      <sheetName val="Fixed_Asset"/>
      <sheetName val="Interest"/>
      <sheetName val="LEDGER"/>
      <sheetName val="Jurnal"/>
      <sheetName val="Neraca"/>
      <sheetName val="Laba-Rugi"/>
      <sheetName val="Kas-Bank"/>
      <sheetName val="Fiskal"/>
      <sheetName val="REKAP HTG"/>
      <sheetName val="ASS"/>
      <sheetName val="SPEC"/>
      <sheetName val="EQPLAN"/>
      <sheetName val="MPP_Opr"/>
      <sheetName val="ADDEQ"/>
      <sheetName val="CORUA"/>
      <sheetName val="EQHRS"/>
      <sheetName val="Acuan Kec"/>
      <sheetName val="HAUL"/>
      <sheetName val="PROD (2)"/>
      <sheetName val="SCHE_FLEET"/>
      <sheetName val="SUMMARY TO NBC"/>
      <sheetName val="SCHE+EKSPOSE"/>
      <sheetName val="EQPLAN (2)"/>
      <sheetName val="SCHE (2)"/>
      <sheetName val="CAPEX"/>
      <sheetName val="INV DETIL"/>
      <sheetName val="MANP"/>
      <sheetName val="TYRE"/>
      <sheetName val="BLAST"/>
      <sheetName val="MOB"/>
      <sheetName val="GEA"/>
      <sheetName val="SUBCONT"/>
      <sheetName val="DEPR"/>
      <sheetName val="Simulasi"/>
      <sheetName val="P&amp;L(usd)"/>
      <sheetName val="P&amp;L (idr)"/>
      <sheetName val="CONSCOST"/>
      <sheetName val="EXCSUMM"/>
      <sheetName val="PA_UA_WHRS"/>
      <sheetName val="INDUK"/>
      <sheetName val="Eq&amp;compar"/>
      <sheetName val="tren&amp;uji"/>
      <sheetName val="SALES B"/>
      <sheetName val="b"/>
      <sheetName val="EXT C"/>
      <sheetName val="c"/>
      <sheetName val="HPP D"/>
      <sheetName val="d"/>
      <sheetName val="BIAYA"/>
      <sheetName val="LPPPSL"/>
      <sheetName val="LPPPSK"/>
      <sheetName val="nothit25"/>
      <sheetName val="nothitSTP25 "/>
      <sheetName val="PPN"/>
      <sheetName val="NPP_PPN"/>
      <sheetName val="SSPKREDIT&amp;MASA"/>
      <sheetName val="nothit final"/>
      <sheetName val="nothitpot"/>
      <sheetName val="nothitpot (2)"/>
      <sheetName val="21 e1"/>
      <sheetName val="KKP 21"/>
      <sheetName val="4 2"/>
      <sheetName val="23"/>
      <sheetName val="26"/>
      <sheetName val="sphp"/>
      <sheetName val="KLUdan HArta"/>
      <sheetName val="DKHP"/>
      <sheetName val="Alket"/>
      <sheetName val="LIHP"/>
      <sheetName val="KI (2)"/>
      <sheetName val="KI"/>
      <sheetName val="B1"/>
      <sheetName val="B2"/>
      <sheetName val="B3"/>
      <sheetName val="B4"/>
      <sheetName val="B5"/>
      <sheetName val="21"/>
      <sheetName val="22"/>
      <sheetName val="4(2)"/>
      <sheetName val="PPN&amp;BM"/>
      <sheetName val="PBB"/>
      <sheetName val="BPHTB"/>
      <sheetName val="KP"/>
      <sheetName val="Komp"/>
      <sheetName val="21SSP"/>
      <sheetName val="21SPM"/>
      <sheetName val="21BP"/>
      <sheetName val="1721A1"/>
      <sheetName val="23SSP"/>
      <sheetName val="23SPM"/>
      <sheetName val="23BP"/>
      <sheetName val="4(2)SSP"/>
      <sheetName val="4(2)SPM"/>
      <sheetName val="4(2)BP"/>
      <sheetName val="26SSP"/>
      <sheetName val="26SPM"/>
      <sheetName val="26BP"/>
      <sheetName val="FSSP"/>
      <sheetName val="FSPM"/>
      <sheetName val="FBP"/>
      <sheetName val="PPNSSP"/>
      <sheetName val="PPNSPM"/>
      <sheetName val="STPPPN"/>
      <sheetName val="PPNLN"/>
      <sheetName val="PPNLNSSP"/>
      <sheetName val="PPnBM"/>
      <sheetName val="PPnBMSSP"/>
      <sheetName val="PPnBMSPM"/>
      <sheetName val="KFPS"/>
      <sheetName val="KFPL"/>
      <sheetName val="KPKS"/>
      <sheetName val="KPKL"/>
      <sheetName val="BAK"/>
      <sheetName val="1770S C260606 revisi"/>
      <sheetName val="Lampiran"/>
      <sheetName val="UPDATE IDENT"/>
      <sheetName val="Consolidated BS"/>
      <sheetName val="Consolidated PL"/>
      <sheetName val="Equity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BBM-03"/>
      <sheetName val="BBM-03 (2)"/>
      <sheetName val="F"/>
      <sheetName val="WBS-1"/>
      <sheetName val="WBS-2"/>
      <sheetName val="WPL"/>
      <sheetName val="PAJE&amp;CAJE"/>
      <sheetName val="Cash Flow"/>
      <sheetName val="Taxes"/>
      <sheetName val="Taxes-111"/>
      <sheetName val="Taxes (2)"/>
      <sheetName val="Cash"/>
      <sheetName val="AR-Trade"/>
      <sheetName val="AR-Employees"/>
      <sheetName val="AR-Other"/>
      <sheetName val="Claim for tax refund"/>
      <sheetName val="Prepaid-Exp"/>
      <sheetName val="Prepaid-Tax"/>
      <sheetName val="Defered Tax Assets"/>
      <sheetName val="Investment"/>
      <sheetName val="FA"/>
      <sheetName val="Refundable-Dep"/>
      <sheetName val="MI for Disp"/>
      <sheetName val="AP Yimm"/>
      <sheetName val="Other payable"/>
      <sheetName val="LeasePayable"/>
      <sheetName val="TaxesPayable"/>
      <sheetName val="Est.Liab.Empl.Ben"/>
      <sheetName val="Accrued Exp"/>
      <sheetName val="CS"/>
      <sheetName val="Misc Dep Rec"/>
      <sheetName val="Sales"/>
      <sheetName val="OpEx"/>
      <sheetName val="OtherIncome"/>
      <sheetName val="Other Expense"/>
      <sheetName val="OtherIncome (Expense)-report"/>
      <sheetName val="Notes"/>
      <sheetName val="Perhit, PPh 21 bulnan 07"/>
      <sheetName val="TB-WP"/>
      <sheetName val="FS"/>
      <sheetName val="Checker"/>
      <sheetName val="0000"/>
      <sheetName val="0000000"/>
      <sheetName val="00000000"/>
      <sheetName val="000000000"/>
      <sheetName val="Cross Check data Aktuari-PNP"/>
      <sheetName val="P-1.1"/>
      <sheetName val="LK 2002"/>
      <sheetName val="Movement of Hutang Leasing"/>
      <sheetName val="PAJE-CAJE-PRJE"/>
      <sheetName val="BS-PL Komersil and Fiskal"/>
      <sheetName val="Deferred Tax Calculation"/>
      <sheetName val="List of Disposal"/>
      <sheetName val="Predictive Depreciation Exp."/>
      <sheetName val="K-Mutation PNP"/>
      <sheetName val="FA Fiscal 2003"/>
      <sheetName val="AR Subsequent Collection"/>
      <sheetName val="AP Subsequent Payment"/>
      <sheetName val="CC"/>
      <sheetName val="DD"/>
      <sheetName val="E"/>
      <sheetName val="E-3"/>
      <sheetName val="G"/>
      <sheetName val="G-1"/>
      <sheetName val="G-2"/>
      <sheetName val="G-3"/>
      <sheetName val="I"/>
      <sheetName val="L"/>
      <sheetName val="J.1"/>
      <sheetName val="K"/>
      <sheetName val="N"/>
      <sheetName val="N-1"/>
      <sheetName val="Pred. by APBMI N -1-1"/>
      <sheetName val="O"/>
      <sheetName val="P-1"/>
      <sheetName val="P-2"/>
      <sheetName val="Q"/>
      <sheetName val="R"/>
      <sheetName val="Perhit. def tax R-1"/>
      <sheetName val="T"/>
      <sheetName val="TT"/>
      <sheetName val="U-1"/>
      <sheetName val="U-2"/>
      <sheetName val="U-3"/>
      <sheetName val="U-4"/>
      <sheetName val="U-5"/>
      <sheetName val="Materiality and TE"/>
      <sheetName val="CF"/>
      <sheetName val="CF Calculation"/>
      <sheetName val="Reclassification"/>
      <sheetName val="Hut-Piut Afiliasi"/>
      <sheetName val="NAV000"/>
      <sheetName val="pldt"/>
      <sheetName val="P-1.1 Update"/>
      <sheetName val="Uang Muka Operasi"/>
      <sheetName val="Vouching Add. FA"/>
      <sheetName val="Koreksi Uang Muka "/>
      <sheetName val="Analytical Review-MTCont"/>
      <sheetName val="Uang Muka Sewa Lahan"/>
      <sheetName val="Review Notes to DD"/>
      <sheetName val="Point to be discussed w Client"/>
      <sheetName val="FA Fiscal MTCont 2003"/>
      <sheetName val="Deferred Tax Calculation MTCont"/>
      <sheetName val="Materiality &amp; TE"/>
      <sheetName val="PRJE'03"/>
      <sheetName val="PAJE'03"/>
      <sheetName val="CAJE'03"/>
      <sheetName val="To do List for Team"/>
      <sheetName val="Pending Items"/>
      <sheetName val="Basis Reclass Uang Muka"/>
      <sheetName val="Worksheet-03"/>
      <sheetName val="Analy Rvw"/>
      <sheetName val="PAJE-02"/>
      <sheetName val="PRJE-02"/>
      <sheetName val="CAJE-02"/>
      <sheetName val="E-1"/>
      <sheetName val="Sorted by USD E-1.1"/>
      <sheetName val="Sorted by IDR E-1.2"/>
      <sheetName val="AR-Aging IDR E-2 p.1"/>
      <sheetName val="AR-Aging USD E-2 p.2 "/>
      <sheetName val="Subsequent IDR E-3 p.1"/>
      <sheetName val="Subsequent USD E-3 p.2"/>
      <sheetName val="E-4"/>
      <sheetName val="E-4.1"/>
      <sheetName val="EE"/>
      <sheetName val="F-1"/>
      <sheetName val="Stock take result F-1.1"/>
      <sheetName val="II"/>
      <sheetName val="J"/>
      <sheetName val="Predictive Test Sewa Lahan"/>
      <sheetName val="Predictive sewa lahan J 5-1"/>
      <sheetName val="JJ"/>
      <sheetName val="pred. insurance"/>
      <sheetName val="Predictive of insurance"/>
      <sheetName val="Data polis"/>
      <sheetName val="Insurred Aktiva"/>
      <sheetName val="Harga perolehan"/>
      <sheetName val="Predict depre"/>
      <sheetName val="K coba"/>
      <sheetName val="trial K-3"/>
      <sheetName val="K-1"/>
      <sheetName val="NN-3"/>
      <sheetName val="N-4"/>
      <sheetName val="P-3"/>
      <sheetName val=" Q"/>
      <sheetName val="Movement of Bank Loan Q-1"/>
      <sheetName val="Movement of Leasing Q-2"/>
      <sheetName val="Interest exp Q-3"/>
      <sheetName val="QQ-3"/>
      <sheetName val="Current Leasing Q-4"/>
      <sheetName val="TT-1"/>
      <sheetName val="T-1"/>
      <sheetName val="Penjelasan Net"/>
      <sheetName val="U-4.1"/>
      <sheetName val="FISCAL 2002"/>
      <sheetName val="Table of Contents"/>
      <sheetName val="Wrap Up"/>
      <sheetName val="Labarugi fiskal"/>
      <sheetName val="Neraca fiskal"/>
      <sheetName val="fa-fiscal"/>
      <sheetName val="Penambahan FA"/>
      <sheetName val="Penj. AT_Fiskal"/>
      <sheetName val="NBV-Fiskal Sewa Lahan"/>
      <sheetName val="Daftar Karyawan yang keluar"/>
      <sheetName val="Amortisasi sewa lahan"/>
      <sheetName val="TOTAL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CAR"/>
      <sheetName val="NRC"/>
      <sheetName val="PL"/>
      <sheetName val="EQ"/>
      <sheetName val="DEFFERED TAX"/>
      <sheetName val="AYD"/>
      <sheetName val="KYD Terkait"/>
      <sheetName val="WS"/>
      <sheetName val="CAJE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tickmark"/>
      <sheetName val="K1"/>
      <sheetName val="rekap report"/>
      <sheetName val="K2"/>
      <sheetName val="K3"/>
      <sheetName val="K4"/>
      <sheetName val="K5"/>
      <sheetName val="K6"/>
      <sheetName val="K7"/>
      <sheetName val="K8"/>
      <sheetName val="K8.1"/>
      <sheetName val="K9"/>
      <sheetName val="K10"/>
      <sheetName val="K11"/>
      <sheetName val="K11.1"/>
      <sheetName val="budget per type"/>
      <sheetName val="A1_ Income Statement Projection"/>
      <sheetName val="PjkTgghn"/>
      <sheetName val="Lamp_AT"/>
      <sheetName val="AT &amp; Depr (GL)"/>
      <sheetName val="Sst02BBng&lt;95 (Dep123)"/>
      <sheetName val="Sst02Bng&lt;95"/>
      <sheetName val="Sst02&gt;=95 (Dep123)"/>
      <sheetName val="Sst02&gt;=95 (Dep456)"/>
      <sheetName val="Sst02Bng&gt;=95"/>
      <sheetName val="Car_Jkt&gt;=2003"/>
      <sheetName val="Car_Ckp&gt;=2003"/>
      <sheetName val="dbgFIRNA"/>
      <sheetName val="adj"/>
      <sheetName val="DBG"/>
      <sheetName val="Planning Materiality "/>
      <sheetName val="Subsequent event"/>
      <sheetName val="WBS1"/>
      <sheetName val="WBS2"/>
      <sheetName val="WPL Detail"/>
      <sheetName val="CashFlow"/>
      <sheetName val="CashFlow (2)"/>
      <sheetName val="Deferred"/>
      <sheetName val="SPT 1721"/>
      <sheetName val="PAJE-PRJE-07"/>
      <sheetName val="CAJE-CRJE-07"/>
      <sheetName val="Tax"/>
      <sheetName val="SKP"/>
      <sheetName val="transaksi Istimewa"/>
      <sheetName val="Aging"/>
      <sheetName val="Test of detail - Purchase"/>
      <sheetName val="Jaminan"/>
      <sheetName val="ass kend."/>
      <sheetName val="ass_ stock_gdg"/>
      <sheetName val="temuan"/>
      <sheetName val="pending"/>
      <sheetName val="13"/>
      <sheetName val="14"/>
      <sheetName val="14 (2)"/>
      <sheetName val="15"/>
      <sheetName val="16"/>
      <sheetName val="17"/>
      <sheetName val="18"/>
      <sheetName val="19"/>
      <sheetName val="TB_WP"/>
      <sheetName val="Rates"/>
      <sheetName val="IS"/>
      <sheetName val="BS"/>
      <sheetName val="Engagement Memorandum"/>
      <sheetName val="NOTE"/>
      <sheetName val="FISCOM"/>
      <sheetName val="ADJ'09"/>
      <sheetName val="tb_01122009"/>
      <sheetName val="Persediaan"/>
      <sheetName val="Aset Tetap"/>
      <sheetName val="Fixed Asset"/>
      <sheetName val="Vouch Fixed Asset"/>
      <sheetName val="Penjualan"/>
      <sheetName val="Sales_2009"/>
      <sheetName val="Harga Pokok"/>
      <sheetName val="HPP!"/>
      <sheetName val="Conf. Control"/>
      <sheetName val="PPH 21"/>
      <sheetName val="PPH 23"/>
      <sheetName val="PPh 4 (2) Penjualan"/>
      <sheetName val="PPh 4 (2)"/>
      <sheetName val="Petunjuk"/>
      <sheetName val="Summary-Customer"/>
      <sheetName val="LTLGroup-Trans"/>
      <sheetName val="LTLGroup-Rent"/>
      <sheetName val="LTLGroup-SD"/>
      <sheetName val="LTLGroup-Oth"/>
      <sheetName val="NONLTL-Trans"/>
      <sheetName val="NONLTL-Rent"/>
      <sheetName val="NONLTL-SD"/>
      <sheetName val="NONLTL-OTH"/>
      <sheetName val="PL monthly analysis"/>
      <sheetName val="EM"/>
      <sheetName val="RE"/>
      <sheetName val="PRJE"/>
      <sheetName val="ARUS-KAS"/>
      <sheetName val="TAX 1"/>
      <sheetName val="Kas &amp; Setara Kas"/>
      <sheetName val="Piutang Dagang"/>
      <sheetName val="Piutang Lain-lain"/>
      <sheetName val="Deposito"/>
      <sheetName val="Piutang Pemborong"/>
      <sheetName val="Pinjaman"/>
      <sheetName val="Persekot"/>
      <sheetName val="FA Komersial"/>
      <sheetName val="HGU-09 e SPT X"/>
      <sheetName val="REKAP-FIS09 HGU TERPISAH S.D'09"/>
      <sheetName val="Hutang Dagang"/>
      <sheetName val="Hutang Lain-lain"/>
      <sheetName val="Hutang Pajak"/>
      <sheetName val="Hutang Gaji"/>
      <sheetName val="Uang Muka Pelanggan."/>
      <sheetName val="Accrued"/>
      <sheetName val="Pendapatan"/>
      <sheetName val="Selisih kurs"/>
      <sheetName val="PPh 22"/>
      <sheetName val="Preapid 23"/>
      <sheetName val="PPh 21 Medan"/>
      <sheetName val="deviden"/>
      <sheetName val="Asuransi"/>
      <sheetName val="Mutasi FA"/>
      <sheetName val="Pndp Bunga"/>
      <sheetName val="Barang impor"/>
      <sheetName val="PPN (2)"/>
      <sheetName val="IF add"/>
      <sheetName val="BARANG-GUDANG"/>
      <sheetName val="DAT-1"/>
      <sheetName val="DAT-2"/>
      <sheetName val="DAT-3"/>
      <sheetName val="DAT-4"/>
      <sheetName val="DAT-5"/>
      <sheetName val="ARPs 1"/>
      <sheetName val="ARPs 2"/>
      <sheetName val="Ket"/>
      <sheetName val="AR lain"/>
      <sheetName val="Blog"/>
      <sheetName val="Land"/>
      <sheetName val="PPh Final"/>
      <sheetName val="HPS"/>
      <sheetName val="Uang Muka&amp;BYDM"/>
      <sheetName val="Aktiva Tetap"/>
      <sheetName val="Garansi"/>
      <sheetName val="Proyek Kemitraan Kokar"/>
      <sheetName val="Beban Pokok Penjualan"/>
      <sheetName val="Operating Exp"/>
      <sheetName val="Beban Lain-Lain"/>
      <sheetName val="TAX Computation"/>
      <sheetName val="Cut Off test"/>
      <sheetName val="TOC - Sales"/>
      <sheetName val="TOC - Purchases"/>
      <sheetName val="TOT - operating expenses"/>
      <sheetName val="TOT - Fixed Asset Addition"/>
      <sheetName val="Rekap Deposito"/>
      <sheetName val="REKAP PENJUALAN CANGKANG DAN MI"/>
      <sheetName val="REKAP PENJUALAN INTI DAN MINYAK"/>
      <sheetName val="PPH 21 Jakarta"/>
      <sheetName val="PPH 25 Jakarta"/>
      <sheetName val="PPh 23 Jakarta"/>
      <sheetName val="PPh 23 Medan"/>
      <sheetName val="PPh 4(2) Medan"/>
      <sheetName val="Sheet8"/>
      <sheetName val="REKAP'09 Siddik"/>
      <sheetName val="Jakarta"/>
      <sheetName val="Medan"/>
      <sheetName val="Telda"/>
      <sheetName val="Kalsa"/>
      <sheetName val="Kalda"/>
      <sheetName val="Kokar"/>
      <sheetName val="FD-GAP09"/>
      <sheetName val="GAP09-BD"/>
      <sheetName val="AWL2002 KIE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sulsel"/>
      <sheetName val="rekap_sulsel"/>
      <sheetName val="rkp_sulsel_baru"/>
      <sheetName val="ar_all"/>
      <sheetName val="dec03 (2)"/>
      <sheetName val="sulsel (2)"/>
      <sheetName val="lama_sulsel"/>
      <sheetName val="sulsel (3)"/>
      <sheetName val="#REF"/>
      <sheetName val="nonbti"/>
      <sheetName val="CIREBON"/>
      <sheetName val="Bandung"/>
      <sheetName val="BS BPKP"/>
      <sheetName val="PL BPKP"/>
      <sheetName val="ACC_CODE"/>
      <sheetName val="Saldo Awal"/>
      <sheetName val="Okt"/>
      <sheetName val="Nop"/>
      <sheetName val="Des"/>
      <sheetName val="Jurnal 2005"/>
      <sheetName val="Subtotal Akun"/>
      <sheetName val="TB"/>
      <sheetName val="Worksheet 2005"/>
      <sheetName val="Palopo Bermasalah"/>
      <sheetName val="Pere -Pare  Bermasalah"/>
      <sheetName val="Rekap Ptg"/>
      <sheetName val="Rincian Piutang"/>
      <sheetName val="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Rekap % 1"/>
      <sheetName val="% PaK Hsn"/>
      <sheetName val="Rkap (2)"/>
      <sheetName val="Rekap Piut"/>
      <sheetName val="Rekap2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STOCK DO (3)"/>
      <sheetName val="STOCK DO (2)"/>
      <sheetName val="STOCK DO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LABA RUGI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GORONTALO"/>
      <sheetName val="SAMARINDA"/>
      <sheetName val="BALIKPAPAN"/>
      <sheetName val="BANYUWANGI"/>
      <sheetName val="SURABAYA setelah di ajust"/>
      <sheetName val="SURABAYA"/>
      <sheetName val="BA Wawancara"/>
      <sheetName val="SPT"/>
      <sheetName val="Panggil Lapangan"/>
      <sheetName val="BCD Dipanggil"/>
      <sheetName val="BA Temu"/>
      <sheetName val="BAPK Panggil"/>
      <sheetName val="Pakta Integritas"/>
      <sheetName val="BPP"/>
      <sheetName val="BA Tidak Hadir"/>
      <sheetName val="Pinjam BCD"/>
      <sheetName val="Lamp BCD"/>
      <sheetName val="Softcopy"/>
      <sheetName val="Peringatan I"/>
      <sheetName val="Lamp Ingat I"/>
      <sheetName val="Peringatan II"/>
      <sheetName val="Lamp Ingat II"/>
      <sheetName val="BA Tdk Penuh"/>
      <sheetName val="BA Penuh"/>
      <sheetName val="Tolak"/>
      <sheetName val="BA Tolak"/>
      <sheetName val="Tolak Bantu"/>
      <sheetName val="BA Tolak Bantu"/>
      <sheetName val="BA Absen Pem Kantor"/>
      <sheetName val="Surat Kuasa OP"/>
      <sheetName val="LampSKOP"/>
      <sheetName val="Surat Kuasa Badan"/>
      <sheetName val="LampSKBdn"/>
      <sheetName val="Surat Kuasa LHKPN"/>
      <sheetName val="BA Tdk Kuasa"/>
      <sheetName val="Kuesioner"/>
      <sheetName val="BA Pengujian Ditempat WP"/>
      <sheetName val="Surat Pernyataan Izin"/>
      <sheetName val="BA Data Elektronik"/>
      <sheetName val="BA non elektronik"/>
      <sheetName val="Pernyataan 8(4) KUP"/>
      <sheetName val="Perm Ket atau Bukti"/>
      <sheetName val="Pang-Ket"/>
      <sheetName val="BAPK"/>
      <sheetName val="ND-panj"/>
      <sheetName val="Realisasi Program"/>
      <sheetName val="B.1"/>
      <sheetName val="KKP Uji Arus Piutang"/>
      <sheetName val="Uji Arus Piutang Cfm WP"/>
      <sheetName val="Rekap Penjualan"/>
      <sheetName val="B.1.1"/>
      <sheetName val="B.1.2"/>
      <sheetName val="B.1.3"/>
      <sheetName val="B.2"/>
      <sheetName val="B.2.1"/>
      <sheetName val="B.2.2"/>
      <sheetName val="B.2.3"/>
      <sheetName val="B.2.4"/>
      <sheetName val="B.2.4.1"/>
      <sheetName val="B.2.5"/>
      <sheetName val="B.2.6"/>
      <sheetName val="B.2.7"/>
      <sheetName val="B.2.8"/>
      <sheetName val="B.2.9"/>
      <sheetName val="B.2.10"/>
      <sheetName val="B.2.11"/>
      <sheetName val="B.2.12"/>
      <sheetName val="B.2.13"/>
      <sheetName val="B.3"/>
      <sheetName val="B.3.1"/>
      <sheetName val="B.3.2"/>
      <sheetName val="B.3.3"/>
      <sheetName val="B.3.4"/>
      <sheetName val="Penyusutan Fiskal 2016"/>
      <sheetName val="B.3.4.1"/>
      <sheetName val="B.3.5"/>
      <sheetName val="B.3.6"/>
      <sheetName val="B.3.7"/>
      <sheetName val="B.3.8"/>
      <sheetName val="B.3.9"/>
      <sheetName val="B.3.10"/>
      <sheetName val="B.3.11"/>
      <sheetName val="B.3.12"/>
      <sheetName val="B.3.1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2.1"/>
      <sheetName val="B.12.2"/>
      <sheetName val="B.13"/>
      <sheetName val="TP"/>
      <sheetName val="Pengujian"/>
      <sheetName val="Data Ledger"/>
      <sheetName val="C.1"/>
      <sheetName val="C.1.1"/>
      <sheetName val="C.2"/>
      <sheetName val="C.2.1"/>
      <sheetName val="C.2.2"/>
      <sheetName val="C.3"/>
      <sheetName val="C.3.1"/>
      <sheetName val="C.4"/>
      <sheetName val="D.1"/>
      <sheetName val="D.1.1"/>
      <sheetName val="D.2"/>
      <sheetName val="D.3"/>
      <sheetName val="D.3.1"/>
      <sheetName val="D.4"/>
      <sheetName val="E.1"/>
      <sheetName val="E.1.1"/>
      <sheetName val="E.2"/>
      <sheetName val="E.3"/>
      <sheetName val="E.3.1"/>
      <sheetName val="E.4"/>
      <sheetName val="F.1"/>
      <sheetName val="F.1.1"/>
      <sheetName val="F.2"/>
      <sheetName val="F.3"/>
      <sheetName val="F.3.1"/>
      <sheetName val="F.4"/>
      <sheetName val="G.1"/>
      <sheetName val="G.1.1"/>
      <sheetName val="Rekonsiliasi 23"/>
      <sheetName val="Rekonsiliasi 23olah"/>
      <sheetName val="Piutang Forwarding objek 23"/>
      <sheetName val="Piutang dokumen objek 23"/>
      <sheetName val="G.2"/>
      <sheetName val="G.3"/>
      <sheetName val="G.3.1"/>
      <sheetName val="G.4"/>
      <sheetName val="H.1"/>
      <sheetName val="H.1.1"/>
      <sheetName val="H.2"/>
      <sheetName val="H.3"/>
      <sheetName val="H.3.1"/>
      <sheetName val="H.4"/>
      <sheetName val="J.1.1"/>
      <sheetName val="J.2"/>
      <sheetName val="J.3"/>
      <sheetName val="J.3.1"/>
      <sheetName val="J.4"/>
      <sheetName val="K.1"/>
      <sheetName val="K.1.1"/>
      <sheetName val="K.2"/>
      <sheetName val="K.3"/>
      <sheetName val="K.3.1"/>
      <sheetName val="K.4"/>
      <sheetName val="L.1"/>
      <sheetName val="L.1.1"/>
      <sheetName val="L.2"/>
      <sheetName val="L.3"/>
      <sheetName val="L.3.1"/>
      <sheetName val="L.4"/>
      <sheetName val="M.1"/>
      <sheetName val="M.2"/>
      <sheetName val="M.2.1"/>
      <sheetName val="N.1"/>
      <sheetName val="Laporan Ekualisasi Penjualan"/>
      <sheetName val="N.1.1"/>
      <sheetName val="N.2"/>
      <sheetName val="N.2.1"/>
      <sheetName val="Rincian Ekspor dan Lokal"/>
      <sheetName val="N.3"/>
      <sheetName val="N.3.1"/>
      <sheetName val="N.4"/>
      <sheetName val="N.4.1"/>
      <sheetName val="N.5"/>
      <sheetName val="N.5.1"/>
      <sheetName val="N.6"/>
      <sheetName val="N.6.1"/>
      <sheetName val="N.7"/>
      <sheetName val="N.7.1"/>
      <sheetName val="N.8"/>
      <sheetName val="N.8.1"/>
      <sheetName val="N.9"/>
      <sheetName val="N.9.1"/>
      <sheetName val="Konfirmasi"/>
      <sheetName val="Koreksi PM"/>
      <sheetName val="ArusUangBarang"/>
      <sheetName val="BA Uji Uang"/>
      <sheetName val="LampBA"/>
      <sheetName val="N.10"/>
      <sheetName val="N.11"/>
      <sheetName val="N.12"/>
      <sheetName val="N.13"/>
      <sheetName val="N.14"/>
      <sheetName val="N.15"/>
      <sheetName val="O.1"/>
      <sheetName val="O.2"/>
      <sheetName val="P"/>
      <sheetName val="P.1"/>
      <sheetName val="P.2"/>
      <sheetName val="Q.1"/>
      <sheetName val="Q.2"/>
      <sheetName val="R.1"/>
      <sheetName val="R.2"/>
      <sheetName val="S"/>
      <sheetName val="S.1"/>
      <sheetName val="S.2"/>
      <sheetName val="T.1"/>
      <sheetName val="T.2"/>
      <sheetName val="U"/>
      <sheetName val="V"/>
      <sheetName val="V.1"/>
      <sheetName val="V.2"/>
      <sheetName val="W"/>
      <sheetName val="W.1"/>
      <sheetName val="W.2"/>
      <sheetName val="X"/>
      <sheetName val="X.1"/>
      <sheetName val="X.2"/>
      <sheetName val="Y"/>
      <sheetName val="Z"/>
      <sheetName val="AA"/>
      <sheetName val="PHP"/>
      <sheetName val="PHP (2)"/>
      <sheetName val="DTP"/>
      <sheetName val="Tolak SPHP"/>
      <sheetName val="Tolak Undangan"/>
      <sheetName val="Tolak TTD"/>
      <sheetName val="BA Tolak SPHP"/>
      <sheetName val="BA Tolak Undangan"/>
      <sheetName val="BA Tolak TTD"/>
      <sheetName val="LHP"/>
      <sheetName val="Lembar Setuju"/>
      <sheetName val="Perpanjang"/>
      <sheetName val="BA Tdk Tanggap"/>
      <sheetName val="Undangan"/>
      <sheetName val="RisPa"/>
      <sheetName val="TQA"/>
      <sheetName val="BAPAHP"/>
      <sheetName val="IHPA"/>
      <sheetName val="PPN cfm Fiskus Akhir"/>
      <sheetName val="PPN Disetujui WP"/>
      <sheetName val="Panggil Ttd"/>
      <sheetName val="BA Tdk Hadir Bahas"/>
      <sheetName val="SM"/>
      <sheetName val="Daftar Isi All Taxes"/>
      <sheetName val="Daftar Isi PPN"/>
      <sheetName val="Daftar Isi WP PP 46"/>
      <sheetName val="ES All Taxes Bdn"/>
      <sheetName val="ES PPN Bdn"/>
      <sheetName val="ES WP PP 46 Badan"/>
      <sheetName val="LHP PPN"/>
      <sheetName val="LHP WP PP 46"/>
      <sheetName val="TambTP"/>
      <sheetName val="PerMasa"/>
      <sheetName val="Lembar Pengawasan"/>
      <sheetName val="Kode Indeks"/>
      <sheetName val="Review KKP"/>
      <sheetName val="Review LHP"/>
      <sheetName val="Lemwas Nothit"/>
      <sheetName val="SKP 25N"/>
      <sheetName val="STP 25N"/>
      <sheetName val="STP 21N"/>
      <sheetName val="SKP 21 FinalN"/>
      <sheetName val="STP 21 Fin"/>
      <sheetName val="SKP 22N"/>
      <sheetName val="STP 22N"/>
      <sheetName val="SKP 22 Final"/>
      <sheetName val="STP 22 Fin"/>
      <sheetName val="SKP 23N"/>
      <sheetName val="STP 23N"/>
      <sheetName val="SKP 23 FinalN"/>
      <sheetName val="SKP 26N"/>
      <sheetName val="STP 23 Fin"/>
      <sheetName val="SKP 26 FinalN"/>
      <sheetName val="STP 26N"/>
      <sheetName val="SKP 4(2)N"/>
      <sheetName val="STP 4(2)N"/>
      <sheetName val="SKP 15N"/>
      <sheetName val="STP 15N"/>
      <sheetName val="SKP 19N"/>
      <sheetName val="Isi Data SKP PPN"/>
      <sheetName val="STP PPNN"/>
      <sheetName val="dbRp"/>
      <sheetName val="ND Pot 23"/>
      <sheetName val="Lamp ND Pot 23"/>
      <sheetName val="ND Put 22"/>
      <sheetName val="Lamp ND Pot 22"/>
      <sheetName val="SPot 23"/>
      <sheetName val="Lamp SPot 23"/>
      <sheetName val="SPut 22"/>
      <sheetName val="Lamp SPut 22"/>
      <sheetName val="Konf PPN"/>
      <sheetName val="Lamp Konf PPN"/>
      <sheetName val="ND Konf PPN"/>
      <sheetName val="Lamp ND Konf PPN"/>
      <sheetName val="Lembar Berkas"/>
      <sheetName val="SKP 21N"/>
      <sheetName val="SKP PPNN"/>
      <sheetName val="Support"/>
      <sheetName val="Map"/>
      <sheetName val="Temp_B1"/>
      <sheetName val="Temp_B2"/>
      <sheetName val="Temp_B3"/>
      <sheetName val="Temp_B4"/>
      <sheetName val="Temp_B5"/>
      <sheetName val="VAT"/>
      <sheetName val="22 Import"/>
      <sheetName val="22 PLN"/>
      <sheetName val="25"/>
      <sheetName val="Tickmarks"/>
      <sheetName val="Case"/>
      <sheetName val="Merak Export"/>
      <sheetName val="Merak Import"/>
      <sheetName val="VBA Code"/>
      <sheetName val="Overall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2004.VS.2003"/>
      <sheetName val="JUST.F7"/>
      <sheetName val="CTT.RPT"/>
      <sheetName val="KODE BAG"/>
      <sheetName val="PVT.TOTAL"/>
      <sheetName val="SKOP"/>
      <sheetName val="NonDept"/>
      <sheetName val="PVT-FUNGSI"/>
      <sheetName val="REKAP-F7.0"/>
      <sheetName val="F7.1"/>
      <sheetName val="F7-OPS"/>
      <sheetName val="PIVOT 3 DGT"/>
      <sheetName val="F-7.2.3 DGT "/>
      <sheetName val="F7.3th"/>
      <sheetName val="PIVOTF8.0"/>
      <sheetName val="F8.0"/>
      <sheetName val="PIVOT-F.7.4.DGT"/>
      <sheetName val="F-7.2.4DGT"/>
      <sheetName val="2004R.VS.2003"/>
      <sheetName val="KEL.9"/>
      <sheetName val="EXECUTIVE SUMMARY"/>
      <sheetName val="HARGA MINYAK &amp; KURS"/>
      <sheetName val="LAPORAN MINYAK"/>
      <sheetName val="LAPORAN GAS"/>
      <sheetName val="EBITDA"/>
      <sheetName val="C5 GABUNG"/>
      <sheetName val="FINDING COST"/>
      <sheetName val="ABI"/>
      <sheetName val="ABO"/>
      <sheetName val="KONS"/>
      <sheetName val="OPSEN"/>
      <sheetName val="KONS DIT HULU"/>
      <sheetName val="KONS BID P"/>
      <sheetName val="KONS BID P&amp;N"/>
      <sheetName val=" KONS BID PKP"/>
      <sheetName val="DIT HILIR"/>
      <sheetName val="RANTAU"/>
      <sheetName val="PRABUMULIH"/>
      <sheetName val="JAMBI"/>
      <sheetName val="KR.AMPEL"/>
      <sheetName val="CEPU"/>
      <sheetName val="SORONG"/>
      <sheetName val="SANGATA-BUNYU"/>
      <sheetName val="LAHENDONG"/>
      <sheetName val="KAMOJANG"/>
      <sheetName val="SIBAYAK"/>
      <sheetName val="KP.DIT.HULU"/>
      <sheetName val="UP 1 BRANDAN"/>
      <sheetName val="UP II DUMAI"/>
      <sheetName val="UP III PLAJU"/>
      <sheetName val="UP IV CILACAP"/>
      <sheetName val="UP V BALIKPAPAN"/>
      <sheetName val="UP VI BALONGAN"/>
      <sheetName val="UP VII KASIM"/>
      <sheetName val="KPC"/>
      <sheetName val="KP.PENGOLAHAN"/>
      <sheetName val="UPMS I MEDAN"/>
      <sheetName val="UPMS II PALEMBANG"/>
      <sheetName val="UPMS III JAKARTA"/>
      <sheetName val="UPMS IV SEMARANG"/>
      <sheetName val="UPMS V SBY"/>
      <sheetName val="UPMS VI B.PAPAN"/>
      <sheetName val="UPMS 7 MAKASAR"/>
      <sheetName val="UPMS 8 JAYAPURA"/>
      <sheetName val="KP P&amp;N"/>
      <sheetName val="DOK SORONG"/>
      <sheetName val="DOK SUSU"/>
      <sheetName val="KP PERKAPALAN"/>
      <sheetName val="DIT. MPS"/>
      <sheetName val="AMERIKA"/>
      <sheetName val="TOKYO"/>
      <sheetName val="ANAK PERUSAHAAN"/>
      <sheetName val="PT. PAS"/>
      <sheetName val="ELNUSA HRP"/>
      <sheetName val="ELNUSA TBK"/>
      <sheetName val="PATRA JASA"/>
      <sheetName val="TONGKANG"/>
      <sheetName val="DOK DUMAI"/>
      <sheetName val="RSPP"/>
      <sheetName val="PERTA OIL"/>
      <sheetName val="LNG"/>
      <sheetName val="JAKARTA setelah di ajust"/>
      <sheetName val="DENPASAR"/>
      <sheetName val="SALES 04"/>
      <sheetName val="COGS"/>
      <sheetName val="XXXXX"/>
      <sheetName val="XXXX0"/>
      <sheetName val="XXXX1"/>
      <sheetName val="00000"/>
      <sheetName val="XXXX2"/>
      <sheetName val="XXXX3"/>
      <sheetName val="Rugi"/>
      <sheetName val="Kashplo"/>
      <sheetName val="FA 06 (2)"/>
      <sheetName val="FA 06 OKE"/>
      <sheetName val="FA 06"/>
      <sheetName val="ASSETS05"/>
      <sheetName val="asset 2005"/>
      <sheetName val="ngitung akum. toniji"/>
      <sheetName val="sort by vessel &amp; port"/>
      <sheetName val="bunker"/>
      <sheetName val="perhitungan charter rate"/>
      <sheetName val="daftar kapal"/>
      <sheetName val="all"/>
      <sheetName val="januari"/>
      <sheetName val="februari"/>
      <sheetName val="april"/>
      <sheetName val="mei"/>
      <sheetName val="juni"/>
      <sheetName val="juli"/>
      <sheetName val="agust"/>
      <sheetName val="september"/>
      <sheetName val="oktober"/>
      <sheetName val="november"/>
      <sheetName val="desember"/>
      <sheetName val="Compressed"/>
      <sheetName val="Alocation"/>
      <sheetName val="CC BAM"/>
      <sheetName val="GL Account"/>
      <sheetName val="KAMUS"/>
      <sheetName val="USER MANUAL"/>
      <sheetName val="mm"/>
      <sheetName val="NERKON 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TBM"/>
      <sheetName val="Depre-TM"/>
      <sheetName val="AL-BTL KK (2)"/>
      <sheetName val="XXXX"/>
      <sheetName val="BTL  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 "/>
      <sheetName val="JASAGIRO"/>
      <sheetName val="DAF.ISI"/>
      <sheetName val="COVER "/>
      <sheetName val="Ak_pro "/>
      <sheetName val="PJR.PENJ"/>
      <sheetName val="smk_rspj"/>
      <sheetName val="smk_rspb"/>
      <sheetName val="smk_rspc"/>
      <sheetName val="smk_AKPER"/>
      <sheetName val="SMK_RSPbm"/>
      <sheetName val="LS"/>
      <sheetName val="Journal Set - AJE"/>
      <sheetName val="UBS-Realisasi 1999"/>
      <sheetName val="UBS-bayar"/>
      <sheetName val="UBS-bayar (2)"/>
      <sheetName val="Table1"/>
      <sheetName val="LR Satelit"/>
      <sheetName val="PAU Korporat"/>
      <sheetName val="PAU Dropping-Sweeping"/>
      <sheetName val="Sumber Pendanaan"/>
      <sheetName val="Penyusutan"/>
      <sheetName val="Investasi 2008-2013"/>
      <sheetName val="Penyusutan 2009-2013"/>
      <sheetName val="Investasi 2009-2013 (Update)"/>
      <sheetName val="Rinci Pendapatan 2009-2013"/>
      <sheetName val="Ikhtisar LR 2009-2013"/>
      <sheetName val="Neraca 2009-2013"/>
      <sheetName val="Arus Kas 2009-2013"/>
      <sheetName val="Biaya April 05"/>
      <sheetName val="Rinci Pend (01 A)"/>
      <sheetName val="Rinci Pendapatan 2007 PT (01 C)"/>
      <sheetName val="KPI 05-07"/>
      <sheetName val="master-R L Des 09"/>
      <sheetName val="master-R L Peb 2010"/>
      <sheetName val="RINCIAN RL-2 (Master)"/>
      <sheetName val="master-R L RKAP 10 oke"/>
      <sheetName val="Rinci Pendapatan"/>
      <sheetName val="Labarugi Jenis Biaya"/>
      <sheetName val="master-gaji 2010 Oke"/>
      <sheetName val="Analisa Own Use"/>
      <sheetName val="Analisa Pend. Obat &amp; Alkes"/>
      <sheetName val="Neraca 2010"/>
      <sheetName val="Arus Kas (03 A)"/>
      <sheetName val="Target Laba"/>
      <sheetName val="Grafik Trend Laba"/>
      <sheetName val="Trend Laba Rugi"/>
      <sheetName val="Labarugi Pertamina Oke (01 B)"/>
      <sheetName val="L-R Pertamedika (01 B - 1)"/>
      <sheetName val="Kontrak (01 C - 1)"/>
      <sheetName val="Material (01 C - 2)"/>
      <sheetName val="Sundries (01 C - 3)"/>
      <sheetName val="Lainnya (01 C - 4)"/>
      <sheetName val="PAU RSPP Th 2008"/>
      <sheetName val="Investasi 09 "/>
      <sheetName val="Form Investasi 09 (Komisaris)"/>
      <sheetName val="Penilaian KPI Operasional"/>
      <sheetName val="KPI (Rumus)"/>
      <sheetName val="KPI (08)"/>
      <sheetName val="KPI Th 2009"/>
      <sheetName val="KPI 08 (Nop)"/>
      <sheetName val="KPI 2010"/>
      <sheetName val="KPI 10 (Jan)"/>
      <sheetName val="KPI 10 (Peb)"/>
      <sheetName val="KPI RSPC Peb 2010"/>
      <sheetName val="Breakdown KPI RSPC Th 2010"/>
      <sheetName val="KPI RSPC"/>
      <sheetName val="KPI RSPC Th 2010 (2)"/>
      <sheetName val="Grafik BOR Total"/>
      <sheetName val="Grafik BOR Total 1"/>
      <sheetName val="Grafik BOR Super VIP1"/>
      <sheetName val="Grafik BOR VIP"/>
      <sheetName val="Grafik BOR Kelas 1"/>
      <sheetName val="Grafik BOR Kelas 2"/>
      <sheetName val="Grafik BOR Kelas 3"/>
      <sheetName val="Grafik BOR Kamar Bayi"/>
      <sheetName val="Grafik BOR ICU"/>
      <sheetName val="Grafik Kunj HD"/>
      <sheetName val="Grafik HD Eselon Kunj Th 2007"/>
      <sheetName val="Grafik HD Eselon Kunj Th 2008"/>
      <sheetName val="Grafik HD Eselon Kunj Th 2009"/>
      <sheetName val="Grafik HD Eselon Kunj Rata2"/>
      <sheetName val="Grafik HD Eselon Pop Th 2007"/>
      <sheetName val="Grafik HD Eselon Pop Th 2008"/>
      <sheetName val="Grafik HD Eselon Pop Th 2009"/>
      <sheetName val="Grafik HD Eselon Pop Rata2"/>
      <sheetName val="Grafik AvLOS"/>
      <sheetName val="Grafik BTO"/>
      <sheetName val="Grafik TOI"/>
      <sheetName val="Grafik Jml TT 05-07"/>
      <sheetName val="Grafik Komposisi TT 05-07"/>
      <sheetName val="Grafik BOR 05-07"/>
      <sheetName val="Grafik AvLOS 05-07"/>
      <sheetName val="Grafik BTO 05-07"/>
      <sheetName val="Grafik TOI 05-07"/>
      <sheetName val="Grafik Kunj. HD 05-07"/>
      <sheetName val="Grafik Kunj. RJ P3 05-07"/>
      <sheetName val="Grafik Kunj. RI P3 05-07"/>
      <sheetName val="Grafik Komposisi Laba Rugi"/>
      <sheetName val="BOR 2007"/>
      <sheetName val="BOR 07"/>
      <sheetName val="BOR 2008"/>
      <sheetName val="BOR 2009"/>
      <sheetName val="Master Kunj &amp; Biaya"/>
      <sheetName val="Master HD"/>
      <sheetName val="PETUNJUK PENGISIAN"/>
      <sheetName val="JUDUL"/>
      <sheetName val="daf isi"/>
      <sheetName val="lr_KAP"/>
      <sheetName val="arus kas"/>
      <sheetName val="Catatan umum"/>
      <sheetName val="WS Konsol"/>
      <sheetName val="BS_KORP"/>
      <sheetName val="lap keu ratio sistematis"/>
      <sheetName val="Ekuitas"/>
      <sheetName val="Cj"/>
      <sheetName val="Piutang Hutang Istimewa"/>
      <sheetName val="Hutang Usaha Detail"/>
      <sheetName val="Kapitasi"/>
      <sheetName val="TOP_SALES"/>
      <sheetName val="Investasi"/>
      <sheetName val="Ratio Ringkas"/>
      <sheetName val="KPI BTP"/>
      <sheetName val="BExRepositorySheet"/>
      <sheetName val="BS - Monetary"/>
      <sheetName val="BS - Non Monetary - LC"/>
      <sheetName val="BS - Equity - TC"/>
      <sheetName val="BS - Non Monetary - TC"/>
      <sheetName val="P&amp;L - TC"/>
      <sheetName val="P&amp;L - lc"/>
      <sheetName val="Bank Liability"/>
      <sheetName val="Cash in Bank"/>
      <sheetName val="Deposit on Call"/>
      <sheetName val="Interest Expense"/>
      <sheetName val="AR_Billed - 3rd Party"/>
      <sheetName val="Billed - Related Party"/>
      <sheetName val="UnBilled - 3rd Party"/>
      <sheetName val="Unbilled - Related Party"/>
      <sheetName val="AP_Billed - 3rd Party "/>
      <sheetName val="AR_Other - 3rd Party"/>
      <sheetName val="3rd Party - Other"/>
      <sheetName val="Piutang Usaha Pihak III"/>
      <sheetName val="Unbilled"/>
      <sheetName val="Sheet Korporat"/>
      <sheetName val="P.L"/>
      <sheetName val="AJE RJE"/>
      <sheetName val="Summary"/>
      <sheetName val="How to Guide"/>
      <sheetName val="Summary (3)"/>
      <sheetName val="BS "/>
      <sheetName val="BS  (2)"/>
      <sheetName val="BS Equity Item"/>
      <sheetName val="P&amp;L (2)"/>
      <sheetName val="PL-Original"/>
      <sheetName val="BS-Original"/>
      <sheetName val="Compatibility Report"/>
      <sheetName val="PEND RSPC"/>
      <sheetName val="WSPIUTANG"/>
      <sheetName val="rincian"/>
      <sheetName val="WSHUTANG"/>
      <sheetName val="Periode Laporan"/>
      <sheetName val="MASTER ARUSKAS"/>
      <sheetName val="ARUSKASS"/>
      <sheetName val="3al-Balance"/>
      <sheetName val="master-gaji"/>
      <sheetName val="master-neraca"/>
      <sheetName val="master-R L   2"/>
      <sheetName val="master-R L'09"/>
      <sheetName val="Invest"/>
      <sheetName val="BOD"/>
      <sheetName val="EMPLOYEE"/>
      <sheetName val="KPI-RSPC"/>
      <sheetName val="penjelasan _old new"/>
      <sheetName val="SO-PIUTANG'09"/>
      <sheetName val="GAJI'09"/>
      <sheetName val="Labarugi 2010"/>
      <sheetName val="Neraca TH2009"/>
      <sheetName val="Labarugi TH2009"/>
      <sheetName val="AutoOpen Stub Data"/>
      <sheetName val="XXXXXX"/>
      <sheetName val="laroux"/>
      <sheetName val="KEY IN"/>
      <sheetName val="Lamp 5 (1of3)"/>
      <sheetName val="Lamp-3"/>
      <sheetName val="LAMP 8"/>
      <sheetName val="FAI1"/>
      <sheetName val="FAI2"/>
      <sheetName val="FAI2L"/>
      <sheetName val="FAI4"/>
      <sheetName val="FAI5"/>
      <sheetName val="PRICE"/>
      <sheetName val="Sensiv"/>
      <sheetName val="Risk"/>
      <sheetName val="TemplateInformation"/>
      <sheetName val="arun"/>
      <sheetName val="dis_opexp_detail"/>
      <sheetName val="F.01"/>
      <sheetName val="PL MKT"/>
      <sheetName val="PL OPR"/>
      <sheetName val=" PL TOTAL"/>
      <sheetName val="MainMenu"/>
      <sheetName val="Calculation"/>
      <sheetName val="CompData"/>
      <sheetName val="EmpData"/>
      <sheetName val="SalJanJun"/>
      <sheetName val="SalJul"/>
      <sheetName val="SalAug"/>
      <sheetName val="SalSep"/>
      <sheetName val="SalOct"/>
      <sheetName val="SalNov"/>
      <sheetName val="SalDec"/>
      <sheetName val="SSP"/>
      <sheetName val="1721"/>
      <sheetName val="1721-A"/>
      <sheetName val="1721-A1"/>
      <sheetName val="1721-B"/>
      <sheetName val="1721-C"/>
      <sheetName val="Buy"/>
      <sheetName val="Memo"/>
      <sheetName val="BUT-1"/>
      <sheetName val="HEX-A"/>
      <sheetName val="HEX-E"/>
      <sheetName val="I-BUT"/>
      <sheetName val="RD I-BUT"/>
      <sheetName val="Addition"/>
      <sheetName val="Introduction"/>
      <sheetName val="Income Statement"/>
      <sheetName val="Balance Sheet"/>
      <sheetName val="Operating Cycle"/>
      <sheetName val="DuPont Analysis"/>
      <sheetName val="Sources &amp; Uses"/>
      <sheetName val="Altman Z"/>
      <sheetName val="RASIO"/>
      <sheetName val="ISK 01-03"/>
      <sheetName val="ISK 01-03 (2)"/>
      <sheetName val="RATIO NEW (2)"/>
      <sheetName val="dpt 2002 Kntrk Mjn"/>
      <sheetName val="dpt Lap.UnAudited Des'02"/>
      <sheetName val="dpt 2003 Kntrk Mjn"/>
      <sheetName val="dpt 2003 RKAP"/>
      <sheetName val="Altman Z Score"/>
      <sheetName val="Finance Ratio"/>
      <sheetName val="dpt 02 kntrk man."/>
      <sheetName val="dpt 02 un-audited"/>
      <sheetName val="dpt RKAP 2003"/>
      <sheetName val="REVISI 2003 (Novetel)"/>
      <sheetName val="RASIO (2)"/>
      <sheetName val="IS Komparatif"/>
      <sheetName val="LABARUGI"/>
      <sheetName val="SB0103 (3)"/>
      <sheetName val="GAB JUL0102"/>
      <sheetName val="PLTELKOM"/>
      <sheetName val="ALL-FA"/>
      <sheetName val="Instructions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en Ner"/>
      <sheetName val="Ak Inv"/>
      <sheetName val="Kas &amp; Bank"/>
      <sheetName val="Mutasi Aktiva"/>
      <sheetName val="By. Tanaman"/>
      <sheetName val="IS(RINGKAS)"/>
      <sheetName val="DETAIL BS"/>
      <sheetName val="DETAIL IS"/>
      <sheetName val="DETAIL ACTIVITY"/>
      <sheetName val="TBA"/>
      <sheetName val="JOURNAL UMUM"/>
      <sheetName val="GL Okt"/>
      <sheetName val="Kas Kebun"/>
      <sheetName val="BRI"/>
      <sheetName val="Permata"/>
      <sheetName val="Kas Perwakilan"/>
      <sheetName val="Uang Muka HO"/>
      <sheetName val="Voucher Pengeluaran Bank"/>
      <sheetName val="Voucher Penerimaan Bank"/>
      <sheetName val="Voucher Penerimaan Kas"/>
      <sheetName val="Voucher Pengeluaran Kas"/>
      <sheetName val="Jurnal Memorial"/>
      <sheetName val="NER"/>
      <sheetName val="Laru"/>
      <sheetName val="TB_GAB"/>
      <sheetName val="TB_SAP"/>
      <sheetName val="CADSED"/>
      <sheetName val="AGING1"/>
      <sheetName val="PJKINI"/>
      <sheetName val="BUSAHA"/>
      <sheetName val="AnHPP"/>
      <sheetName val="4D"/>
      <sheetName val="4E"/>
      <sheetName val="6B"/>
      <sheetName val="6J"/>
      <sheetName val="10D"/>
      <sheetName val="10I"/>
      <sheetName val="20"/>
      <sheetName val="AJE_SelKurs"/>
      <sheetName val="AJECOSTSAP"/>
      <sheetName val="AJEACTCOST"/>
      <sheetName val="Rek_PAU"/>
      <sheetName val="SelKurs"/>
      <sheetName val="BPlain"/>
      <sheetName val="BBOld"/>
      <sheetName val="BJold"/>
      <sheetName val="U2_2"/>
      <sheetName val="SALE FFI 2003"/>
      <sheetName val="SALE FFI 2003 (2)"/>
      <sheetName val="SALE FFI 2003 (3)"/>
      <sheetName val="WBS 1_MBI Consol"/>
      <sheetName val="For reporting"/>
      <sheetName val="Notes for reporting"/>
      <sheetName val="WPL Fiskal_MBI Consol"/>
      <sheetName val="Deferred Tax"/>
      <sheetName val="WBS 2_MBI Consol"/>
      <sheetName val="WPL_MBI Consol"/>
      <sheetName val="Jurnal consol_Dec 2007"/>
      <sheetName val="OPEX_MBI Consol"/>
      <sheetName val="Detail for report"/>
      <sheetName val="Cash Flow Direct_MBI"/>
      <sheetName val="Cash Flow Direct_report_MBI"/>
      <sheetName val="retirement benefit"/>
      <sheetName val="des_06"/>
      <sheetName val="9E1_3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Invoice"/>
      <sheetName val="Tracker"/>
      <sheetName val="Time Report"/>
      <sheetName val="Analysis"/>
      <sheetName val="Help"/>
      <sheetName val="Codestable"/>
      <sheetName val="Lead"/>
      <sheetName val="Links"/>
      <sheetName val="F2"/>
      <sheetName val="LTR"/>
      <sheetName val="Summary over-under accrued"/>
      <sheetName val="Aging AR FRP"/>
      <sheetName val="Expense clasiffication-FRP"/>
      <sheetName val="Insurance-FRP"/>
      <sheetName val="Accrued-FRP"/>
      <sheetName val="Mngmnt Fee-FRP"/>
      <sheetName val="PM (Dec 31, 2006)"/>
      <sheetName val="PRJE "/>
      <sheetName val="T-Account"/>
      <sheetName val="A3.1"/>
      <sheetName val="A3.2"/>
      <sheetName val="A3.3"/>
      <sheetName val="C Lead"/>
      <sheetName val="C Memo"/>
      <sheetName val="C-1"/>
      <sheetName val="C-4"/>
      <sheetName val="C-5"/>
      <sheetName val="C-5.1"/>
      <sheetName val="C-5.2"/>
      <sheetName val="C Memo (2)"/>
      <sheetName val="E Lead"/>
      <sheetName val="E Memo"/>
      <sheetName val="E-1.1"/>
      <sheetName val="E-2"/>
      <sheetName val="E-2.1 Aging-Summary"/>
      <sheetName val="E-2.2"/>
      <sheetName val="E-2.3"/>
      <sheetName val="GHB-BHH"/>
      <sheetName val="F Lead"/>
      <sheetName val="F-2"/>
      <sheetName val="F-3"/>
      <sheetName val="F-4"/>
      <sheetName val="F-5"/>
      <sheetName val="G Lead"/>
      <sheetName val="G-1.1"/>
      <sheetName val="G-1.2"/>
      <sheetName val="J Lead"/>
      <sheetName val="J-1"/>
      <sheetName val="Menu"/>
      <sheetName val="Cost Analysis"/>
      <sheetName val="Retail"/>
      <sheetName val="Recap Inv"/>
      <sheetName val="Purchase"/>
      <sheetName val="Consumed"/>
      <sheetName val="General"/>
      <sheetName val="Tobacco"/>
      <sheetName val="DATA DARI SAP 4.6"/>
      <sheetName val="pivot all"/>
      <sheetName val="KOREKSI JURNAL BEGINING BALANCE"/>
      <sheetName val="pivot up 5"/>
      <sheetName val="A2100005"/>
      <sheetName val="BA DES 08"/>
      <sheetName val="HR Desember 2009"/>
      <sheetName val="DLL"/>
      <sheetName val="Present"/>
      <sheetName val="Assumption"/>
      <sheetName val="Throughput"/>
      <sheetName val="Revenue Trend (XXX)"/>
      <sheetName val="FA-PELINDO (Koja)"/>
      <sheetName val="FA-HTP (Fiskal) "/>
      <sheetName val="FA-HTP (Fiskal) (2)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Salary"/>
      <sheetName val="Material @ (XXX)"/>
      <sheetName val="Material"/>
      <sheetName val="Royalty"/>
      <sheetName val="Fin Stat"/>
      <sheetName val="Fin Pro 1 (XXX)"/>
      <sheetName val="Loan Schedule"/>
      <sheetName val="Income Tax "/>
      <sheetName val="Fin Pro - HTP"/>
      <sheetName val="Graph (XXX)"/>
      <sheetName val="Rescheduling"/>
      <sheetName val="Revenue Trend"/>
      <sheetName val="FA-PELINDO"/>
      <sheetName val="FA-HTP"/>
      <sheetName val="Ass-Fiscal"/>
      <sheetName val="FA-HTP (Fiskal)"/>
      <sheetName val="Depr - HTP (inl. cap interest)"/>
      <sheetName val="Depr Forex"/>
      <sheetName val="Material @"/>
      <sheetName val="Fin Pro 1"/>
      <sheetName val="Loan"/>
      <sheetName val="8_1 Bill_Collect Monthly"/>
      <sheetName val="REPORT 2"/>
      <sheetName val="REPORT 3"/>
      <sheetName val="OFF"/>
      <sheetName val="2009 Allocation"/>
      <sheetName val="Commitment"/>
      <sheetName val="1973"/>
      <sheetName val="1981"/>
      <sheetName val="Badak IV"/>
      <sheetName val="MCGC"/>
      <sheetName val="Badak III"/>
      <sheetName val="Badak VI"/>
      <sheetName val="Badak V"/>
      <sheetName val="Korea II"/>
      <sheetName val="Vessel Utilization"/>
      <sheetName val="balance 2011"/>
      <sheetName val="73 CCF"/>
      <sheetName val="73 DQT-MG-EQ"/>
      <sheetName val="81 CCF"/>
      <sheetName val="B IV"/>
      <sheetName val="B IV CCF"/>
      <sheetName val="MCGC CCF"/>
      <sheetName val="B VI"/>
      <sheetName val="B VI CCF"/>
      <sheetName val="B V"/>
      <sheetName val="B V CCF"/>
      <sheetName val="K II"/>
      <sheetName val="K II CCF"/>
      <sheetName val="CCF EP DP"/>
      <sheetName val="AAAAA"/>
      <sheetName val="EXIST"/>
      <sheetName val="REP"/>
      <sheetName val="REOP"/>
      <sheetName val="STIM"/>
      <sheetName val="KUPL"/>
      <sheetName val="BOR"/>
      <sheetName val="AOB"/>
      <sheetName val="AOT"/>
      <sheetName val="Chart-1"/>
      <sheetName val="Chart-2"/>
      <sheetName val="eakTG"/>
      <sheetName val="AREA"/>
      <sheetName val="EFFI"/>
      <sheetName val="Well Plan 1"/>
      <sheetName val="actual"/>
      <sheetName val="diagram"/>
      <sheetName val="36&quot;"/>
      <sheetName val="26&quot;"/>
      <sheetName val="17 12&quot;"/>
      <sheetName val="12 14&quot;"/>
      <sheetName val="8 12&quot;"/>
      <sheetName val="compl"/>
      <sheetName val="59"/>
      <sheetName val="58"/>
      <sheetName val="57"/>
      <sheetName val="56"/>
      <sheetName val="55"/>
      <sheetName val="54"/>
      <sheetName val="53"/>
      <sheetName val="52"/>
      <sheetName val="51"/>
      <sheetName val="50"/>
      <sheetName val="49"/>
      <sheetName val="48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 rev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4 rev"/>
      <sheetName val="24"/>
      <sheetName val="23 rev (2)"/>
      <sheetName val="23 rev"/>
      <sheetName val="Contents (full)"/>
      <sheetName val="Contents (model only)"/>
      <sheetName val="Sensitivities"/>
      <sheetName val="Market"/>
      <sheetName val="Postpaid"/>
      <sheetName val="Prepaid"/>
      <sheetName val="Other revenues"/>
      <sheetName val="FinStats"/>
      <sheetName val="FinStats (Quarterly)"/>
      <sheetName val="FinStats (Semiannual)"/>
      <sheetName val="Mkt Comps"/>
      <sheetName val="Trans Comps"/>
      <sheetName val="WACC"/>
      <sheetName val="Val"/>
      <sheetName val="rekap rkap R2 (Rev-14Des05)"/>
      <sheetName val="rekap rkap R2 (Rev-14Des05) (2)"/>
      <sheetName val="REKAP_ABO_F7(14Des2005)"/>
      <sheetName val="REKAP_ABI_TOTAL(Revisi-14Des05)"/>
      <sheetName val="REKAP_ABI_ASET(Rev-14Des05)"/>
      <sheetName val="ABI_KMJ_NR(14Des2005)"/>
      <sheetName val="ABI_LHD_NR(14Des2005)"/>
      <sheetName val="ABI_PST(Revisi-14Des05)"/>
      <sheetName val="rekapABI2006(ktr pusat)"/>
      <sheetName val="ABI-asset2006 (ktr pst)"/>
      <sheetName val="ABI2006(LHD)"/>
      <sheetName val="ABI-JB-2006 (LHD)"/>
      <sheetName val="PROD-LHD"/>
      <sheetName val="ABI_KMJ(Revisi-14Des2005)"/>
      <sheetName val="ABI-JB-2006 (kmj)"/>
      <sheetName val="PROD-KMJ"/>
      <sheetName val="ABI_SBY(Revisi-14Des2005)"/>
      <sheetName val="ABI-JB-2006 (SBY)"/>
      <sheetName val="PROD-SBY"/>
      <sheetName val="well std 06cw lokasi ubl"/>
      <sheetName val="well std 06cw lokasi lmb"/>
      <sheetName val="well std 06"/>
      <sheetName val="ANGG &gt; 25 M"/>
      <sheetName val="lhd-nr-batal"/>
      <sheetName val="lhd r-batal"/>
      <sheetName val="ubl-lmb(pst r)-batal"/>
      <sheetName val="geoth R-batal"/>
      <sheetName val="ABI-Aset (2)-batal"/>
      <sheetName val="ABI-Aset-batal"/>
      <sheetName val="XXXXXXXXXXXXXXX"/>
      <sheetName val="SURIV_PJD_APKIR"/>
      <sheetName val="Profit Center"/>
      <sheetName val="LAP"/>
      <sheetName val="ABI.2004.SAP-bener"/>
      <sheetName val="MA.PER.CC"/>
      <sheetName val="Satuan"/>
      <sheetName val="AUC Class"/>
      <sheetName val="Service Master"/>
      <sheetName val="Primary CE"/>
      <sheetName val="COST CENTER SBS"/>
      <sheetName val="ABI2004"/>
      <sheetName val="level2"/>
      <sheetName val="Form ABI.SAP "/>
      <sheetName val="BTG"/>
      <sheetName val="BTN"/>
      <sheetName val="GNK"/>
      <sheetName val="TLJ"/>
      <sheetName val="SPA"/>
      <sheetName val="EPT"/>
      <sheetName val="EKS"/>
      <sheetName val="Pengembangan"/>
      <sheetName val="PMU"/>
      <sheetName val="TG"/>
      <sheetName val="Jasran"/>
      <sheetName val="Rekap (proyek)"/>
      <sheetName val="Rekap(Usul)"/>
      <sheetName val="Rekap(Real)"/>
      <sheetName val="03 VS 04"/>
      <sheetName val="Banding"/>
      <sheetName val="R-On Going"/>
      <sheetName val="On Going"/>
      <sheetName val="Migas"/>
      <sheetName val="RKAP-5"/>
      <sheetName val="RKAP-7"/>
      <sheetName val="RKAP-8"/>
      <sheetName val="RKAP-9"/>
      <sheetName val="RKAP-10"/>
      <sheetName val="Lifting"/>
      <sheetName val="STRK"/>
      <sheetName val="BAR-BOR"/>
      <sheetName val="BAR-ABO"/>
      <sheetName val="DATA INDUK"/>
      <sheetName val="KONSOLIDASI"/>
      <sheetName val="KURVA"/>
      <sheetName val="FEB06"/>
      <sheetName val="TABULASI - 31.01.2006"/>
      <sheetName val="JANUARI06"/>
      <sheetName val="DESEMBER05"/>
      <sheetName val="JANUARI05"/>
      <sheetName val="GI JANUARI 05"/>
      <sheetName val="AS"/>
      <sheetName val="CAP"/>
      <sheetName val="Summ"/>
      <sheetName val="Rev"/>
      <sheetName val="Costs"/>
      <sheetName val="Vol P1"/>
      <sheetName val="Vol P1+2"/>
      <sheetName val="MatBal(Ph2)"/>
      <sheetName val="DS"/>
      <sheetName val="WorkCap"/>
      <sheetName val="DCF"/>
      <sheetName val="Feedstock"/>
      <sheetName val="Capex&amp;Financing"/>
      <sheetName val="Dep"/>
      <sheetName val="Base Vol"/>
      <sheetName val="Print"/>
      <sheetName val="INT"/>
      <sheetName val="Audited'99"/>
      <sheetName val="Laporan"/>
      <sheetName val="REKAPITULASI REGION SUMATERA"/>
      <sheetName val="PROYEKSI"/>
      <sheetName val="tanpa PHK"/>
      <sheetName val="ALL TANPA PHK"/>
      <sheetName val="cost center (per area)"/>
      <sheetName val="TABULASI all - 31.03.2006"/>
      <sheetName val="SUMATERA"/>
      <sheetName val="proyeksi mppk"/>
      <sheetName val="GAPOK"/>
      <sheetName val="TUNDA"/>
      <sheetName val="BANK TANSFER"/>
      <sheetName val="EXT.BANK TRANSFER"/>
      <sheetName val="Sheet1 (3)"/>
      <sheetName val="usia"/>
      <sheetName val="Panel"/>
      <sheetName val="BasePrice"/>
      <sheetName val="MB"/>
      <sheetName val="Price&amp;Vol"/>
      <sheetName val="Sensitivity"/>
      <sheetName val="Eco-BC"/>
      <sheetName val="Eco-SA"/>
      <sheetName val="Sim"/>
      <sheetName val="Economic-Balikpapan6"/>
      <sheetName val="CO22"/>
      <sheetName val="CO23"/>
      <sheetName val="CO24"/>
      <sheetName val="CO25"/>
      <sheetName val="QTY_2005-10"/>
      <sheetName val="QTY"/>
      <sheetName val="2004"/>
      <sheetName val="2005"/>
      <sheetName val="2010"/>
      <sheetName val="2009"/>
      <sheetName val="2008"/>
      <sheetName val="2007"/>
      <sheetName val="2006"/>
      <sheetName val="Premises(Original)"/>
      <sheetName val="Premises"/>
      <sheetName val="Material Balance"/>
      <sheetName val="P&amp;L(ROI)"/>
      <sheetName val="P&amp;L(ROE)"/>
      <sheetName val="Fund Flow(ROI)"/>
      <sheetName val="Fund Flow(ROE)"/>
      <sheetName val="Cash Flow(ROI)"/>
      <sheetName val="Cash Flow(ROE)"/>
      <sheetName val="Balance Sheet(ROI)"/>
      <sheetName val="Balance Sheet(ROE)"/>
      <sheetName val="Capex Breakdown"/>
      <sheetName val="Loading Rate"/>
      <sheetName val=" Capex&amp;Opex Inputs"/>
      <sheetName val="Detailed OPEX by Devon"/>
      <sheetName val="TABULASI"/>
      <sheetName val="FO4-DTL "/>
      <sheetName val="PVT.FO8.DTL"/>
      <sheetName val="FO.8-DTL "/>
      <sheetName val="PVT.FO.11.DTL"/>
      <sheetName val="FO.11-DTL  "/>
      <sheetName val="PVFO4"/>
      <sheetName val="pvfo8cc"/>
      <sheetName val="pvfo8l"/>
      <sheetName val="PVFO11"/>
      <sheetName val="PVFO11CC"/>
      <sheetName val="PVFO8"/>
      <sheetName val="Sheet5"/>
      <sheetName val="Sheet6"/>
      <sheetName val="PV LINE FO- 11"/>
      <sheetName val="PV CC FO-11"/>
      <sheetName val="Minyak-mitra"/>
      <sheetName val="1.85 fuel gas"/>
      <sheetName val="3.00 fuel gas"/>
      <sheetName val="FPU with 3.00 fuel"/>
      <sheetName val="SPT 2006"/>
      <sheetName val="Rekap &amp; Allowance"/>
      <sheetName val="Rekap JHT &amp; PPh"/>
      <sheetName val="Detail Gaji"/>
      <sheetName val="Detail Gaji (2)"/>
      <sheetName val="Jan"/>
      <sheetName val="Mar"/>
      <sheetName val="Jun"/>
      <sheetName val="Jul"/>
      <sheetName val="Aug"/>
      <sheetName val="Sep"/>
      <sheetName val="Oct"/>
      <sheetName val="Nov"/>
      <sheetName val="Dec"/>
      <sheetName val="Top FA-2004"/>
      <sheetName val="Tanah"/>
      <sheetName val="Bangunan"/>
      <sheetName val="Perlengkapan-Bangunan"/>
      <sheetName val="Perlengkapan-Bengkel"/>
      <sheetName val="Inventaris Kantor"/>
      <sheetName val="Mesin &amp; Peralatan"/>
      <sheetName val="Kendaraan Bermotor"/>
      <sheetName val="Aktiva Dlm - Penyelesaian"/>
      <sheetName val="CONVERED-PROD-PLAN"/>
      <sheetName val="DAILY-PLANNING-2"/>
      <sheetName val="production requirement (NOV)"/>
      <sheetName val="WEEKLY-PRODUCTION-PROGRAMME"/>
      <sheetName val="CM-MODULE-1-3"/>
      <sheetName val="CM-MODULE-4A-4B-7"/>
      <sheetName val="CUTRAG REQUIREMENT"/>
      <sheetName val="DAILY-PLANNING-1"/>
      <sheetName val="MACH-UTL.-SUMMARY"/>
      <sheetName val="MACH-UTL.-SUMMARY-MONTHLY"/>
      <sheetName val="SOP-11-2001"/>
      <sheetName val="DAILY-PROD-PLAN(JUNE)"/>
      <sheetName val="CUT-TOBACCO-RECEIVED &amp; REQ."/>
      <sheetName val="PRIMARY-PLANNING-(1)"/>
      <sheetName val="SOP-9"/>
      <sheetName val="PACKER-CAPACITY"/>
      <sheetName val="FACTORY"/>
      <sheetName val="Q1"/>
      <sheetName val="Q2"/>
      <sheetName val="Q3"/>
      <sheetName val="Q4"/>
      <sheetName val="Q1-02"/>
      <sheetName val="Q2-02"/>
      <sheetName val="RESUME"/>
      <sheetName val="LEAF COST DETAIL"/>
      <sheetName val="WRAPPING_COST"/>
      <sheetName val="WM-BYBRAND-QUARTER"/>
      <sheetName val="Det_Stock"/>
      <sheetName val="Stock"/>
      <sheetName val="Blend F"/>
      <sheetName val="Usage (2)"/>
      <sheetName val="cc b"/>
      <sheetName val="DOM"/>
      <sheetName val="IMP"/>
      <sheetName val="Trends CC"/>
      <sheetName val="cost per mille"/>
      <sheetName val="CC 01M"/>
      <sheetName val="CC 02"/>
      <sheetName val="CC 05"/>
      <sheetName val="CC 06"/>
      <sheetName val="CC 15"/>
      <sheetName val="CC 15A"/>
      <sheetName val="CC 21M"/>
      <sheetName val="CC 30"/>
      <sheetName val="CC 29"/>
      <sheetName val="Casing"/>
      <sheetName val="Usage by Blend"/>
      <sheetName val="Usage"/>
      <sheetName val="000"/>
      <sheetName val="BAT"/>
      <sheetName val="DP"/>
      <sheetName val="projection "/>
      <sheetName val="nppc"/>
      <sheetName val="apc"/>
      <sheetName val="mbrship "/>
      <sheetName val="amoortisation"/>
      <sheetName val="FAS-88-DP"/>
      <sheetName val="FAS-88-TPMK"/>
      <sheetName val="FAS-88-sample"/>
      <sheetName val="Sheet7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F 2007"/>
      <sheetName val="TB-FINAL 2007"/>
      <sheetName val="TB-FINAL 2006"/>
      <sheetName val="Bank_2006"/>
      <sheetName val="Diff_BS"/>
      <sheetName val="Mapped 2006 P&amp;L"/>
      <sheetName val="TB_Final_2006"/>
      <sheetName val="PAJE PRJE"/>
      <sheetName val="CLR"/>
      <sheetName val="Corporate tax 2007"/>
      <sheetName val="Deferred tax 2007"/>
      <sheetName val="3000"/>
      <sheetName val="4100"/>
      <sheetName val="3700"/>
      <sheetName val="3300"/>
      <sheetName val="3400"/>
      <sheetName val="3800a"/>
      <sheetName val="3800b"/>
      <sheetName val="3800c"/>
      <sheetName val="4300a"/>
      <sheetName val="4300b"/>
      <sheetName val="4600"/>
      <sheetName val="5200a"/>
      <sheetName val="5200b"/>
      <sheetName val="5200c"/>
      <sheetName val="5200d"/>
      <sheetName val="4500"/>
      <sheetName val="3200"/>
      <sheetName val="Taxation"/>
      <sheetName val="4200"/>
      <sheetName val="5500"/>
      <sheetName val="5600"/>
      <sheetName val="5800a"/>
      <sheetName val="5800b"/>
      <sheetName val="5900"/>
      <sheetName val="tb-mar"/>
      <sheetName val="Master Data"/>
      <sheetName val="Receiv-liabil"/>
      <sheetName val="Appendix 1 receiv."/>
      <sheetName val="Appendix 2 advan.-paym."/>
      <sheetName val="Appendix 3 liabilities"/>
      <sheetName val="Appendix 4 paym.-receiv."/>
      <sheetName val="Main"/>
      <sheetName val="TB1"/>
      <sheetName val="TB2"/>
      <sheetName val="TB3"/>
      <sheetName val="TB4"/>
      <sheetName val="Mapping"/>
      <sheetName val="TB-Clean"/>
      <sheetName val="Settings"/>
      <sheetName val="Calculations"/>
      <sheetName val="LS_Standard"/>
      <sheetName val="DEPT  LOB FOR EY 2-10-06"/>
      <sheetName val="1771PL"/>
      <sheetName val="BDO"/>
      <sheetName val="Indexing"/>
      <sheetName val="Kurs BI"/>
      <sheetName val="Materiality"/>
      <sheetName val="Analitical"/>
      <sheetName val="WBSA (R)"/>
      <sheetName val="WBS-L (R) "/>
      <sheetName val="WPL (R)"/>
      <sheetName val="D (2)"/>
      <sheetName val="E3"/>
      <sheetName val="A2"/>
      <sheetName val="E4"/>
      <sheetName val="T2"/>
      <sheetName val="T3"/>
      <sheetName val="D.1.1.1"/>
      <sheetName val="D.1.2"/>
      <sheetName val="D.1.2.1"/>
      <sheetName val="Advance"/>
      <sheetName val="Add &amp; disp FA"/>
      <sheetName val="FA Jakarta Fiscal"/>
      <sheetName val="FA Medan Fiscal"/>
      <sheetName val="E5"/>
      <sheetName val="Prepayment"/>
      <sheetName val="AP"/>
      <sheetName val="Deposit frm Cust"/>
      <sheetName val="Provision"/>
      <sheetName val="SKFLN"/>
      <sheetName val="List 23"/>
      <sheetName val="PSL 21 sept 08"/>
      <sheetName val="PSL 23"/>
      <sheetName val="Sales-purchase Test"/>
      <sheetName val="Spareparts"/>
      <sheetName val="DTA"/>
      <sheetName val="potongan"/>
      <sheetName val="Master Item"/>
      <sheetName val="CRA-Detail"/>
      <sheetName val="Control Risk Aspects"/>
      <sheetName val=" Work Program"/>
      <sheetName val="A6100 View"/>
      <sheetName val="FAS 60 Assumptions SM"/>
      <sheetName val="FAS 60 Assumptions TM"/>
      <sheetName val="Lapse LR GOE"/>
      <sheetName val="Lapse LR GOE new"/>
      <sheetName val="Lapse TM"/>
      <sheetName val="Lapse SM"/>
      <sheetName val="2002"/>
      <sheetName val="2003"/>
      <sheetName val="MRC1"/>
      <sheetName val="MRC2"/>
      <sheetName val="MRC3"/>
      <sheetName val="MRC4"/>
      <sheetName val="RMRC"/>
      <sheetName val="MSTR"/>
      <sheetName val="1000000"/>
      <sheetName val="2000000"/>
      <sheetName val="3000000"/>
      <sheetName val="4000000"/>
      <sheetName val="PENJ "/>
      <sheetName val="Capitalize"/>
      <sheetName val="Overhaul"/>
      <sheetName val="CIP"/>
      <sheetName val="Expense"/>
      <sheetName val="CRITERIA1"/>
      <sheetName val="A.4.1"/>
      <sheetName val="I.1"/>
      <sheetName val="A.4.2"/>
      <sheetName val="I.2"/>
      <sheetName val="A.4.3"/>
      <sheetName val="U.1"/>
      <sheetName val="U.2"/>
      <sheetName val="U.3"/>
      <sheetName val="U.4"/>
      <sheetName val="U.5"/>
      <sheetName val="U.6"/>
      <sheetName val="U.7"/>
      <sheetName val="Pa(r)je"/>
      <sheetName val="SAD"/>
      <sheetName val="Trf-SAP-GL"/>
      <sheetName val="Trf-SAP-PCA"/>
      <sheetName val="By Month"/>
      <sheetName val="List-Mei"/>
      <sheetName val="List-Juni"/>
      <sheetName val="115100100-SBI Juni"/>
      <sheetName val="Sept"/>
      <sheetName val="trend"/>
      <sheetName val="J-Blk"/>
      <sheetName val="Loan movement"/>
      <sheetName val="LEASE &amp; LOAN"/>
      <sheetName val="FA BREAKDOWN"/>
      <sheetName val="FA  (2)"/>
      <sheetName val="HEADCOUNT "/>
      <sheetName val="PL(2)"/>
      <sheetName val="hisb-rubber"/>
      <sheetName val="HISB"/>
      <sheetName val="INDEX"/>
      <sheetName val="Calendar (2)"/>
      <sheetName val="calendar"/>
      <sheetName val="Actual vs perf"/>
      <sheetName val="RESERVES"/>
      <sheetName val=" LEASE &amp; LOAN"/>
      <sheetName val="INTERCO INV"/>
      <sheetName val="CAPITAL CHARGE"/>
      <sheetName val="OPLEASE"/>
      <sheetName val="EXPOSURE"/>
      <sheetName val="HEADCOUNT"/>
      <sheetName val="OPS ODJ"/>
      <sheetName val="AR"/>
      <sheetName val="STOCKS"/>
      <sheetName val="Calendar _2_"/>
      <sheetName val="detail FS"/>
      <sheetName val="bal FC"/>
      <sheetName val="list no"/>
      <sheetName val="K&amp;B"/>
      <sheetName val="UM"/>
      <sheetName val="Cad BD"/>
      <sheetName val="PP"/>
      <sheetName val="PHI"/>
      <sheetName val="AP-trade"/>
      <sheetName val="Accrual"/>
      <sheetName val="Other"/>
      <sheetName val="DIA"/>
      <sheetName val="MDN"/>
      <sheetName val="PST"/>
      <sheetName val="SBG"/>
      <sheetName val="PDG"/>
      <sheetName val="PKU"/>
      <sheetName val="PLB"/>
      <sheetName val="LPG"/>
      <sheetName val="ACL"/>
      <sheetName val="TGR"/>
      <sheetName val="BTR"/>
      <sheetName val="BGR"/>
      <sheetName val="BKS"/>
      <sheetName val="PTK"/>
      <sheetName val="Var-Des'04"/>
      <sheetName val="Audit Adj'04"/>
      <sheetName val="Purchase Cutoff"/>
      <sheetName val="DNR_Sep"/>
      <sheetName val="Other_Sep"/>
      <sheetName val="C Cash and Bank "/>
      <sheetName val="Cash and Bank Register"/>
      <sheetName val="Pakanbaru"/>
      <sheetName val="K.1 "/>
      <sheetName val="K-1.2 - FA Disposal"/>
      <sheetName val="K.1.3 addition"/>
      <sheetName val="K.1.4Disposal"/>
      <sheetName val="A-1"/>
      <sheetName val="A-2"/>
      <sheetName val="A-3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TYSP"/>
      <sheetName val="eliminasi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Fin-highlights"/>
      <sheetName val="PM"/>
      <sheetName val="TMP1"/>
      <sheetName val="WORKS"/>
      <sheetName val="PAJE"/>
      <sheetName val="Elim"/>
      <sheetName val="Analytical Review"/>
      <sheetName val="NOT"/>
      <sheetName val="mutasiCF"/>
      <sheetName val="CF suppl."/>
      <sheetName val="Memo cash"/>
      <sheetName val="C2"/>
      <sheetName val="Memo AR"/>
      <sheetName val="E 1"/>
      <sheetName val="E 2"/>
      <sheetName val="Memo F"/>
      <sheetName val="Memo G"/>
      <sheetName val="G 1"/>
      <sheetName val="G 2"/>
      <sheetName val="Memo H"/>
      <sheetName val="H1"/>
      <sheetName val="HH"/>
      <sheetName val="Memo I"/>
      <sheetName val="I 1"/>
      <sheetName val="I 2"/>
      <sheetName val="I 3"/>
      <sheetName val="I 4"/>
      <sheetName val="Memo J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Q Lead"/>
      <sheetName val="QQ"/>
      <sheetName val="T lead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.4"/>
      <sheetName val="Macro5"/>
      <sheetName val="PEMBELIAN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Module1"/>
      <sheetName val="CENTRAL"/>
      <sheetName val="CENTRAL-1"/>
      <sheetName val="NOT-HIT"/>
      <sheetName val="SP-PET"/>
      <sheetName val="induk (2)"/>
      <sheetName val="Induk+Nothit"/>
      <sheetName val=" Penjualan "/>
      <sheetName val="Rekap Ekspor"/>
      <sheetName val="Pelunasan Piutang"/>
      <sheetName val="HPP"/>
      <sheetName val="Bahan Baku Lokal"/>
      <sheetName val="Bahan Baku Impor "/>
      <sheetName val="GAJI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PHP-1"/>
      <sheetName val="PHP-2"/>
      <sheetName val="PPh Ps. 22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PP-05"/>
      <sheetName val="SD"/>
      <sheetName val="aktiva lain"/>
      <sheetName val="MTD-REPORT"/>
      <sheetName val="ALLOWANCE"/>
      <sheetName val="ALLOWANCE-FINAL"/>
      <sheetName val="WBSA"/>
      <sheetName val="WBSL"/>
      <sheetName val="F.1_Cash"/>
      <sheetName val="D.1_Trade Receivables"/>
      <sheetName val="D.2_Other Rec"/>
      <sheetName val="C.1_Inventories"/>
      <sheetName val="Advance &amp; Prepaid Exp"/>
      <sheetName val="Prepaid Taxes"/>
      <sheetName val="A2.1.a_PropertyAndEquipment"/>
      <sheetName val="A2.1.b_Mutation"/>
      <sheetName val="Def Tax Asset"/>
      <sheetName val="G.1_Trade Payables"/>
      <sheetName val="K.1_Taxes Payable"/>
      <sheetName val="H.1_Accrued Expenses"/>
      <sheetName val="J.1_Advance From Customers"/>
      <sheetName val="M.1_Employee Benefits"/>
      <sheetName val="P.1.a_Share Capital"/>
      <sheetName val="P.1.b_Tambahan Mo. Disetor"/>
      <sheetName val="Q.1_Sales"/>
      <sheetName val="R.1_COS"/>
      <sheetName val="S.1_Selling Exp"/>
      <sheetName val="T.1_G&amp;A Exp"/>
      <sheetName val="T2.1_Other Income (Charges)"/>
      <sheetName val="T3.1_Income Tax"/>
      <sheetName val="KK CF"/>
      <sheetName val="FAS 60 Assumptions NON TM"/>
      <sheetName val="Lapse Non TM"/>
      <sheetName val="General Info"/>
      <sheetName val="Control Test Documentation"/>
      <sheetName val="Detailed Control Testing (1)"/>
      <sheetName val="Drop down"/>
      <sheetName val="Detailed Control Testing (2)"/>
      <sheetName val="Worksheet"/>
      <sheetName val="Extra"/>
      <sheetName val="Work"/>
      <sheetName val="fohdepr"/>
      <sheetName val="ShareGaji"/>
      <sheetName val="Extra (2)"/>
      <sheetName val="Asli"/>
      <sheetName val="Tanker"/>
      <sheetName val="Tanker (2)"/>
      <sheetName val="000000"/>
      <sheetName val="dafknas"/>
      <sheetName val="dafknas-2001"/>
      <sheetName val="dafknas-2002"/>
      <sheetName val="dafknas-2002-OKE"/>
      <sheetName val="dafknas-2002-OKE-CETAK"/>
      <sheetName val="dafkasm"/>
      <sheetName val="dafkTING (2)"/>
      <sheetName val="Sew-Tahan"/>
      <sheetName val="REFFERENCE BPS"/>
      <sheetName val="List Cost center"/>
      <sheetName val="Wil2"/>
      <sheetName val="PGK"/>
      <sheetName val="MATERIAL MM 2006"/>
      <sheetName val="tarif"/>
      <sheetName val="Sheet3 (2)"/>
      <sheetName val="call"/>
      <sheetName val="DAFTARCOSTCENTER (2)"/>
      <sheetName val="DAFTARCOSTCENTER"/>
      <sheetName val="Rekapl"/>
      <sheetName val="Laporan C-8"/>
      <sheetName val="Jenis Cargo"/>
      <sheetName val="Port"/>
      <sheetName val="11a"/>
      <sheetName val="11b"/>
      <sheetName val="11c"/>
      <sheetName val="11d"/>
      <sheetName val="11e"/>
      <sheetName val="11f"/>
      <sheetName val="11g"/>
      <sheetName val="11h"/>
      <sheetName val="fin"/>
      <sheetName val="PL NBBM APRIL 2006"/>
      <sheetName val="LOKASI"/>
      <sheetName val="000000000000000"/>
      <sheetName val="ABK2004.AWAL.26.08.03"/>
      <sheetName val="ABK04.AWALR + CO.13.01.04"/>
      <sheetName val="ABK.04.AWALR+CO+TAB.RUPS"/>
      <sheetName val="SGT"/>
      <sheetName val="BNY"/>
      <sheetName val="TM"/>
      <sheetName val="ABK.OIL"/>
      <sheetName val="ABK.GAS"/>
      <sheetName val="OIL.BPP"/>
      <sheetName val="OIL.SGT"/>
      <sheetName val="OIL.BNY"/>
      <sheetName val="OIL.TM"/>
      <sheetName val="GAS.BNY"/>
      <sheetName val="UB"/>
      <sheetName val="CO"/>
      <sheetName val="EPO"/>
      <sheetName val="TA"/>
      <sheetName val="GT"/>
      <sheetName val="LAIN2"/>
      <sheetName val="ONGOING"/>
      <sheetName val="REKAP.ONGO"/>
      <sheetName val="RKPL21.1"/>
      <sheetName val="COP"/>
      <sheetName val="Exum"/>
      <sheetName val="RK"/>
      <sheetName val="BARCHT2002"/>
      <sheetName val="Prod."/>
      <sheetName val="GRP"/>
      <sheetName val="Gas"/>
      <sheetName val="Just.Prod"/>
      <sheetName val="REAL.PROY01"/>
      <sheetName val="Chart1"/>
      <sheetName val="ABO.F7&amp;F8"/>
      <sheetName val="Usul 2003"/>
      <sheetName val="BATAS"/>
      <sheetName val="Just.ABI"/>
      <sheetName val="Rev.ABI201"/>
      <sheetName val="Kendala"/>
      <sheetName val="Kur.Dana"/>
      <sheetName val="Kinerja"/>
      <sheetName val="Kin.Oil"/>
      <sheetName val="Kin.Gas"/>
      <sheetName val="Kin.Migas"/>
      <sheetName val="Comdev"/>
      <sheetName val="Fee"/>
      <sheetName val="ikh-1 (2)"/>
      <sheetName val="ikh-2 (2)"/>
      <sheetName val="ikh-3 (2)"/>
      <sheetName val="ikh-4 (2)"/>
      <sheetName val="Cover (2)"/>
      <sheetName val="2006 (01 Apr)"/>
      <sheetName val="Minyak"/>
      <sheetName val="Minyak (3th)"/>
      <sheetName val="Real Myk"/>
      <sheetName val="GRF-Oil"/>
      <sheetName val="Struktur Gas"/>
      <sheetName val="Gas (3th)"/>
      <sheetName val="ABI 06"/>
      <sheetName val="ABI 06 (1)"/>
      <sheetName val="Abi (3th)"/>
      <sheetName val="Singkat ABI"/>
      <sheetName val="Jus ABI"/>
      <sheetName val="Exsum"/>
      <sheetName val="F7-area"/>
      <sheetName val="F7 (3th)"/>
      <sheetName val="Just Abo"/>
      <sheetName val="F8.5-OWN"/>
      <sheetName val="Rugila"/>
      <sheetName val="ikh-1"/>
      <sheetName val="ikh-2"/>
      <sheetName val="ikh-3"/>
      <sheetName val="ikh-4"/>
      <sheetName val="BANG"/>
      <sheetName val="Jas"/>
      <sheetName val="ABI-06"/>
      <sheetName val="REKAP(A)"/>
      <sheetName val="REKAP(A) (2)"/>
      <sheetName val="Rekap (B)"/>
      <sheetName val="Rekap(G)"/>
      <sheetName val="Rekap (F)"/>
      <sheetName val="Rekap(H)"/>
      <sheetName val="Rekap(H) (2)"/>
      <sheetName val="RK SMR"/>
      <sheetName val="REKAP ABO"/>
      <sheetName val="DETAIL ABO "/>
      <sheetName val="REKAP ABI"/>
      <sheetName val="LAP.ABI PEB.07"/>
      <sheetName val="OPT-LIFT"/>
      <sheetName val="Chart5"/>
      <sheetName val="GAOT"/>
      <sheetName val="GAOB"/>
      <sheetName val="GDOH"/>
      <sheetName val="Graf DOH"/>
      <sheetName val="Feecalc"/>
      <sheetName val="Tax&amp;Dep"/>
      <sheetName val="WTI v LPG Price"/>
      <sheetName val="Pricing"/>
      <sheetName val="Eco-Conso"/>
      <sheetName val="GLAC"/>
      <sheetName val="JGPC"/>
      <sheetName val="JMGPC"/>
      <sheetName val="JamGPC"/>
      <sheetName val="YGPC"/>
      <sheetName val="EconomicsVer2.1"/>
      <sheetName val="OWN PTM"/>
      <sheetName val="MITRA"/>
      <sheetName val="DOH"/>
      <sheetName val="DOH+MITRA"/>
      <sheetName val="DOH+MOTRA+JUAL"/>
      <sheetName val="Chart4"/>
      <sheetName val="Chart4 (2)"/>
      <sheetName val="30A"/>
      <sheetName val="27A"/>
      <sheetName val="28A"/>
      <sheetName val="29A"/>
      <sheetName val="BLANK"/>
      <sheetName val="BLANK2"/>
      <sheetName val="BLANK3"/>
      <sheetName val="BLANK4"/>
      <sheetName val="IKHTISAR"/>
      <sheetName val="ABO(03-03-2004)"/>
      <sheetName val="FORM_02"/>
      <sheetName val="FORM_04"/>
      <sheetName val="LAMP_FORM_04"/>
      <sheetName val="FORM 6"/>
      <sheetName val="FORM_08"/>
      <sheetName val="GRAF_PEK (2)"/>
      <sheetName val="GRAF_PEK"/>
      <sheetName val="GRAF_A2B"/>
      <sheetName val="GRAF_ANGG SISA"/>
      <sheetName val="GRAF_ANG"/>
      <sheetName val="GRAF_AFKIR"/>
      <sheetName val="ABI_ABO-rev"/>
      <sheetName val="sas-tar 4-8"/>
      <sheetName val="seismik NV-DOH"/>
      <sheetName val="bor eks-upside"/>
      <sheetName val="cad"/>
      <sheetName val="bor DOH"/>
      <sheetName val="minyak hulu"/>
      <sheetName val="gas hulu"/>
      <sheetName val="prog bang us"/>
      <sheetName val="7D395J"/>
      <sheetName val="BARCHAT"/>
      <sheetName val="R-1"/>
      <sheetName val="R-1.1"/>
      <sheetName val="R-1.2"/>
      <sheetName val="R-1 Own"/>
      <sheetName val="R-1.1 Own"/>
      <sheetName val="R-1.2 Own"/>
      <sheetName val="R-1 Mitra"/>
      <sheetName val="R-1.1 Mitra"/>
      <sheetName val="R-1.2 Mitra"/>
      <sheetName val="R-2"/>
      <sheetName val="R-2A"/>
      <sheetName val="EXECUTIVE SMRY"/>
      <sheetName val="R-3"/>
      <sheetName val="R-3 OWN"/>
      <sheetName val="R-3 MITRA"/>
      <sheetName val="R-4"/>
      <sheetName val="R-4.1"/>
      <sheetName val="R-4.2"/>
      <sheetName val="R-4ATT"/>
      <sheetName val="PvtFR4811"/>
      <sheetName val="R-8"/>
      <sheetName val="R-8ATT"/>
      <sheetName val="R-11"/>
      <sheetName val="R-11ATT"/>
      <sheetName val="R-14.0"/>
      <sheetName val="HRM 3"/>
      <sheetName val="R-14.0 OWN"/>
      <sheetName val="R-14.0 MITRA"/>
      <sheetName val="R-14.1"/>
      <sheetName val="R-14.2"/>
      <sheetName val="R-15"/>
      <sheetName val="R-16.1"/>
      <sheetName val="R-16.2"/>
      <sheetName val="R-16.1 Own"/>
      <sheetName val="R-16.1 Mitra"/>
      <sheetName val="R-16.2 Own"/>
      <sheetName val="R-16.2 Mitra"/>
      <sheetName val="R-16.1ATT-1"/>
      <sheetName val="R-16.1ATT-2"/>
      <sheetName val="R-16.1ATT-3"/>
      <sheetName val="R-16.2ATT-1"/>
      <sheetName val="R-17"/>
      <sheetName val="Check List OPEX"/>
      <sheetName val="MAPP CCDA"/>
      <sheetName val="MAP GL"/>
      <sheetName val="MAPCCALL"/>
      <sheetName val="QUERY FQR"/>
      <sheetName val="NON CAPITAL"/>
      <sheetName val="MAP LOK INTANG"/>
      <sheetName val="SMR BOR"/>
      <sheetName val="DIRECT AREA"/>
      <sheetName val="REGKP8COMMARPR"/>
      <sheetName val="SUKOWATI"/>
      <sheetName val="MITRA TACJOB"/>
      <sheetName val="out"/>
      <sheetName val="KPEP11"/>
      <sheetName val="MAPP ABI"/>
      <sheetName val="REVENUE "/>
      <sheetName val="KK AREA"/>
      <sheetName val="LIFITNG"/>
      <sheetName val="EKSPOR"/>
      <sheetName val="SOLVENT"/>
      <sheetName val="GAS KONSUMEN"/>
      <sheetName val="GAS KILANG"/>
      <sheetName val="LKS VS FQR"/>
      <sheetName val="COST STRCTR"/>
      <sheetName val="Cargo"/>
      <sheetName val="Expenses"/>
      <sheetName val="Own-Ships"/>
      <sheetName val="Salaries"/>
      <sheetName val="Depreciation"/>
      <sheetName val="WSC8SAP"/>
      <sheetName val="CC List"/>
      <sheetName val="Cost Element"/>
      <sheetName val="Manpower"/>
      <sheetName val="Ref-Fuel"/>
      <sheetName val="Peg"/>
      <sheetName val="PL 2003"/>
      <sheetName val="MM "/>
      <sheetName val="MatBal"/>
      <sheetName val="Harga"/>
      <sheetName val="A"/>
      <sheetName val="dt-pdn"/>
      <sheetName val="dt-pkk"/>
      <sheetName val="dt-kp"/>
      <sheetName val="RKPL"/>
      <sheetName val="PL-Kons"/>
      <sheetName val="Pd1"/>
      <sheetName val="BBM-dn"/>
      <sheetName val="Jual-NBBM"/>
      <sheetName val="Others"/>
      <sheetName val="F8-Pkp"/>
      <sheetName val="Biaya-P"/>
      <sheetName val="Biaya-PN"/>
      <sheetName val="Biaya-Pkp"/>
      <sheetName val="Bunga"/>
      <sheetName val="Susut"/>
      <sheetName val="Hapus"/>
      <sheetName val="P-Minyak"/>
      <sheetName val="Beli"/>
      <sheetName val="am43"/>
      <sheetName val="Imporcrude"/>
      <sheetName val="ImportProd"/>
      <sheetName val="lm-gas1"/>
      <sheetName val="bk1-p7"/>
      <sheetName val="Pers"/>
      <sheetName val="Gas1"/>
      <sheetName val="lm-18.3"/>
      <sheetName val="Ex1"/>
      <sheetName val="Inv-38"/>
      <sheetName val="Inv-39"/>
      <sheetName val="Inv-40"/>
      <sheetName val="Inv-41"/>
      <sheetName val="am42"/>
      <sheetName val="am44"/>
      <sheetName val="am45"/>
      <sheetName val="am46"/>
      <sheetName val="am47"/>
      <sheetName val="am48"/>
      <sheetName val="bk3-6"/>
      <sheetName val="bk3-7"/>
      <sheetName val="bk3-8"/>
      <sheetName val="bk3-9"/>
      <sheetName val="Distribusi1"/>
      <sheetName val="Ang-laut1"/>
      <sheetName val="PL1"/>
      <sheetName val="alt-2"/>
      <sheetName val="alt-3"/>
      <sheetName val="DATA2"/>
      <sheetName val="kode cargo"/>
      <sheetName val="STD_LT"/>
      <sheetName val="data1"/>
      <sheetName val="process"/>
      <sheetName val="PRESENTASI"/>
      <sheetName val="CHART"/>
      <sheetName val="LOSSES"/>
      <sheetName val="trend_chart"/>
      <sheetName val="FORMB2"/>
      <sheetName val="OnshoreFab(B3)"/>
      <sheetName val="Fabr det"/>
      <sheetName val="post-mod(B4)(1)"/>
      <sheetName val="Post mdl"/>
      <sheetName val="post-mod(2)"/>
      <sheetName val="Mod inst(B5)"/>
      <sheetName val="ModInst.det"/>
      <sheetName val="Insur. det"/>
      <sheetName val="Proc-det"/>
      <sheetName val="PMT"/>
      <sheetName val="Pl&amp;Eqp"/>
      <sheetName val="Qualif."/>
      <sheetName val="ER-Batam20N0v~1Dec"/>
      <sheetName val="ER-Batam4Dec~15Dec"/>
      <sheetName val="ER-Batam17Jan~26Jan"/>
      <sheetName val="ER-Batam31Jan~9Feb"/>
      <sheetName val="ER-Batam19Feb~23Feb"/>
      <sheetName val="Procedures"/>
      <sheetName val="Revenue Testing"/>
      <sheetName val="Menu Master"/>
      <sheetName val="Targeted Testing Master"/>
      <sheetName val="Targeted Testing-Trade"/>
      <sheetName val="Non-Statistical Sampling Master"/>
      <sheetName val="Non-Statistical Sampling-Trade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Targeted Testing-Servis"/>
      <sheetName val="Non-Statistical Sampling-Servis"/>
      <sheetName val="Testing Detail"/>
      <sheetName val="Sales Listing"/>
      <sheetName val="Cities Area and Population"/>
      <sheetName val="Link Budget"/>
      <sheetName val="Java Roads"/>
      <sheetName val="3G Jakarta"/>
      <sheetName val="InBuilding List"/>
      <sheetName val="TP_DATABASE"/>
      <sheetName val="ML_PRICELIST 2004"/>
      <sheetName val="MISSING"/>
      <sheetName val="COMPLETE (2)"/>
      <sheetName val="Balance end 2002"/>
      <sheetName val="Balance 30-06-03"/>
      <sheetName val="Ecr"/>
      <sheetName val="Selisih"/>
      <sheetName val="Grafik mesin"/>
      <sheetName val="Dapur"/>
      <sheetName val="Tiris"/>
      <sheetName val="Molen"/>
      <sheetName val="Packing"/>
      <sheetName val="mixer kanji"/>
      <sheetName val="Oven"/>
      <sheetName val="Juice bawang"/>
      <sheetName val="Bucket"/>
      <sheetName val="Roasting"/>
      <sheetName val="Mesin Ayak"/>
      <sheetName val="Lainnya"/>
      <sheetName val="Colloid mill"/>
      <sheetName val="Gotrok"/>
      <sheetName val="Grafik"/>
      <sheetName val="daftar"/>
      <sheetName val="Pack"/>
      <sheetName val="Roaster"/>
      <sheetName val="F.Drying"/>
      <sheetName val="hitung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Exchange Rate"/>
      <sheetName val="Compta X - 2"/>
      <sheetName val="apr"/>
      <sheetName val="may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1"/>
      <sheetName val="C2.1"/>
      <sheetName val="C2.2"/>
      <sheetName val="C2.3"/>
      <sheetName val="C3"/>
      <sheetName val="C4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srg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JUALLAN"/>
      <sheetName val="MAS"/>
      <sheetName val="BALI"/>
      <sheetName val="JBR"/>
      <sheetName val="KDR"/>
      <sheetName val="MDR"/>
      <sheetName val="MLG"/>
      <sheetName val="PRB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TCM"/>
      <sheetName val="Ranges"/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Tabel-LHP"/>
      <sheetName val="Type of deal --&gt;"/>
      <sheetName val="1.1 Deal characteristics"/>
      <sheetName val="High level costing --&gt;"/>
      <sheetName val="2.1 Day 1 top down"/>
      <sheetName val="2.2 Staff scen &amp; central costs"/>
      <sheetName val="2.3 To Be 2 top down"/>
      <sheetName val="Scenarios and cost ratios --&gt;"/>
      <sheetName val="3.1 Costs and key ratios"/>
      <sheetName val="3.2 Contr, lic and assets scen"/>
      <sheetName val="Bottom-up calculations --&gt;"/>
      <sheetName val="4.1 Applications"/>
      <sheetName val="4.2 MSDP"/>
      <sheetName val="4.3 Workplace and infra"/>
      <sheetName val="4.4 WAN"/>
      <sheetName val="4.5 Voice"/>
      <sheetName val="4.6 Cost summary"/>
      <sheetName val="Support sheet"/>
      <sheetName val="Calculations 1"/>
      <sheetName val="CODESS"/>
      <sheetName val="Term"/>
      <sheetName val="TPR-Management Summary"/>
      <sheetName val="TPR-Consolidated"/>
      <sheetName val="Contractual Terms"/>
      <sheetName val="TOTAL SUMMARY"/>
      <sheetName val="Ref. Mail"/>
      <sheetName val="SumRAN"/>
      <sheetName val="VerdiRAN"/>
      <sheetName val="Sum Minilink"/>
      <sheetName val="SoW Core"/>
      <sheetName val="Summary RNC-RXI-OSS"/>
      <sheetName val="Node B-RAN"/>
      <sheetName val="RXI"/>
      <sheetName val="LCM RAN"/>
      <sheetName val="TRANSMISSIONS"/>
      <sheetName val="LCM TRM"/>
      <sheetName val="CORE (2)"/>
      <sheetName val="DCN"/>
      <sheetName val="RNC"/>
      <sheetName val="Project Management"/>
      <sheetName val="Delivery &amp; WH RAN"/>
      <sheetName val="Input Data RAN"/>
      <sheetName val="Total Cost TRM"/>
      <sheetName val="Input Data TRM"/>
      <sheetName val="Total Cost Core"/>
      <sheetName val="Input Data Core"/>
      <sheetName val="Summary RAN &amp;TC"/>
      <sheetName val="Scope_"/>
      <sheetName val="3G Expansion 2007"/>
      <sheetName val="NPI_Improve"/>
      <sheetName val=" NPO_CNPO_TNPO MO 2007"/>
      <sheetName val="Summary TND"/>
      <sheetName val="Cost+Price ATND&amp;TND RO 2007"/>
      <sheetName val="Summary CND"/>
      <sheetName val="CND Exp2007"/>
      <sheetName val="CNPI Exp2007"/>
      <sheetName val="Summary SITAC &amp; CME rev.D 18s"/>
      <sheetName val="Manhour SITAC &amp; CME"/>
      <sheetName val="Summary SS &amp; SPMS"/>
      <sheetName val="3GSystem support"/>
      <sheetName val="SPMS"/>
      <sheetName val="Emer-site"/>
      <sheetName val="MSC"/>
      <sheetName val="MgW"/>
      <sheetName val="RNC (2)"/>
      <sheetName val="RXI (2)"/>
      <sheetName val="Node-B"/>
      <sheetName val="Trans"/>
      <sheetName val="ML-Mgr"/>
      <sheetName val="SGSNGGSN"/>
      <sheetName val="DCN (2)"/>
      <sheetName val="OSS"/>
      <sheetName val="Summary Training"/>
      <sheetName val="RAN"/>
      <sheetName val="Minilink Training"/>
      <sheetName val="CORE"/>
      <sheetName val="Summary1"/>
      <sheetName val="Scope_1"/>
      <sheetName val="3G Expansion 20071"/>
      <sheetName val="NPI_Improve1"/>
      <sheetName val=" NPO_CNPO_TNPO MO 20071"/>
      <sheetName val="Information"/>
      <sheetName val="Assumptions"/>
      <sheetName val="I_Gen&amp;Fin"/>
      <sheetName val="Assumptions List"/>
      <sheetName val="Base"/>
      <sheetName val="Outsource_Costs"/>
      <sheetName val="Remaining_org"/>
      <sheetName val="T&amp;T"/>
      <sheetName val="I_RC_Capex"/>
      <sheetName val="I_RC_Rev"/>
      <sheetName val="I_OC_FTE"/>
      <sheetName val="I_OC_OpexSummary"/>
      <sheetName val="I_OC_remaining_FTEs"/>
      <sheetName val="I_OC_Ericsson_FTEs"/>
      <sheetName val="I_OC_Ericsson_FLPC"/>
      <sheetName val="Operator_Business_Case"/>
      <sheetName val="I_OC_Capex"/>
      <sheetName val="I_OC_Rev"/>
      <sheetName val="I_OC_transition_costs"/>
      <sheetName val="I_Price_Drivers"/>
      <sheetName val="I_Pricing"/>
      <sheetName val="I&amp;O_Profitability_&amp;_Cashflow"/>
      <sheetName val="Price_simulation"/>
      <sheetName val="C_Sales_Prices"/>
      <sheetName val="O_Opex_RC_vs_OC"/>
      <sheetName val="O_RC_Financial_Statements"/>
      <sheetName val="O_OC_Financial_Statements"/>
      <sheetName val="I&amp;O_Valuation"/>
      <sheetName val="C_RC_Financials"/>
      <sheetName val="C_OC_Financials"/>
      <sheetName val="C_Valuation"/>
      <sheetName val="10000"/>
      <sheetName val="PAJE '04"/>
      <sheetName val="PRJE '04"/>
      <sheetName val="CAJE-04"/>
      <sheetName val="PYJE '04"/>
      <sheetName val="WP-PBM-04"/>
      <sheetName val="WBS2005"/>
      <sheetName val="Rincian BS"/>
      <sheetName val="CC "/>
      <sheetName val="K Movement"/>
      <sheetName val="M-4"/>
      <sheetName val="N-2"/>
      <sheetName val="NN "/>
      <sheetName val="O-1_PPh 21"/>
      <sheetName val="O-1.1 Rekap gaji"/>
      <sheetName val="O-2_PPh 23"/>
      <sheetName val="O-3_PPh 25"/>
      <sheetName val="O-5_PPN"/>
      <sheetName val="Q-3"/>
      <sheetName val="Q-3.1"/>
      <sheetName val="R-1 Perhitungan def. tax"/>
      <sheetName val="Kep-150"/>
      <sheetName val="Area and population data"/>
      <sheetName val="Phases"/>
      <sheetName val="HSDPA"/>
      <sheetName val="Traffic"/>
      <sheetName val="DLCodes"/>
      <sheetName val="CE"/>
      <sheetName val="Coverage"/>
      <sheetName val="Site"/>
      <sheetName val="Propagation"/>
      <sheetName val="M Tool"/>
      <sheetName val="Mpole"/>
      <sheetName val="RN Globals"/>
      <sheetName val="CommonDataTemplate"/>
      <sheetName val="Advanced"/>
      <sheetName val="Link Budgets"/>
      <sheetName val="Tables"/>
      <sheetName val="MonteCarlo"/>
      <sheetName val="Balance"/>
      <sheetName val="RN Results"/>
      <sheetName val="Results"/>
      <sheetName val="Warnings"/>
      <sheetName val="Balancing Analysis"/>
      <sheetName val="Phase Template"/>
      <sheetName val="Defaults"/>
      <sheetName val="DL Noise Integral"/>
      <sheetName val="LNF"/>
      <sheetName val="LNF_DL"/>
      <sheetName val="LNF_DL_HHO"/>
      <sheetName val="Tools"/>
      <sheetName val="CE Tool"/>
      <sheetName val="DL CCH Power Tool"/>
      <sheetName val="Customize"/>
      <sheetName val="Rev. History"/>
      <sheetName val="Cost Contribution"/>
      <sheetName val="Celcom AS IS Capex"/>
      <sheetName val="Celcom AS IS OPEX"/>
      <sheetName val="Celcom TO BE OPEX"/>
      <sheetName val="HR OPEX Malaysia"/>
      <sheetName val="Off-Shoring OPEX India"/>
      <sheetName val="Sub-contracting"/>
      <sheetName val="MSDP Capex"/>
      <sheetName val="MSDP Opex"/>
      <sheetName val="Drive testing"/>
      <sheetName val="MO Growth 100"/>
      <sheetName val="NRO growth 100"/>
      <sheetName val="NOC India Offshoring"/>
      <sheetName val="Transition Cost Estimation "/>
      <sheetName val="Transformation Cost "/>
      <sheetName val="ISIT  Cost summary"/>
      <sheetName val="Site Maintenance"/>
      <sheetName val="Annual Business Case"/>
      <sheetName val="40 Memo"/>
      <sheetName val="40 Lead"/>
      <sheetName val="40.1Freight Expense"/>
      <sheetName val="Biaya Air (2)"/>
      <sheetName val="40.2Biaya Listrik"/>
      <sheetName val="40.3 ARP"/>
      <sheetName val="Advance "/>
      <sheetName val="UMS LT-1"/>
      <sheetName val="UMS LT-2"/>
      <sheetName val="UMS LT-3"/>
      <sheetName val="AKUM-TB (2)"/>
      <sheetName val="AKUM-TB"/>
      <sheetName val="BTL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WS Konsolidasi"/>
      <sheetName val="TPS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Perikatan"/>
      <sheetName val="HutangBank"/>
      <sheetName val="Hut Obligasi"/>
      <sheetName val="Hut Usaha"/>
      <sheetName val="Pajak"/>
      <sheetName val="BMHD"/>
      <sheetName val="HSGU"/>
      <sheetName val="Pinj Jk Panjang"/>
      <sheetName val="Modal Saham"/>
      <sheetName val="Beban Usaha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Current"/>
      <sheetName val="NOV03"/>
      <sheetName val="OCT03"/>
      <sheetName val="SEP03"/>
      <sheetName val="AUG03"/>
      <sheetName val="MAR03"/>
      <sheetName val="DEC02"/>
      <sheetName val="NOV02"/>
      <sheetName val="OCT02"/>
      <sheetName val="2701 Lead "/>
      <sheetName val="2701.1 Lead"/>
      <sheetName val="2701.2 Lead"/>
      <sheetName val="2701.3 Lead"/>
      <sheetName val="2701.4 Lead"/>
      <sheetName val="2701.5 Lead"/>
      <sheetName val="2701.6 Lead"/>
      <sheetName val="2701.7 Lead"/>
      <sheetName val="2701.8 Lead"/>
      <sheetName val="Work Step 2700 "/>
      <sheetName val="2701-Lead "/>
      <sheetName val="Summary Asuransi (Index)"/>
      <sheetName val="2701.1 Bintaro"/>
      <sheetName val="2701.1.1 PBC"/>
      <sheetName val="2701.1.2"/>
      <sheetName val="2701.2 Graha Raya"/>
      <sheetName val="2701.3 BTC"/>
      <sheetName val="2701.3.1 PBC"/>
      <sheetName val="2701.3.2"/>
      <sheetName val="2701.3.3"/>
      <sheetName val="2701.4 Pasar Senen V"/>
      <sheetName val="2701.4.1 PBC"/>
      <sheetName val="2701.4.2 PBC"/>
      <sheetName val="2701.4.3"/>
      <sheetName val="2701.4.4"/>
      <sheetName val="2701.5 Pasar Senen Jaya"/>
      <sheetName val="2700.5.1 PBC"/>
      <sheetName val="2701.5.2 "/>
      <sheetName val="2701.5.3"/>
      <sheetName val="2701.6 Slipi Jaya"/>
      <sheetName val="2701.6.1 PBC"/>
      <sheetName val="2701.6.2 PBC"/>
      <sheetName val="2701.6.3 "/>
      <sheetName val="2701.1.6.4"/>
      <sheetName val="2701.7 PBJ"/>
      <sheetName val="2701.7.1 PBC"/>
      <sheetName val="2701.7.2 "/>
      <sheetName val="2702.7.3 TOD "/>
      <sheetName val="2701.8 PKB"/>
      <sheetName val="2701.8.1"/>
      <sheetName val="Input Jurnal"/>
      <sheetName val="Voucher - ISO"/>
      <sheetName val="Input Jurnal (2)"/>
      <sheetName val="worksheet Actual"/>
      <sheetName val="worksheet Budget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C.NO.1"/>
      <sheetName val="C.NO.2"/>
      <sheetName val="C.NO.8"/>
      <sheetName val="00-PHU"/>
      <sheetName val="KAS"/>
      <sheetName val="LPKB"/>
      <sheetName val="00-DSAK"/>
      <sheetName val="DN1"/>
      <sheetName val="CN1"/>
      <sheetName val="Standart"/>
      <sheetName val="Oktober2000"/>
      <sheetName val="Table Standart Broiler"/>
      <sheetName val="StandartBroiler"/>
      <sheetName val="Desember 2000"/>
      <sheetName val="November2000"/>
      <sheetName val="Total Compensate"/>
      <sheetName val="Sum"/>
      <sheetName val="KopontrenJenesSept2001"/>
      <sheetName val="KopontrenJenesOct2001"/>
      <sheetName val="KopontrenJenesNov2001"/>
      <sheetName val="KopontrenJenesDes2001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DEPK2003"/>
      <sheetName val="REKONSILIASI"/>
      <sheetName val="Sale FA"/>
      <sheetName val="Depr 2003 (rev)"/>
      <sheetName val="1151000088"/>
      <sheetName val="1151000089"/>
      <sheetName val="1152000088"/>
      <sheetName val="1152000089"/>
      <sheetName val="LTLGroup"/>
      <sheetName val="ANLKL"/>
      <sheetName val="Cover WS"/>
      <sheetName val="Isi WS"/>
      <sheetName val="Skat"/>
      <sheetName val="LR"/>
      <sheetName val="Ekuit"/>
      <sheetName val="Catatan WS"/>
      <sheetName val="Lampiran Khusus WS"/>
      <sheetName val="NRC Potret"/>
      <sheetName val="AJE-2007"/>
      <sheetName val="WS 2K3"/>
      <sheetName val="AJE 2"/>
      <sheetName val="P_Tannguh"/>
      <sheetName val="Catatan (2)"/>
      <sheetName val="4 ROA"/>
      <sheetName val="6 BOPO"/>
      <sheetName val="3CAR"/>
      <sheetName val="T.O.C."/>
      <sheetName val="SEKAT"/>
      <sheetName val="Cover AJE"/>
      <sheetName val="Cover Utama"/>
      <sheetName val="DISCUS"/>
      <sheetName val="Opinion Director"/>
      <sheetName val="skat kons."/>
      <sheetName val="Isi kons"/>
      <sheetName val="rugi laba"/>
      <sheetName val="disclose"/>
      <sheetName val="w.s konsol 2007"/>
      <sheetName val="hub. istimewa"/>
      <sheetName val="AJE ELIMINASI"/>
      <sheetName val="selisih nilai buku"/>
      <sheetName val="aruskas- konsol"/>
      <sheetName val="piutang pihak ketiga"/>
      <sheetName val="aset tetap 06"/>
      <sheetName val="aset tetap 07"/>
      <sheetName val="pajak-tangguhan"/>
      <sheetName val="lampiran 1"/>
      <sheetName val="lampiran 2"/>
      <sheetName val="lampiran 3"/>
      <sheetName val="rincian beban langsung"/>
      <sheetName val="beban lansung"/>
      <sheetName val="rincian pendapatan usaha"/>
      <sheetName val="aset lain-lain"/>
      <sheetName val="kas&amp; setara kas"/>
      <sheetName val="laba ditahan final05-06"/>
      <sheetName val="transaksi valuta thn 06"/>
      <sheetName val="prpajakan"/>
      <sheetName val="rekap bahas"/>
      <sheetName val="report1"/>
      <sheetName val="report1 (2)"/>
      <sheetName val="reg"/>
      <sheetName val="lunas"/>
      <sheetName val="report2"/>
      <sheetName val="MTS AR"/>
      <sheetName val="MTS PIUT KARYW"/>
      <sheetName val="MTS ANGS. KEND"/>
      <sheetName val="MTS HUT AFLS"/>
      <sheetName val="MTS DP"/>
      <sheetName val="MTS AUC"/>
      <sheetName val="MTS PIU AFLS"/>
      <sheetName val="MTS HUTANG"/>
      <sheetName val="MTS 2006"/>
      <sheetName val="TOTAL STOCK"/>
      <sheetName val="AT DES"/>
      <sheetName val="WBS"/>
      <sheetName val="Jur_Kor"/>
      <sheetName val="NS"/>
      <sheetName val="G.HPP"/>
      <sheetName val="HPP1"/>
      <sheetName val="H.USAHA"/>
      <sheetName val="H.Angs Kend"/>
      <sheetName val="KARYAWAN"/>
      <sheetName val="AR AFLS"/>
      <sheetName val="Opini"/>
      <sheetName val="Isi"/>
      <sheetName val="BS RIG+KATERING"/>
      <sheetName val="IS per biaya RIG+KATERING"/>
      <sheetName val="Aruskas"/>
      <sheetName val="WS RIG+KATERING"/>
      <sheetName val="AJE AUDIT"/>
      <sheetName val="IS per RIG+KATERING"/>
      <sheetName val="saldo akhir"/>
      <sheetName val="note05-06"/>
      <sheetName val="penyertaan 07"/>
      <sheetName val="cf "/>
      <sheetName val="minta bukti"/>
      <sheetName val="Profile"/>
      <sheetName val="Chart Account"/>
      <sheetName val="GL_Account"/>
      <sheetName val="JK"/>
      <sheetName val="JB"/>
      <sheetName val="JM"/>
      <sheetName val="GL"/>
      <sheetName val="Notes BS"/>
      <sheetName val="pembelian sparepart &amp; bag 12.20"/>
      <sheetName val="pembelian MATERIAL 122007"/>
      <sheetName val="penjualan material (2)"/>
      <sheetName val="Tagihan BTI des"/>
      <sheetName val="Rhia"/>
      <sheetName val="tari"/>
      <sheetName val="buku besar"/>
      <sheetName val="mutasi hutang des07"/>
      <sheetName val="jurnal umum(HO)"/>
      <sheetName val="kartu hutang"/>
      <sheetName val="Piutang Kary Okt 07 (3)"/>
      <sheetName val="master COA"/>
      <sheetName val="uang muka penjualan"/>
      <sheetName val="NS_Oktober"/>
      <sheetName val="master VENDOR CUSTOMER"/>
      <sheetName val=" Cost Center"/>
      <sheetName val="worksheet (2)"/>
      <sheetName val="New Notes"/>
      <sheetName val="chemcal"/>
      <sheetName val="gasses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slip (2)"/>
      <sheetName val="rapel"/>
      <sheetName val="bruto"/>
      <sheetName val="TANDA TERIMA"/>
      <sheetName val="absen"/>
      <sheetName val="lembur"/>
      <sheetName val="pot. absen"/>
      <sheetName val="lembutr (2)"/>
      <sheetName val="REKAP LEMBUR"/>
      <sheetName val="pajak "/>
      <sheetName val="bayar_04_fak"/>
      <sheetName val="bayar_04_cus"/>
      <sheetName val="SINDIKASI"/>
      <sheetName val="Bilateral"/>
      <sheetName val="PKS add2"/>
      <sheetName val="BY 1"/>
      <sheetName val="BY 2"/>
      <sheetName val="Rkap Hut&amp;INT"/>
      <sheetName val="SCED LC"/>
      <sheetName val="ANGSURAN"/>
      <sheetName val="ANG INT 03"/>
      <sheetName val="INT 03"/>
      <sheetName val="INT DEFF SINDK"/>
      <sheetName val="MINING EQUIP"/>
      <sheetName val="DES 2001"/>
      <sheetName val="MARET2001"/>
      <sheetName val="PEG &amp; ABB &amp; MINING"/>
      <sheetName val="PERSON SINDIKASI"/>
      <sheetName val="EQUIPMENT"/>
      <sheetName val="CONTOH (1)"/>
      <sheetName val="CONTOH"/>
      <sheetName val="SCHEDULE KKSK"/>
      <sheetName val="AGENCY FEE"/>
      <sheetName val="bandarlampung"/>
      <sheetName val="SPD"/>
      <sheetName val="Daf-isi"/>
      <sheetName val="Opini'08"/>
      <sheetName val="Daft. Proyek"/>
      <sheetName val="BS (2)"/>
      <sheetName val="PL (2)"/>
      <sheetName val="Notes (2)"/>
      <sheetName val="B-1"/>
      <sheetName val="D-1"/>
      <sheetName val="BB"/>
      <sheetName val="FF"/>
      <sheetName val="GG"/>
      <sheetName val="KK"/>
      <sheetName val="LL"/>
      <sheetName val="10-1"/>
      <sheetName val="Kurs"/>
      <sheetName val="20-1"/>
      <sheetName val="60"/>
      <sheetName val="Detail Piutang"/>
      <sheetName val="Tdk Bermasalah"/>
      <sheetName val="Yang Bermasalah"/>
      <sheetName val="Report3"/>
      <sheetName val="seluruh"/>
      <sheetName val="CER Collector"/>
      <sheetName val="Rank Per Location"/>
      <sheetName val="BBM PER JAM"/>
      <sheetName val="ROUTE"/>
      <sheetName val="ROUTE NEW"/>
      <sheetName val="Pengiriman 1 Bulan"/>
      <sheetName val="SO"/>
      <sheetName val="Coa LD Per Month"/>
      <sheetName val="NERACA SALDO"/>
      <sheetName val="REKAP OMZET KAPAL"/>
      <sheetName val="OMZET HARIAN"/>
      <sheetName val="HPP-perkapal"/>
      <sheetName val="HPP PER BULAN"/>
      <sheetName val="Rekap simulasi"/>
      <sheetName val="Revisi BBM"/>
      <sheetName val="Cash Flow (2)"/>
      <sheetName val="CASH FLOW (3)"/>
      <sheetName val="KKL"/>
      <sheetName val="Rincian Capex"/>
      <sheetName val="HPP HARI 09"/>
      <sheetName val="kLP BIAYA"/>
      <sheetName val="Agent"/>
      <sheetName val="OMZET"/>
      <sheetName val="HPP-Bulan (2)"/>
      <sheetName val="HPP HARI 09 (2)"/>
      <sheetName val="HPP-Bulan Lama"/>
      <sheetName val="RMS-PENSIUN"/>
      <sheetName val="Masa Kerja"/>
      <sheetName val="TM3"/>
      <sheetName val="RMS - STR (2)"/>
      <sheetName val="TK- FUNG"/>
      <sheetName val="RMS - STR"/>
      <sheetName val="SEN_FUNG"/>
      <sheetName val="RMS FUNGSIONAL"/>
      <sheetName val="TK1"/>
      <sheetName val="rekstru"/>
      <sheetName val="rekfung"/>
      <sheetName val="fungsional "/>
      <sheetName val="Instansi"/>
      <sheetName val="Non Rek"/>
      <sheetName val="Ros"/>
      <sheetName val="struktur (2)"/>
      <sheetName val="Atur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Akun"/>
      <sheetName val="Bank"/>
      <sheetName val="JPb"/>
      <sheetName val="JPn"/>
      <sheetName val="NL"/>
      <sheetName val="Laba Ditahan"/>
      <sheetName val="Hutang"/>
      <sheetName val="Arus Kas-1"/>
      <sheetName val="Arus Kas-2"/>
      <sheetName val="Rekonsi"/>
      <sheetName val="Aktiva"/>
      <sheetName val="CRD"/>
      <sheetName val="DOZER"/>
      <sheetName val="solar"/>
      <sheetName val="SERVICE"/>
      <sheetName val="CHIPPING"/>
      <sheetName val="TRASS&amp;CHIP"/>
      <sheetName val="BLANGKO"/>
      <sheetName val="LAP-PROD"/>
      <sheetName val="TRASS '09"/>
      <sheetName val="trass'10"/>
      <sheetName val="REC'10"/>
      <sheetName val="form trass"/>
      <sheetName val="Rekap-User"/>
      <sheetName val="Dokter-User"/>
      <sheetName val="Kwitansi"/>
      <sheetName val="Lelang"/>
      <sheetName val="Rekap-Mngmt"/>
      <sheetName val="Manajemen Fee"/>
      <sheetName val="local"/>
      <sheetName val="sales_07 (3)"/>
      <sheetName val="eksport"/>
      <sheetName val="sales_07 (2)"/>
      <sheetName val="sales_07"/>
      <sheetName val="Etalase-Bsl"/>
      <sheetName val="Lab-RO"/>
      <sheetName val="Stok+Lab+RO+Gigi"/>
      <sheetName val="Dr.Ahli"/>
      <sheetName val="Persed"/>
      <sheetName val="Hpp."/>
      <sheetName val="SAA"/>
      <sheetName val="JU"/>
      <sheetName val="NR"/>
      <sheetName val="opini PTPN I_2008"/>
      <sheetName val="Lead - LK PTPN PRINT"/>
      <sheetName val="CLK"/>
      <sheetName val="Lead - LK PTPN"/>
      <sheetName val="PSAK 46"/>
      <sheetName val="Jurnal koreksi &amp; reklas print"/>
      <sheetName val="penjelasan aje &amp; reklas_2008"/>
      <sheetName val="Taksiran PPh Badan"/>
      <sheetName val="WS NET OFF"/>
      <sheetName val="JURNAL NET OFF"/>
      <sheetName val="Z Score PTPN I"/>
      <sheetName val="Aje Eks KSO Karet"/>
      <sheetName val="Jurnal koreksi &amp; reklas"/>
      <sheetName val="PRICE PACKING (2)"/>
      <sheetName val=" Cash Flow"/>
      <sheetName val="PRICE PACKING"/>
      <sheetName val="PRICE SALES JASA"/>
      <sheetName val=" TARIF FLAT STORAGE"/>
      <sheetName val="Rekap Per Cab"/>
      <sheetName val="Rekap Perbulan"/>
      <sheetName val="Rekap Budget"/>
      <sheetName val=" Rekap"/>
      <sheetName val="Ho"/>
      <sheetName val="Shipp"/>
      <sheetName val="TO SMD"/>
      <sheetName val="TO Cwd"/>
      <sheetName val="TO Bwi"/>
      <sheetName val="Rekap HO"/>
      <sheetName val="Cash Flow HO"/>
      <sheetName val="Cash Flow Samarinda"/>
      <sheetName val="Resume SMD"/>
      <sheetName val="Smd1"/>
      <sheetName val="Smd2"/>
      <sheetName val="Rekap  SMD"/>
      <sheetName val="Cash Flow Banyuwangi"/>
      <sheetName val="Rekap BWI"/>
      <sheetName val="Resume Banyuwangi"/>
      <sheetName val="Bwi1"/>
      <sheetName val="Bwi2"/>
      <sheetName val="Produksi Smd "/>
      <sheetName val="Produksi Bwi"/>
      <sheetName val="Produksi Cwd Baru"/>
      <sheetName val="Cwd1"/>
      <sheetName val="Cwd2"/>
      <sheetName val="Cash Flow Ciwandan"/>
      <sheetName val="Resume Ciwandan"/>
      <sheetName val="Rekap Cwd Baru"/>
      <sheetName val="Rekap Cwd lama"/>
      <sheetName val="Cwd2 lama"/>
      <sheetName val="Produksi Cwd Lama"/>
      <sheetName val="Bengkel"/>
      <sheetName val="Kendaraan Operasional"/>
      <sheetName val="Kendaraan Dinas"/>
      <sheetName val="DeptKeu"/>
      <sheetName val="Dept HRD"/>
      <sheetName val="Keu (Pajak)"/>
      <sheetName val="Keu(Purch)"/>
      <sheetName val="Dept Logstk"/>
      <sheetName val="DeptKeu (Acc)"/>
      <sheetName val="DeptKeu (WH)"/>
      <sheetName val="Sales&amp;DIST"/>
      <sheetName val="Dept SD"/>
      <sheetName val="Cwd2 Baru"/>
      <sheetName val="Sampul 08"/>
      <sheetName val="Sampul 1"/>
      <sheetName val="Sampul 2"/>
      <sheetName val="Pengesahan"/>
      <sheetName val="Daftar Isi"/>
      <sheetName val="Rencana transfer OKT 05"/>
      <sheetName val="CASH IN OKT"/>
      <sheetName val="PRESENTASE TRANSFER 10 2005"/>
      <sheetName val="MUTASI KAS 2005"/>
      <sheetName val="PIUTANG FIKRI"/>
      <sheetName val="MUTASI PIUTANG 2005"/>
      <sheetName val="SEWA DIBYR DIMUKA"/>
      <sheetName val="RINCI. DEP.2005"/>
      <sheetName val="COSTUMER CODE"/>
      <sheetName val="CONTROL PENJUALAN TUNAI"/>
      <sheetName val="BAG"/>
      <sheetName val="CRH"/>
      <sheetName val="REKP PENJUALAN BULANAN"/>
      <sheetName val="fill SAP BUKOPIN"/>
      <sheetName val="fill SAP BNI"/>
      <sheetName val="If Loss cancelled"/>
      <sheetName val="1771-Y"/>
      <sheetName val="1771-Y-$ (E)"/>
      <sheetName val="Temp-Attachment"/>
      <sheetName val="Lampiran-Sementara"/>
      <sheetName val="Special Attach-Depr (Eng)"/>
      <sheetName val="Special Attach-Depr (Ind)"/>
      <sheetName val="Summary of Tax Calculation"/>
      <sheetName val="PPh29(Eng)"/>
      <sheetName val="PPh29"/>
      <sheetName val="Art.25 Inst"/>
      <sheetName val="Int Inc"/>
      <sheetName val="Exit Fiscal"/>
      <sheetName val="GeneralInfo"/>
      <sheetName val="Marshall"/>
      <sheetName val="data wp"/>
      <sheetName val="1771-$"/>
      <sheetName val="1771.2-$"/>
      <sheetName val="1771-I$"/>
      <sheetName val="1771-II$"/>
      <sheetName val="1771-III$"/>
      <sheetName val="1771-IV$"/>
      <sheetName val="1771-V$"/>
      <sheetName val="1771-VI$"/>
      <sheetName val="1771-VI$ (2)"/>
      <sheetName val="1771-$(E)"/>
      <sheetName val="1771.2-$(E)"/>
      <sheetName val="1771-I$(E)"/>
      <sheetName val="1771-II$(E)"/>
      <sheetName val="1771-III$(E)"/>
      <sheetName val="1771-IV$(E)"/>
      <sheetName val="1771-V$(E)"/>
      <sheetName val="1771-VI$(E)"/>
      <sheetName val="Attachment"/>
      <sheetName val="fasilitas"/>
      <sheetName val="kompensasi"/>
      <sheetName val="transaksi"/>
      <sheetName val="cabang"/>
      <sheetName val="compensation"/>
      <sheetName val="transaction"/>
      <sheetName val="facility"/>
      <sheetName val="branch"/>
      <sheetName val="Lampiran Penyusutan (2)"/>
      <sheetName val="Depreciation attachment"/>
      <sheetName val="PPh25"/>
      <sheetName val="Art. 22&amp;23"/>
      <sheetName val="COMBINE"/>
      <sheetName val="COMBINE02"/>
      <sheetName val="Pusat"/>
      <sheetName val="Sulawesi"/>
      <sheetName val="Jatim"/>
      <sheetName val="Sumbagsel"/>
      <sheetName val="Jabar"/>
      <sheetName val="Jateng"/>
      <sheetName val="Sumbagut"/>
      <sheetName val="Pjk Tangguhan"/>
      <sheetName val="koreksi fiskal"/>
      <sheetName val="Renc_x0016__x0000__x0014__x0000__x000e__x0000__x0008__x0000__x0015__x0000__x0014__x0000__x0008__x0000_"/>
      <sheetName val="_x0000__x001d__x0000__x000f__x0000__x0015__x0000__x0017__x0000__x000f__x0000__x0016__x0000__x0016__x0000__x0010__x0000__x0015__x0000__x000f__x0000__x0014__x0000__x0015__x0000__x001a__x0000_"/>
      <sheetName val="؀܀؀ऀऀ਀਀ᤀࠀ᠀ࠀࠀЀԀԀԀԀԀԀЀ܀ऀऀԀࠀ਀᐀"/>
      <sheetName val="R-L Modifkasi"/>
      <sheetName val="RL007"/>
      <sheetName val="Rekap_AT"/>
      <sheetName val="Lamsus"/>
      <sheetName val="Aktiva_tetap"/>
      <sheetName val="pph21"/>
      <sheetName val="INV"/>
      <sheetName val="KKP 01 Audit"/>
      <sheetName val="Saldo Laba"/>
      <sheetName val="KKP Pendapatan Audit"/>
      <sheetName val="Lap-Indonesia Audit"/>
      <sheetName val="Ak Tetap &amp; Amor 98-00 Final"/>
      <sheetName val=" Aktiva Tetap 00 (2)"/>
      <sheetName val=" Aktiva Tetap 00"/>
      <sheetName val="Rincian A.T 98 &amp; 99"/>
      <sheetName val="Perhitungan"/>
      <sheetName val="Trial Balance Audit"/>
      <sheetName val="Opinion"/>
      <sheetName val="Index KKP"/>
      <sheetName val="Saldo Awal Intern &amp; Audit"/>
      <sheetName val="Trial Balance"/>
      <sheetName val="Daftar Isi KKP"/>
      <sheetName val="mpensiun"/>
      <sheetName val="Jurnal Koreksi"/>
      <sheetName val="lapkeu"/>
      <sheetName val="Data Realisasi ABI BD 2012"/>
      <sheetName val="Data Realisasi ABI BD 2012 (2)"/>
      <sheetName val="workdone plus"/>
      <sheetName val="Alokasi Biaya Bunga"/>
      <sheetName val="Draft Jurnal Juni 2012"/>
      <sheetName val="Draft Jurnal Maret"/>
      <sheetName val="Draft Jurnal Maret 2012"/>
      <sheetName val="Vipot"/>
      <sheetName val="f01 Juni 2012"/>
      <sheetName val="Compile"/>
      <sheetName val="KPI_DATABANK"/>
      <sheetName val="Upstream"/>
      <sheetName val="M&amp;T"/>
      <sheetName val="Refining"/>
      <sheetName val="ISC"/>
      <sheetName val="IPRM"/>
      <sheetName val="Legal"/>
      <sheetName val="Audit"/>
      <sheetName val="CS (2)"/>
      <sheetName val="Crs &amp; Confr LN Transpor"/>
      <sheetName val="Rek 2008"/>
      <sheetName val="fill SAP MANDIRI"/>
      <sheetName val="fill SAP KAS"/>
      <sheetName val="BUKOPIN"/>
      <sheetName val="BNI"/>
      <sheetName val="MANDIRI"/>
      <sheetName val="MASTER1"/>
      <sheetName val="PEMAKAIAN BY PRODUKSI"/>
      <sheetName val="HUTANG TITIPAN"/>
      <sheetName val="PERSEDIAAN SPAREPART"/>
      <sheetName val="STOCK AWAL"/>
      <sheetName val="PEMAKAIAN WAREHOUSE"/>
      <sheetName val="MASTER CODE"/>
      <sheetName val="PEMBELIAN TONY 09"/>
      <sheetName val="HUTANG PER PO 09"/>
      <sheetName val="HUTANG PER VENDOR 09"/>
      <sheetName val="Formula"/>
      <sheetName val="VENDORE CODE"/>
      <sheetName val="INFORMASI UMUM"/>
      <sheetName val="Mutasi"/>
      <sheetName val="IMPUT PENERIMAAN BULK WB"/>
      <sheetName val="IMPUT PENERIMAAN BAG PRODUKSI"/>
      <sheetName val="LAP. HARIAN"/>
      <sheetName val="RAW MATREIAL FLAT STORAGE"/>
      <sheetName val="Lap. Laba Rugi September"/>
      <sheetName val="Lap. Laba Rugi 2005"/>
      <sheetName val="MARGIN ANALISIS"/>
      <sheetName val="Cash Flow 2005"/>
      <sheetName val="PEMAKAIAN BY PRODUKSI 2005"/>
      <sheetName val="rep letter"/>
      <sheetName val="pph 29"/>
      <sheetName val="panding matter"/>
      <sheetName val="SAP vs C&amp;R"/>
      <sheetName val="BSW"/>
      <sheetName val="Takeover"/>
      <sheetName val="Rekap (L)"/>
      <sheetName val="M-GOWA"/>
      <sheetName val="TKO"/>
      <sheetName val="BWI"/>
      <sheetName val="BON"/>
      <sheetName val="BLK"/>
      <sheetName val="CWD"/>
      <sheetName val="GRT"/>
      <sheetName val="GOW"/>
      <sheetName val="JKT"/>
      <sheetName val="JNP"/>
      <sheetName val="KDI"/>
      <sheetName val="KLK"/>
      <sheetName val="KPG"/>
      <sheetName val="MKS"/>
      <sheetName val="MMJ"/>
      <sheetName val="MDO"/>
      <sheetName val="MSB"/>
      <sheetName val="PLP"/>
      <sheetName val="PLU"/>
      <sheetName val="PKP"/>
      <sheetName val="PRE"/>
      <sheetName val="PNR"/>
      <sheetName val="POL"/>
      <sheetName val="SMD"/>
      <sheetName val="WJO"/>
      <sheetName val="SDP"/>
      <sheetName val="SJI"/>
      <sheetName val="SOP"/>
      <sheetName val="SBY"/>
      <sheetName val="TTR"/>
      <sheetName val="XNS"/>
      <sheetName val="XRKP"/>
      <sheetName val="ABMetal"/>
      <sheetName val="Asaba"/>
      <sheetName val="AlkaJaya"/>
      <sheetName val="Adhireksa"/>
      <sheetName val="Belibis"/>
      <sheetName val="Chuson"/>
      <sheetName val="DayaPrima"/>
      <sheetName val="DieselJY"/>
      <sheetName val="Genta"/>
      <sheetName val="GdGajah"/>
      <sheetName val="Hamasa"/>
      <sheetName val="IndoPorlen"/>
      <sheetName val="InterCasting"/>
      <sheetName val="Interworld"/>
      <sheetName val="Indowan"/>
      <sheetName val="KPMB"/>
      <sheetName val="Karunia"/>
      <sheetName val="KryTeguh"/>
      <sheetName val="KryOlindo"/>
      <sheetName val="Leman's"/>
      <sheetName val="LancarS"/>
      <sheetName val="MakmurMG"/>
      <sheetName val="MitraCh"/>
      <sheetName val="Octo"/>
      <sheetName val="Praxair"/>
      <sheetName val="Persada"/>
      <sheetName val="PLN"/>
      <sheetName val="Rancang"/>
      <sheetName val="SaranaCntrl"/>
      <sheetName val="Samator"/>
      <sheetName val="SariMas"/>
      <sheetName val="Sucofindo"/>
      <sheetName val="Silica"/>
      <sheetName val="SuryaTM"/>
      <sheetName val="Siswandi"/>
      <sheetName val="TDS"/>
      <sheetName val="Tepak"/>
      <sheetName val="IK - Query Voucher Rows - GL 05"/>
      <sheetName val="IK - Query Voucher Rows - G (2)"/>
      <sheetName val="IK - Query Voucher Rows - G (6)"/>
      <sheetName val="Tendering Cost"/>
      <sheetName val="General Expense"/>
      <sheetName val="IK - Query Voucher Rows - G (4)"/>
      <sheetName val="IK - Query Voucher Rows - G (5)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F.1 FG CKP"/>
      <sheetName val="F.1.1 CKP"/>
      <sheetName val="F.2 WIP CKP"/>
      <sheetName val="F.2.1 CKP"/>
      <sheetName val="F.3 RM CKP"/>
      <sheetName val="F.3.1 CKP"/>
      <sheetName val="F.1 FG BIC"/>
      <sheetName val="F.1.1 BIC "/>
      <sheetName val="F.2 WIP BIC"/>
      <sheetName val="F.2.1 BIC"/>
      <sheetName val="F.3 RM BIC"/>
      <sheetName val="F.3.1 BIC"/>
      <sheetName val="Tran0104 (2)"/>
      <sheetName val="Tran0104"/>
      <sheetName val="9O 1.2 Tran0104 (2)"/>
      <sheetName val="9O 1.1"/>
      <sheetName val="Sheet Q Pro"/>
      <sheetName val="Qpro"/>
      <sheetName val="NotesBS"/>
      <sheetName val="NotesPL"/>
      <sheetName val="PL_div"/>
      <sheetName val="adj smart"/>
      <sheetName val="MCU"/>
      <sheetName val="MCU (2)"/>
      <sheetName val="Budget 2008"/>
      <sheetName val="asumsi1"/>
      <sheetName val="asumsi2"/>
      <sheetName val="analysis (2)"/>
      <sheetName val="skenario"/>
      <sheetName val="jangmed"/>
      <sheetName val="Peralatan"/>
      <sheetName val="Kend Leasing"/>
      <sheetName val="Pdpt dtrm dmk"/>
      <sheetName val="B Dby Dmk"/>
      <sheetName val="bank_loan"/>
      <sheetName val="Depr Kend"/>
      <sheetName val="Recovered_Sheet1"/>
      <sheetName val="1000"/>
      <sheetName val="Recovered_Sheet2"/>
      <sheetName val="Recovered_Sheet3"/>
      <sheetName val="Recovered_Sheet4"/>
      <sheetName val="Recovered_Sheet5"/>
      <sheetName val="Recovered_Sheet6"/>
      <sheetName val="20000"/>
      <sheetName val="30000"/>
      <sheetName val="2000"/>
      <sheetName val="Assets"/>
      <sheetName val="NetSales"/>
      <sheetName val="topWBS2"/>
      <sheetName val="topWBS1"/>
      <sheetName val="Consolidated jurnal"/>
      <sheetName val="dtlE1"/>
      <sheetName val="TopPL"/>
      <sheetName val="N2"/>
      <sheetName val="dtlN1"/>
      <sheetName val="N1"/>
      <sheetName val="U4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Input_tables"/>
      <sheetName val="Data Karyawan"/>
      <sheetName val="Benefit_Tab"/>
      <sheetName val="JHT"/>
      <sheetName val="PSC_Calc"/>
      <sheetName val="output"/>
      <sheetName val="Payments"/>
      <sheetName val="summary_frm_output"/>
      <sheetName val="Presentation1"/>
      <sheetName val="Lap Akturia 2004"/>
      <sheetName val="discl_present_gab"/>
      <sheetName val="AG_presntn"/>
      <sheetName val="decr_table"/>
      <sheetName val="GraphBen"/>
      <sheetName val="A4.1"/>
      <sheetName val="A4.2"/>
      <sheetName val="A4.3"/>
      <sheetName val="A4.4"/>
      <sheetName val="CAJE&amp;CRJE"/>
      <sheetName val="TB2012"/>
      <sheetName val="TB Oct"/>
      <sheetName val="A4"/>
      <sheetName val="A3"/>
      <sheetName val="A3 BS"/>
      <sheetName val="A3 IS "/>
      <sheetName val="SRM"/>
      <sheetName val="def.albert"/>
      <sheetName val="corp tax"/>
      <sheetName val="FS-oni"/>
      <sheetName val="A3-aft PPh21"/>
      <sheetName val="AJE-aft PPh21"/>
      <sheetName val="ML tax auria"/>
      <sheetName val="2-asi-00"/>
      <sheetName val="FCG, B but MF"/>
      <sheetName val="TIS Report Printscreen"/>
      <sheetName val="Gen Info"/>
      <sheetName val="Master Entries"/>
      <sheetName val="Master for Print"/>
      <sheetName val="Entries by Acct"/>
      <sheetName val="Entries for Tax"/>
      <sheetName val="Setup Sheet"/>
      <sheetName val="BS Effect"/>
      <sheetName val="IS Effect"/>
      <sheetName val="Formulas&amp;Settings"/>
      <sheetName val="Tax Formulas"/>
      <sheetName val="Done Mssg Box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K.1 FA Sum"/>
      <sheetName val="K.1.1 Predictive June'06"/>
      <sheetName val="K Lead May"/>
      <sheetName val="K.1 FA Sum May"/>
      <sheetName val="K.1.1 Predictive May'06"/>
      <sheetName val="bs_pl_mar_06_vs_jun_06"/>
      <sheetName val="WBSA report  "/>
      <sheetName val="WBSB report"/>
      <sheetName val="Adjustment "/>
      <sheetName val="CF-March'05"/>
      <sheetName val="Recon"/>
      <sheetName val="CFnot used"/>
      <sheetName val="F 001"/>
      <sheetName val="F.100 "/>
      <sheetName val="F.200"/>
      <sheetName val="F.300 TACM "/>
      <sheetName val="F 400 INV TO"/>
      <sheetName val="F 500"/>
      <sheetName val="F.501"/>
      <sheetName val="F 502"/>
      <sheetName val="mutation "/>
      <sheetName val="Adjustment"/>
      <sheetName val="VB.001"/>
      <sheetName val="VB 100 June 2"/>
      <sheetName val="VB 200 June2"/>
      <sheetName val="VB 300 June 2"/>
      <sheetName val="VB 300 May"/>
      <sheetName val="VB 100 June"/>
      <sheetName val="VB 200 June"/>
      <sheetName val="VB 300 June"/>
      <sheetName val="VB 400 June"/>
      <sheetName val="VB 500 June"/>
      <sheetName val="VB 100 May"/>
      <sheetName val="VB 200 May"/>
      <sheetName val="VB 400 May"/>
      <sheetName val="VB 100 March"/>
      <sheetName val="VB 200 March"/>
      <sheetName val="VB 300 March"/>
      <sheetName val="VB 400 March"/>
      <sheetName val="K 001"/>
      <sheetName val="K 100 Mar"/>
      <sheetName val="K 100 Feb"/>
      <sheetName val="K 100 Dec"/>
      <sheetName val="Mutation FA"/>
      <sheetName val="BS_PL as of Dec '08 &amp; as of Dec"/>
      <sheetName val="Prepaid 22"/>
      <sheetName val="Prepaid 23"/>
      <sheetName val="Prepaid 25"/>
      <sheetName val=" 2nd Q"/>
      <sheetName val="GL apr-mei"/>
      <sheetName val="GL Jun"/>
      <sheetName val="fisc depr 2nd"/>
      <sheetName val="Deferred tax-30%"/>
      <sheetName val="Allowance AP"/>
      <sheetName val="Sold Asset in 2009"/>
      <sheetName val="BS_PL Apr-Mei"/>
      <sheetName val="C Section"/>
      <sheetName val="bank CO"/>
      <sheetName val="F Memo"/>
      <sheetName val="F-Lead"/>
      <sheetName val="Ftest"/>
      <sheetName val="Frollforward"/>
      <sheetName val="Sales CO"/>
      <sheetName val="Purchase CO"/>
      <sheetName val="Frollforward (2)"/>
      <sheetName val="E.2 Lead"/>
      <sheetName val="E.2.1"/>
      <sheetName val="E.2.2"/>
      <sheetName val="E.2.2.1"/>
      <sheetName val="E.2.2.2"/>
      <sheetName val="E.2.3"/>
      <sheetName val="E.2.4"/>
      <sheetName val="E.2.4.1"/>
      <sheetName val="VB"/>
      <sheetName val="VB.1"/>
      <sheetName val="VB.2"/>
      <sheetName val="VC"/>
      <sheetName val="VC.1"/>
      <sheetName val="VC.2"/>
      <sheetName val="VC.3"/>
      <sheetName val="VC.4"/>
      <sheetName val="SALESDES_04"/>
      <sheetName val="DISCOUNT"/>
      <sheetName val="RETUR"/>
      <sheetName val="NET SALES"/>
      <sheetName val="SALESAGT_04"/>
      <sheetName val="SALESJAN_04"/>
      <sheetName val="SALESFEB_04"/>
      <sheetName val="SALESMRT_04"/>
      <sheetName val="SALESAPR_04"/>
      <sheetName val="SALESMEI_04"/>
      <sheetName val="SALESJUNI_04"/>
      <sheetName val="SALESJULI_04"/>
      <sheetName val="SALESSEPT_04"/>
      <sheetName val="SALESOKT_04"/>
      <sheetName val="SALES OKT06"/>
      <sheetName val="SALESNOP_04"/>
      <sheetName val="SALESJAN_03"/>
      <sheetName val="SALESFEB_03"/>
      <sheetName val="SALESMRT_03"/>
      <sheetName val="SALESAPR_03"/>
      <sheetName val="SALESMEI_03"/>
      <sheetName val="SALESJUNI_03"/>
      <sheetName val="SALESJULI_03"/>
      <sheetName val="SALESAGT_03"/>
      <sheetName val="SALESSEP_03"/>
      <sheetName val="SALESOKT_03"/>
      <sheetName val="SALESNOP_03"/>
      <sheetName val="SALESDES_03"/>
      <sheetName val="pcs_avg"/>
      <sheetName val="sum_prd"/>
      <sheetName val="sum_pack"/>
      <sheetName val="personal"/>
      <sheetName val="note_defect"/>
      <sheetName val="lat"/>
      <sheetName val="Persiapan"/>
      <sheetName val="Ars"/>
      <sheetName val="Str"/>
      <sheetName val="AC"/>
      <sheetName val="PK"/>
      <sheetName val="LF"/>
      <sheetName val="EL"/>
      <sheetName val="TS"/>
      <sheetName val="ah.cp"/>
      <sheetName val="hs.cp"/>
      <sheetName val="hs me"/>
      <sheetName val="ah sanitary"/>
      <sheetName val="hs pipa"/>
      <sheetName val="acc pl"/>
      <sheetName val="p refr"/>
      <sheetName val="duct"/>
      <sheetName val="AN-ARS"/>
      <sheetName val="AN-STR"/>
      <sheetName val="HS-BAHAN"/>
      <sheetName val="HS-UPAH"/>
      <sheetName val="HS- ALAT"/>
      <sheetName val="SIAP"/>
      <sheetName val="LAIN"/>
      <sheetName val="ducting"/>
      <sheetName val="refrigerant"/>
      <sheetName val="accesories pl"/>
      <sheetName val="saklar"/>
      <sheetName val="lampu"/>
      <sheetName val="hs inst. elektrikal"/>
      <sheetName val="rekap utama"/>
      <sheetName val="itwil"/>
      <sheetName val="bupati"/>
      <sheetName val="bappeda"/>
      <sheetName val="kabel"/>
      <sheetName val="pipa"/>
      <sheetName val="exhaust"/>
      <sheetName val="spesifikasi mat dan type"/>
      <sheetName val="Plumbing"/>
      <sheetName val="Elekt"/>
      <sheetName val="Non Std Mek"/>
      <sheetName val="Non Std Elekt"/>
      <sheetName val="hs elektrikal"/>
      <sheetName val="dft peralatan"/>
      <sheetName val="schedyle"/>
      <sheetName val="dft material"/>
      <sheetName val="kop brosur"/>
      <sheetName val="take up mtrl ducting"/>
      <sheetName val="alamat"/>
      <sheetName val="SAWIT"/>
      <sheetName val="KARET"/>
      <sheetName val="TEH"/>
      <sheetName val="KANDIR"/>
      <sheetName val="NERACA LAJUR"/>
      <sheetName val="LARU-KOM"/>
      <sheetName val="LARU-BI"/>
      <sheetName val="PER-HP"/>
      <sheetName val="L-R RKAP"/>
      <sheetName val="L-R per Kom"/>
      <sheetName val="L-R RKAP 1Thn"/>
      <sheetName val="L-R per Kom (2)"/>
      <sheetName val="L-R per Kom BI"/>
      <sheetName val="LR-PROG"/>
      <sheetName val="PJK_FIS"/>
      <sheetName val="ahp duct bdn"/>
      <sheetName val="pipa hydr bdn"/>
      <sheetName val="access duct bdn"/>
      <sheetName val="ahp duct dan hydrat bdn"/>
      <sheetName val="hs elektrikal bdn"/>
      <sheetName val="panel bdn &amp; acce ducting"/>
      <sheetName val="daftar peralatan"/>
      <sheetName val="Mandor"/>
      <sheetName val="HT"/>
      <sheetName val="SELASAR"/>
      <sheetName val="SELASAR-2"/>
      <sheetName val="GT-2 "/>
      <sheetName val="me"/>
      <sheetName val="lm4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Beban-beban"/>
      <sheetName val="Beban-beban Jan-Jun Olah"/>
      <sheetName val="Pajak Tangguhan"/>
      <sheetName val="Pajak Tangguhan (2)"/>
      <sheetName val="Anggaran"/>
      <sheetName val="TBS"/>
      <sheetName val="Cash_Flow_Mar 03"/>
      <sheetName val="NewCash_Flow_Mar '03"/>
      <sheetName val="Perubahan EkuitasMar '03"/>
      <sheetName val="Neraca_Mar 03"/>
      <sheetName val="Form_Breakdown"/>
      <sheetName val="RL_JMver_Mar 03"/>
      <sheetName val="Maret2003"/>
      <sheetName val="Cash_Flow_Des '02"/>
      <sheetName val="Neraca_Des 02"/>
      <sheetName val="RL_JMver_Des'02"/>
      <sheetName val="Jun2002"/>
      <sheetName val="Flow PSDH_306"/>
      <sheetName val="LEAD_UNIT_301"/>
      <sheetName val="SUPPORT PER KPH_302"/>
      <sheetName val="II M_307"/>
      <sheetName val="Setoran PSDH_303"/>
      <sheetName val="Supp_304"/>
      <sheetName val="Supp_305"/>
      <sheetName val="N. AP trade"/>
      <sheetName val="P.1 Accrued expense"/>
      <sheetName val="P.2 Advance from customer"/>
      <sheetName val="O. Taxes payable"/>
      <sheetName val="O.1 Ps 21"/>
      <sheetName val="O.2 Ps 22"/>
      <sheetName val="O.3 Ps 23"/>
      <sheetName val="O.4 Ps 26"/>
      <sheetName val="O.5 Ps 25"/>
      <sheetName val="Q.1 Bank Loan"/>
      <sheetName val="Q.2 Leasing"/>
      <sheetName val="Q.3 Pension Fund"/>
      <sheetName val="R.Deferred tax liabilities"/>
      <sheetName val="T.CAPITAL STOCK"/>
      <sheetName val="U.1.1 Sales"/>
      <sheetName val="U.2.1 COGS"/>
      <sheetName val="U.2.1.1"/>
      <sheetName val="U.2.2 Opex"/>
      <sheetName val="U.1.2 Other charges (income)"/>
      <sheetName val="PROVISION INCOME TAX"/>
      <sheetName val="C.1 Cash on hand and in banks"/>
      <sheetName val="Confirmation"/>
      <sheetName val="C.2 Time deposit"/>
      <sheetName val="D. Notes Receivable"/>
      <sheetName val="D.1 NR"/>
      <sheetName val="D.2 Laverton"/>
      <sheetName val="E.ACCOUNT RECEVABLE"/>
      <sheetName val="I. Other receivable (payable)"/>
      <sheetName val="F. Inventories"/>
      <sheetName val="F.1 Test Pricing"/>
      <sheetName val="G.1 Advance to supplier"/>
      <sheetName val="G.2 Prepaid Exp"/>
      <sheetName val="G.3 Prepaid Taxes"/>
      <sheetName val="K Memo"/>
      <sheetName val="K.1 MOVEMENT"/>
      <sheetName val="K.1.1 SME"/>
      <sheetName val="K.1.1.1 TM"/>
      <sheetName val="K.1.1.2 BUILDINGS"/>
      <sheetName val="K.1.1.3 LAND.IMPVMT"/>
      <sheetName val="K.1.1.4 MACHINERY &amp; EQUIPMENT"/>
      <sheetName val="K.1.1.5 HEAVY EQP.&amp;VEHICLE"/>
      <sheetName val="K.1.1.6 OFF.EQUIP.&amp;FIXTURES"/>
      <sheetName val="K.1.1.7 CIP"/>
      <sheetName val="K.1.2 KKE"/>
      <sheetName val="K.1.2.1 TM"/>
      <sheetName val="K.1.2.2 TBM"/>
      <sheetName val="K.1.2.3 BUILDINGS"/>
      <sheetName val="K.1.2.4 LAND.IMPRVT."/>
      <sheetName val="K.1.2.5 MACHINERY &amp;EQUIP"/>
      <sheetName val="K.1.2.6 HEAVY EQUIP.&amp;VEHICLE"/>
      <sheetName val="K.1.2.7 OFF.EQUIP&amp;FIXTURE"/>
      <sheetName val="K.1.2.8 CIP"/>
      <sheetName val="K.1.3 SIE"/>
      <sheetName val="K.1.3.1 TM "/>
      <sheetName val="K.1.3.2 TBM"/>
      <sheetName val="K.1.3.3 BUILDINGS"/>
      <sheetName val="K.1.3.4 MACHINERY&amp;EQUIPT"/>
      <sheetName val="K.1.3.5 HEAVY EQUIP.&amp;VEHICLE"/>
      <sheetName val="K.1.3.6 OFF.EQUIP&amp;FIX"/>
      <sheetName val="K.1.3.7 CIP"/>
      <sheetName val="K.1.4 SMF"/>
      <sheetName val="K.1.4.1 BUILDINGS"/>
      <sheetName val="K.1.4.2 LAND.IMPRVT"/>
      <sheetName val="K.1.4.3 MACHINERY&amp;EQUIP"/>
      <sheetName val="K.1.4.4 HEAVY EQUIP.&amp;VEHICLE"/>
      <sheetName val="K.1.4.5 OFF.EQUIP"/>
      <sheetName val="K.1.4.6 CIP"/>
      <sheetName val="K2 Vouching"/>
      <sheetName val="J. Other Assets"/>
      <sheetName val="J.1 Deffered Landright"/>
      <sheetName val="TBM  (3)"/>
      <sheetName val="CIP USD"/>
      <sheetName val="rekapSept"/>
      <sheetName val="bgn"/>
      <sheetName val="pra"/>
      <sheetName val="kend "/>
      <sheetName val="bengk."/>
      <sheetName val="air&amp;lis"/>
      <sheetName val="invent.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HAL"/>
      <sheetName val="P-Kebun-XX "/>
      <sheetName val="PPEG"/>
      <sheetName val="BYRM-XX"/>
      <sheetName val="PPEM"/>
      <sheetName val="BT-XX"/>
      <sheetName val="Ak_pro-XX"/>
      <sheetName val="HUT"/>
      <sheetName val="HK-XX"/>
      <sheetName val="HLL"/>
      <sheetName val="pph"/>
      <sheetName val="HB"/>
      <sheetName val="AL-BTL KK"/>
      <sheetName val="BTL-RO"/>
      <sheetName val="PASIVA"/>
      <sheetName val="PERUBAHAN EQUITAS"/>
      <sheetName val="Kertas Kerja Neraca_2007_PT"/>
      <sheetName val="AJP 2006"/>
      <sheetName val="Jurkor 2007"/>
      <sheetName val="Kertas Kerja Laba-Rugi_2007_PT"/>
      <sheetName val="AJP 2005"/>
      <sheetName val="Piutang Usaha_edited_PT"/>
      <sheetName val="Piutang Usaha_Sort_PT"/>
      <sheetName val="Asuransi_edited_PT"/>
      <sheetName val="Hutang_Edited_PT"/>
      <sheetName val="RJP 2006"/>
      <sheetName val="Pjk kini"/>
      <sheetName val="Pjk kini_2007_PT"/>
      <sheetName val="Rekon pjk"/>
      <sheetName val="Capex Sum"/>
      <sheetName val="AAL"/>
      <sheetName val="IIS"/>
      <sheetName val="AARJ"/>
      <sheetName val="march"/>
      <sheetName val="rsk"/>
      <sheetName val="aic"/>
      <sheetName val="Ist"/>
      <sheetName val="CRITERIA3"/>
      <sheetName val="CCAI BOOK TEMPLATE"/>
      <sheetName val="CRITERIA2"/>
      <sheetName val="Formita"/>
      <sheetName val="Semangka"/>
      <sheetName val="CabeAGP-23"/>
      <sheetName val="CabeMas47 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HPPKS"/>
      <sheetName val="CPO"/>
      <sheetName val="BO"/>
      <sheetName val="PENJ"/>
      <sheetName val="PENDPT"/>
      <sheetName val="SEL-KURS"/>
      <sheetName val="fix-ass"/>
      <sheetName val="NEG02"/>
      <sheetName val="Cab Utama"/>
      <sheetName val="KANPUS"/>
      <sheetName val="GABUNGAN"/>
      <sheetName val="realjuli"/>
      <sheetName val="prakjuli"/>
      <sheetName val="KonPusat"/>
      <sheetName val="P-KebunXX"/>
      <sheetName val="LEAD KONSOL"/>
      <sheetName val="AGING KONSOL"/>
      <sheetName val="PENDING KONFIRMASI ALL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A PJK_FIS N6"/>
      <sheetName val="L33B PJK_FIS BK"/>
      <sheetName val="L34A Perhit_Pjk Tangguhan PN6"/>
      <sheetName val="L34B Perhit_Pjk Tangguhan BK"/>
      <sheetName val="L37 PJK_FIS"/>
      <sheetName val="L38 Tenaker"/>
      <sheetName val="L40 Kinerja 198"/>
      <sheetName val="L33 PJK_FIS"/>
      <sheetName val="Plasma"/>
      <sheetName val="Inti_2000 (2)"/>
      <sheetName val="Deftax"/>
      <sheetName val="Tax recon"/>
      <sheetName val="Adj kash"/>
      <sheetName val="99-00"/>
      <sheetName val="Cflow00"/>
      <sheetName val="2000-2001"/>
      <sheetName val="Cflow01"/>
      <sheetName val="CFW-01"/>
      <sheetName val="CFS-01"/>
      <sheetName val="2001-2002"/>
      <sheetName val="Cflow02"/>
      <sheetName val="CFW-02"/>
      <sheetName val="CFS-02"/>
      <sheetName val="2002-2003"/>
      <sheetName val="Combined WBS PL"/>
      <sheetName val="WBS PL HO"/>
      <sheetName val="WBS PL Branch 1"/>
      <sheetName val="AJE HO"/>
      <sheetName val="AJE Branch 1"/>
      <sheetName val="RJE Combine"/>
      <sheetName val="Instruction"/>
      <sheetName val="All Sites"/>
      <sheetName val="Core Sites"/>
      <sheetName val="KPI All Sites"/>
      <sheetName val="KPI Dev All Sites"/>
      <sheetName val="KPI Dev Core Sites"/>
      <sheetName val="Site Details"/>
      <sheetName val="SiteBench"/>
      <sheetName val="BI Global"/>
      <sheetName val="Tabelle1"/>
      <sheetName val="MasterData"/>
      <sheetName val="Auxiliary"/>
      <sheetName val="Marshal"/>
      <sheetName val="LIST "/>
      <sheetName val="Point to do"/>
      <sheetName val="Pending Item"/>
      <sheetName val="BSPL Komersial"/>
      <sheetName val="AR PL"/>
      <sheetName val="Analytical Expl"/>
      <sheetName val="Fixed Assets Fiscal 2004"/>
      <sheetName val="PAJE-04"/>
      <sheetName val="PRJE-04"/>
      <sheetName val="CAJE(CRJE)-04"/>
      <sheetName val="E-3.Aging"/>
      <sheetName val="E-4.Analisa Aging"/>
      <sheetName val="E-5.Aging Afiliasi"/>
      <sheetName val="E-6.AR TO"/>
      <sheetName val="E-7"/>
      <sheetName val="Pallet dll"/>
      <sheetName val="Asuransi G-2.1.1"/>
      <sheetName val="G-2.1.2"/>
      <sheetName val="G-2.2"/>
      <sheetName val="K-1.FA Movement"/>
      <sheetName val="K-2.FA Addition"/>
      <sheetName val="K-3.Predict.Test"/>
      <sheetName val="K-4.FA Register"/>
      <sheetName val="N-Subs Paym"/>
      <sheetName val="NN"/>
      <sheetName val="O-1"/>
      <sheetName val="O-2"/>
      <sheetName val="O-3"/>
      <sheetName val="Q-1.Loan Mov."/>
      <sheetName val="Q-2.Loan Schedule"/>
      <sheetName val="U-1a"/>
      <sheetName val="U-1.2.Margin Analysis"/>
      <sheetName val="U-2.1"/>
      <sheetName val="Vouching Biaya"/>
      <sheetName val="U-4.2"/>
      <sheetName val="U-4.3"/>
      <sheetName val="U-4.4"/>
      <sheetName val="PL-fis"/>
      <sheetName val="BS-fis"/>
      <sheetName val="WBS-WPL"/>
      <sheetName val="PM and TE"/>
      <sheetName val="I.S. Fiscal"/>
      <sheetName val="CRJE"/>
      <sheetName val="Rest. 02"/>
      <sheetName val="PAJE(PRJE)03"/>
      <sheetName val="Cash Flow 2004"/>
      <sheetName val="E-1.2"/>
      <sheetName val="E-2.1"/>
      <sheetName val="G-1.3"/>
      <sheetName val="G-1.4"/>
      <sheetName val="G-1.5"/>
      <sheetName val="G-1.6"/>
      <sheetName val="G-2.1"/>
      <sheetName val="FA Register (K.1)"/>
      <sheetName val="Vouch Phase II (K.2)"/>
      <sheetName val="FA Fiscal (K.3)"/>
      <sheetName val="Ageing AP(N-1.1)"/>
      <sheetName val="Subs Payment AP(N-1.2)"/>
      <sheetName val="Att. O-2"/>
      <sheetName val="O-4"/>
      <sheetName val="O-5"/>
      <sheetName val="P-1.2"/>
      <sheetName val="Q-1"/>
      <sheetName val="Q-1.1"/>
      <sheetName val="Q-1.2"/>
      <sheetName val="Q-1.3"/>
      <sheetName val="(Bank Loan Mutation)Q-1.4"/>
      <sheetName val="Q-2"/>
      <sheetName val="JAMSOSTEK(R-2b)"/>
      <sheetName val="Pensiun fund(R-2c)"/>
      <sheetName val="U-1.1"/>
      <sheetName val="U-1.2"/>
      <sheetName val="U-1.3"/>
      <sheetName val="U-2.1(payroll)"/>
      <sheetName val="U-3.1"/>
      <sheetName val="U-4a"/>
      <sheetName val="CAJE Fathun"/>
      <sheetName val="CAJEAR-Deny"/>
      <sheetName val="PPN OUT"/>
      <sheetName val="PPN OUT1"/>
      <sheetName val="PPN OUT2"/>
      <sheetName val="CN2"/>
      <sheetName val="DN"/>
      <sheetName val="NO FAKTUR"/>
      <sheetName val="NPWP"/>
      <sheetName val="Product"/>
      <sheetName val="SRYDNCN"/>
      <sheetName val="List Inv"/>
      <sheetName val="1.Ageing AR"/>
      <sheetName val="2.1410"/>
      <sheetName val="3.1490"/>
      <sheetName val="4.1550-WIP"/>
      <sheetName val="5.(Art-23)"/>
      <sheetName val="6.(VAT-in)"/>
      <sheetName val="7.1.1830"/>
      <sheetName val="7.2.1831"/>
      <sheetName val="7.3.1832"/>
      <sheetName val="7.4.1860"/>
      <sheetName val="7.5.1861"/>
      <sheetName val="7.6.1870"/>
      <sheetName val="7.7.1880"/>
      <sheetName val="7.8.1881"/>
      <sheetName val="8.1420"/>
      <sheetName val="9.AP-ageing"/>
      <sheetName val="10.Loan GAC"/>
      <sheetName val="11a.2369"/>
      <sheetName val="11b.2302"/>
      <sheetName val="12.Revenue"/>
      <sheetName val="13.JobCost"/>
      <sheetName val="Ageing AR"/>
      <sheetName val="J (1420-Deposit)"/>
      <sheetName val="J (1490-Other AR)"/>
      <sheetName val="1881"/>
      <sheetName val="G-1.1(Art-23)"/>
      <sheetName val="G-1.2(VAT-in)"/>
      <sheetName val="1550-WIP"/>
      <sheetName val="2302.Accrued Tax"/>
      <sheetName val="2369.Accrued exp"/>
      <sheetName val="TICK MARK"/>
      <sheetName val="WB1"/>
      <sheetName val="Fixed Assets"/>
      <sheetName val="P Lead"/>
      <sheetName val="Prep exp. 2003"/>
      <sheetName val="NN1"/>
      <sheetName val="AP Cut off"/>
      <sheetName val="O 1 "/>
      <sheetName val="O3"/>
      <sheetName val="R Lead"/>
      <sheetName val="R1"/>
      <sheetName val="R2"/>
      <sheetName val="T 1"/>
      <sheetName val="T 2"/>
      <sheetName val="JAMSOSTEK"/>
      <sheetName val="Pensiun fund"/>
      <sheetName val="Interest Income details"/>
      <sheetName val="Associates"/>
      <sheetName val="BOM"/>
      <sheetName val="BOM USD"/>
      <sheetName val="Assc bu"/>
      <sheetName val="C. Lead"/>
      <sheetName val="C.1 Cash &amp; Bank"/>
      <sheetName val="C.2 Cash Clearing"/>
      <sheetName val="CC.Confirmation Control"/>
      <sheetName val="Doc"/>
      <sheetName val="Payroll"/>
      <sheetName val="Address"/>
      <sheetName val="PPh23"/>
      <sheetName val="BP 04"/>
      <sheetName val="23 Summary"/>
      <sheetName val="PPh26"/>
      <sheetName val="26 Summary"/>
      <sheetName val="SEWA TB"/>
      <sheetName val="Pvt"/>
      <sheetName val="Vat GL"/>
      <sheetName val="Prepaid GL"/>
      <sheetName val="Sales GL"/>
      <sheetName val="Pvt Rev"/>
      <sheetName val="GL Rev Nov"/>
      <sheetName val="Credit"/>
      <sheetName val="Subsequent 2005"/>
      <sheetName val="SAP Running Repair - Swakelola"/>
      <sheetName val="Anggaran 2006"/>
      <sheetName val="Movement 2006"/>
      <sheetName val="Rekap Running 2006"/>
      <sheetName val="Kartu Anggaran 2005"/>
      <sheetName val="Rekap Budget 2006 to be vouched"/>
      <sheetName val="data request SAP Running 2006"/>
      <sheetName val="SAP Running Repair"/>
      <sheetName val="COST N SUM"/>
      <sheetName val="Hasil Vouching"/>
      <sheetName val="WP-Panu'02"/>
      <sheetName val="inven"/>
      <sheetName val="Neraca 1"/>
      <sheetName val="Neraca 2"/>
      <sheetName val="Neraca per book"/>
      <sheetName val="P&amp;L per book"/>
      <sheetName val="P&amp;L detail per book"/>
      <sheetName val="Neraca detail per book"/>
      <sheetName val="Lain-lain detail per book"/>
      <sheetName val="XXXXXXXXXXX"/>
      <sheetName val="IS-USD"/>
      <sheetName val="IS-RP"/>
      <sheetName val="IS-USD Budget"/>
      <sheetName val="IS-USD Budget (Chart)"/>
      <sheetName val="IS-USD Budget (Chart) (2)"/>
      <sheetName val="IS-RP Budget"/>
      <sheetName val="IS-RP Budget (Chart)"/>
      <sheetName val="IS-RP Budget (Chart) (2)"/>
      <sheetName val="0702 - Backup IS Rp"/>
      <sheetName val="BS-USD"/>
      <sheetName val="BS-RP"/>
      <sheetName val="CadUU13"/>
      <sheetName val="Distribusi"/>
      <sheetName val="PPIP"/>
      <sheetName val="Fak UU13"/>
      <sheetName val="Tabel Rek Ind"/>
      <sheetName val="Tabel Rek Ing"/>
      <sheetName val="Mort"/>
      <sheetName val="Dapes"/>
      <sheetName val="Rkn Bdn GSL 08"/>
      <sheetName val="E-1-1"/>
      <sheetName val="Detail WBS - WPL"/>
      <sheetName val="C Cash in Bank"/>
      <sheetName val="C.6 Cut Off Cash"/>
      <sheetName val="Cut Off Cash"/>
      <sheetName val="Rekap FA kom (K-1)"/>
      <sheetName val="Tnh Bgn (K-1.1)"/>
      <sheetName val="Kend (K-1.2)"/>
      <sheetName val="Inv (K-1.3)"/>
      <sheetName val="ABJ (K-1.4)"/>
      <sheetName val="Penjualan (K-1.5)"/>
      <sheetName val="Rekap FA fis (K-2)"/>
      <sheetName val="Bgn (K-2.5)"/>
      <sheetName val="Kend (K-2.1)"/>
      <sheetName val="89-94 (K-2.1.1)"/>
      <sheetName val="95-00 (K-2.1.2)"/>
      <sheetName val="01-03 (K-2.1.3)"/>
      <sheetName val="BOKDR-04 (K-2.1.4)"/>
      <sheetName val="Inv (K-2.2)"/>
      <sheetName val="Inv HO (K-2.2.1)"/>
      <sheetName val="Inv BO (K-2.2.2)"/>
      <sheetName val="Inv 89-94 (K-2.2.3)"/>
      <sheetName val="ABJ fis (K-2.3)"/>
      <sheetName val="Penjualan (K-2.4)"/>
      <sheetName val="K-2.1.5"/>
      <sheetName val="GL Ytd 05"/>
      <sheetName val="ADMIN"/>
      <sheetName val="2h"/>
      <sheetName val="USD"/>
      <sheetName val="Top10-USD"/>
      <sheetName val="Top10-LC"/>
      <sheetName val="P-L Qtr"/>
      <sheetName val="Ratio"/>
      <sheetName val="KEY"/>
      <sheetName val="BSH (2)"/>
      <sheetName val="BSH"/>
      <sheetName val="HIT"/>
      <sheetName val="BS final"/>
      <sheetName val="fiscal pl"/>
      <sheetName val="WPComSummary"/>
      <sheetName val="RecPAybreport"/>
      <sheetName val="op.exp"/>
      <sheetName val="Selling"/>
      <sheetName val="G&amp;A"/>
      <sheetName val="Rec&amp;Payb-net"/>
      <sheetName val="Accruals"/>
      <sheetName val="SPT Masa_4(2) "/>
      <sheetName val="DBP_4(2)T&amp;B"/>
      <sheetName val="BP_4(2)T&amp;B "/>
      <sheetName val="SPT Masa"/>
      <sheetName val="DBP1"/>
      <sheetName val="DBP2"/>
      <sheetName val="DBP3"/>
      <sheetName val="DBP4"/>
      <sheetName val="DBP5"/>
      <sheetName val="DBP6"/>
      <sheetName val="DBP7"/>
      <sheetName val="DBP8"/>
      <sheetName val="DBP9"/>
      <sheetName val="Bukti Potong"/>
      <sheetName val="DPP"/>
      <sheetName val="GL 05"/>
      <sheetName val="BP 05"/>
      <sheetName val="Worksheet_03"/>
      <sheetName val="WP-SP-04"/>
      <sheetName val="CRJE-04"/>
      <sheetName val="G-3.1"/>
      <sheetName val="FA Reg"/>
      <sheetName val="Att N-1"/>
      <sheetName val="N-3"/>
      <sheetName val="Revenue cut-off"/>
      <sheetName val="EE "/>
      <sheetName val="XX"/>
      <sheetName val="Perhitungan def. tax"/>
      <sheetName val="WP_SP_04"/>
      <sheetName val="Memo BS Sby&amp; G&amp;U"/>
      <sheetName val="Memo Uang Muka"/>
      <sheetName val="REKAP Ptgngjwbn BS"/>
      <sheetName val="Vouch BS"/>
      <sheetName val="25 ND aja"/>
      <sheetName val="Memo Affiliasi"/>
      <sheetName val="ia"/>
      <sheetName val="memo Jaminan UM"/>
      <sheetName val="memo gENERAL&amp; Poijt TO dO"/>
      <sheetName val="100000000"/>
      <sheetName val="Predictive Depreciation Expense"/>
      <sheetName val="K-Mutation"/>
      <sheetName val="Fixed Assets Fiscal FY 2003"/>
      <sheetName val="Fixed Assets Fiscal-master"/>
      <sheetName val="Predict.Insurance Exp &amp; Assets"/>
      <sheetName val="Predict.Rental Exp &amp; Assets"/>
      <sheetName val="Predict.Office Exp &amp; Assets"/>
      <sheetName val="Handling"/>
      <sheetName val="List AP"/>
      <sheetName val="Pre. exp_TO G 1-3"/>
      <sheetName val="I baru"/>
      <sheetName val="fa_fiskal"/>
      <sheetName val="PAJE-PRJE-CAJE"/>
      <sheetName val="P&amp;LFromSUN"/>
      <sheetName val="P&amp;LCalculation"/>
      <sheetName val="J001"/>
      <sheetName val="EXPLJ102"/>
      <sheetName val="CSDTYTD"/>
      <sheetName val="Ls_AgXLB_WorkbookFile"/>
      <sheetName val="TB98_oct99_sap99_WPL"/>
      <sheetName val="TB98,oct99&amp;sap99-WPL"/>
      <sheetName val="PL98"/>
      <sheetName val="ssdh NI"/>
      <sheetName val="sblm NI"/>
      <sheetName val="3. Neraca dan RL"/>
      <sheetName val="Mei 2007"/>
      <sheetName val="C-2-1"/>
      <sheetName val="C-2-2"/>
      <sheetName val="C-3"/>
      <sheetName val="L-1"/>
      <sheetName val="L-2"/>
      <sheetName val="L-3"/>
      <sheetName val="N-1.1"/>
      <sheetName val="N-1.2"/>
      <sheetName val="UA-1"/>
      <sheetName val="VA"/>
      <sheetName val="VD"/>
      <sheetName val="Revmari"/>
      <sheetName val="Commsize"/>
      <sheetName val="Fixset"/>
      <sheetName val="Amort"/>
      <sheetName val="Financing"/>
      <sheetName val="Timedepo"/>
      <sheetName val="Valuation"/>
      <sheetName val="Penambahan - Gedung"/>
      <sheetName val="Penambahan - Komputer"/>
      <sheetName val="Penambahan - Office Equipment"/>
      <sheetName val="Penjualan - Computer"/>
      <sheetName val="Penjualan - Office Equipment"/>
      <sheetName val="NR'07"/>
      <sheetName val="RL'07"/>
      <sheetName val="POMALAA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GL to Audited"/>
      <sheetName val="Other corrections"/>
      <sheetName val=" art.21 recons"/>
      <sheetName val="Withholdings Recons"/>
      <sheetName val="Tax Credits"/>
      <sheetName val="Depr(E)"/>
      <sheetName val="Add FA"/>
      <sheetName val="Add(E)"/>
      <sheetName val="disposal"/>
      <sheetName val="Provisi -tax"/>
      <sheetName val="Prov(E)"/>
      <sheetName val="Write-off"/>
      <sheetName val="WO(E)"/>
      <sheetName val="List of NPL"/>
      <sheetName val="NPL(E)"/>
      <sheetName val="Grey"/>
      <sheetName val="BSPL,etc"/>
      <sheetName val="bspl(E)"/>
      <sheetName val="Fiscal Adjustments"/>
      <sheetName val="Daftar lampiran"/>
      <sheetName val="List Att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E-1771-VI"/>
      <sheetName val="FI-1771-VI"/>
      <sheetName val="Rules"/>
      <sheetName val="Permanent info"/>
      <sheetName val="F1771"/>
      <sheetName val="F1771-I"/>
      <sheetName val="F1771-II"/>
      <sheetName val="F1771-III"/>
      <sheetName val="F1771-IV"/>
      <sheetName val="F1771-V"/>
      <sheetName val="Komisaris"/>
      <sheetName val="FB"/>
      <sheetName val="Reconciliation"/>
      <sheetName val="shareholders"/>
      <sheetName val="disp calc"/>
      <sheetName val="FA List"/>
      <sheetName val="Depresiasi"/>
      <sheetName val="Depreciation RBW"/>
      <sheetName val="F1771-6"/>
      <sheetName val="Attachement"/>
      <sheetName val="other adj"/>
      <sheetName val="COGS adjustment"/>
      <sheetName val="list FA"/>
      <sheetName val="penyusutan (E)"/>
      <sheetName val="Summary fiscal depr(E)"/>
      <sheetName val="Summary fiscal depr(I)"/>
      <sheetName val="ANTA"/>
      <sheetName val="BMRI"/>
      <sheetName val="BBCA"/>
      <sheetName val="DVLAN"/>
      <sheetName val="DYNA-N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JUAL"/>
      <sheetName val="PORTO 19 JUL"/>
      <sheetName val="N-ISAT"/>
      <sheetName val="ISAT"/>
      <sheetName val="ASGR-N"/>
      <sheetName val="PRELIMINARIES"/>
      <sheetName val="GONDOLA"/>
      <sheetName val="PEK.TAMBAH KURANG"/>
      <sheetName val="BIAYA CADANGAN"/>
      <sheetName val="REKAPITULASI AKHIR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PERTANYAAN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K.TambahAC"/>
      <sheetName val="FH"/>
      <sheetName val="K.TambahFH"/>
      <sheetName val="valve 16k"/>
      <sheetName val="ASS-PL"/>
      <sheetName val="Fitting"/>
      <sheetName val="ELEKTRIKAL"/>
      <sheetName val="Dafmat"/>
      <sheetName val="Pompa"/>
      <sheetName val="Ven Fan"/>
      <sheetName val="valve-20k"/>
      <sheetName val="valve-10k"/>
      <sheetName val="BOLT-DATA"/>
      <sheetName val="BOLT"/>
      <sheetName val="MU"/>
      <sheetName val="Analisa Str+Ars"/>
      <sheetName val="Bhn cost"/>
      <sheetName val="Sub cost"/>
      <sheetName val="Sub"/>
      <sheetName val="Alat cost"/>
      <sheetName val="anl"/>
      <sheetName val="rap"/>
      <sheetName val="spek"/>
      <sheetName val="altok"/>
      <sheetName val="bumok"/>
      <sheetName val="altprec"/>
      <sheetName val="bumprec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KOP"/>
      <sheetName val="HRG BHN"/>
      <sheetName val="ANALS ARS"/>
      <sheetName val="ANALS KY"/>
      <sheetName val="ANALS ME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AGENDA"/>
      <sheetName val="LUAS LANTAI"/>
      <sheetName val="Cover1"/>
      <sheetName val="DataTeknis1"/>
      <sheetName val="Luas Gedung1"/>
      <sheetName val="CAT_HRG"/>
      <sheetName val="Prelim"/>
      <sheetName val="Bag_1"/>
      <sheetName val="DAF_1"/>
      <sheetName val="DAF_2 "/>
      <sheetName val="DAF_3"/>
      <sheetName val="DAF_4"/>
      <sheetName val="DAF_5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ana"/>
      <sheetName val="DATA CENTER"/>
      <sheetName val="OFFICE 4 LT"/>
      <sheetName val="OFFICE 2 LT"/>
      <sheetName val="Rekapi"/>
      <sheetName val="Bul"/>
      <sheetName val="Subkont"/>
      <sheetName val="Upah1"/>
      <sheetName val="Bang A"/>
      <sheetName val="Bang B"/>
      <sheetName val="Sarana"/>
      <sheetName val="Asrama"/>
      <sheetName val="Utility"/>
      <sheetName val="Kamar"/>
      <sheetName val="HdSheet"/>
      <sheetName val="Deskrip"/>
      <sheetName val="luas"/>
      <sheetName val="BQ-1A"/>
      <sheetName val="eskal"/>
      <sheetName val="Dom "/>
      <sheetName val="BQ_1A"/>
      <sheetName val="floor"/>
      <sheetName val="wall"/>
      <sheetName val="ceiling"/>
      <sheetName val="dw"/>
      <sheetName val="rate (3)"/>
      <sheetName val="rate (2)"/>
      <sheetName val="unit rate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B _ Norelec"/>
      <sheetName val="VAC "/>
      <sheetName val="LIS"/>
      <sheetName val="EF "/>
      <sheetName val="TLP&amp;DATA "/>
      <sheetName val="SS&amp;MATV"/>
      <sheetName val="CCTV"/>
      <sheetName val="AHS- AC"/>
      <sheetName val="AHS-EE"/>
      <sheetName val="AHS-EL"/>
      <sheetName val="ahs-pipa"/>
      <sheetName val="ahs-Gate Valve "/>
      <sheetName val="RekapITULASI "/>
      <sheetName val="Rekap_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TAMBAH KURANG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SNI"/>
      <sheetName val="Analisa jalan"/>
      <sheetName val="Analisa non standar"/>
      <sheetName val="Analisa Pintu"/>
      <sheetName val="Analisa Preliminary "/>
      <sheetName val="ASRAMA (C)"/>
      <sheetName val="REKTORAT (A)"/>
      <sheetName val="WORKSHOP (H)"/>
      <sheetName val="GENSET,POMPA &amp; GROUNDTANK (K)"/>
      <sheetName val="R.KOMPRESOR"/>
      <sheetName val="POS JAGA"/>
      <sheetName val="harga sat.bhn"/>
      <sheetName val="analisa bhn&amp;upah"/>
      <sheetName val="listrik"/>
      <sheetName val="tt-suara"/>
      <sheetName val="telp"/>
      <sheetName val="tt-udr"/>
      <sheetName val="hdrant"/>
      <sheetName val="REKAP CIVIL &amp; ME"/>
      <sheetName val="Penjumlahan"/>
      <sheetName val="Cover depan"/>
      <sheetName val="cover(PJML)"/>
      <sheetName val="Cover (1)"/>
      <sheetName val="Cover (3)"/>
      <sheetName val="COVER (4)"/>
      <sheetName val="REKAP ELEKTRIKAL"/>
      <sheetName val="TELEPON"/>
      <sheetName val="SOUND"/>
      <sheetName val="F ALARM"/>
      <sheetName val="BAS"/>
      <sheetName val="GENSET"/>
      <sheetName val="TRAFO"/>
      <sheetName val="REKAP MEKANIKAL"/>
      <sheetName val="ELEVATOR"/>
      <sheetName val="HYDRANT"/>
      <sheetName val="SPRINKLER"/>
      <sheetName val="SS"/>
      <sheetName val="MATV"/>
      <sheetName val="Elv"/>
      <sheetName val="Traf&amp;Genst"/>
      <sheetName val="COV2.4 "/>
      <sheetName val="D2.4"/>
      <sheetName val="COV3.3"/>
      <sheetName val="D3-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01A- RAB"/>
      <sheetName val="1A RKAB TTL"/>
      <sheetName val="01A- RAB (ars)"/>
      <sheetName val="FINISHING"/>
      <sheetName val="HALAMAN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Lingkup"/>
      <sheetName val="STR-ARS"/>
      <sheetName val="Cover Daf-2"/>
      <sheetName val="Cover Daf-2 (2)"/>
      <sheetName val="BQ Daf-2"/>
      <sheetName val="MISC"/>
      <sheetName val="BLN"/>
      <sheetName val="GSK"/>
      <sheetName val="Mark Up DK 1"/>
      <sheetName val="Mark Up C 8"/>
      <sheetName val="Kondisi"/>
      <sheetName val="Evaluasi Ang"/>
      <sheetName val="sumEXL"/>
      <sheetName val="Rekap Ang"/>
      <sheetName val="Prelim Extr"/>
      <sheetName val="BreakD Prelim"/>
      <sheetName val="Sched Man Power"/>
      <sheetName val="CM Temp Office"/>
      <sheetName val="Over Time"/>
      <sheetName val="390MC-PS"/>
      <sheetName val="Fee Coord"/>
      <sheetName val="NSC"/>
      <sheetName val="Provisi"/>
      <sheetName val="Sum BUL &amp; Alat"/>
      <sheetName val="sched alat"/>
      <sheetName val="Scafolding"/>
      <sheetName val="Sewa Alat"/>
      <sheetName val="GFA "/>
      <sheetName val="TC"/>
      <sheetName val="DafProyek"/>
      <sheetName val="Bul (2)"/>
      <sheetName val="Alt (2)"/>
      <sheetName val="DafAlt"/>
      <sheetName val="SPH"/>
      <sheetName val="mu rev"/>
      <sheetName val="simak"/>
      <sheetName val="MPU"/>
      <sheetName val="uraian teknis"/>
      <sheetName val="Met-Tek"/>
      <sheetName val="Sc Bahan"/>
      <sheetName val="Man Power"/>
      <sheetName val="O&amp;O-Alat"/>
      <sheetName val="Sc Alat"/>
      <sheetName val="RENC MUTU"/>
      <sheetName val="TS (2)"/>
      <sheetName val="Jadwal (2)"/>
      <sheetName val="Personil"/>
      <sheetName val="Sch Person"/>
      <sheetName val="Daftar Alat"/>
      <sheetName val="Konf"/>
      <sheetName val="Anal Mob"/>
      <sheetName val="lalu lintas"/>
      <sheetName val="Pemel Rutin"/>
      <sheetName val="Subkontrak"/>
      <sheetName val="girder 1"/>
      <sheetName val="girder 2"/>
      <sheetName val="BGS"/>
      <sheetName val="Met-Tek (2)"/>
      <sheetName val="FIRE FIGHTING"/>
      <sheetName val="COV_UTAMA"/>
      <sheetName val="PENJUMLAHAN TOTAL"/>
      <sheetName val="COV_ 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PLB-Basement 2.8.2-R1"/>
      <sheetName val="harsat"/>
      <sheetName val="analisys"/>
      <sheetName val="unit_rate_works"/>
      <sheetName val="dewatering"/>
      <sheetName val="sparing"/>
      <sheetName val="ALT_MBT"/>
      <sheetName val="rekap_ana"/>
      <sheetName val="ALT_1"/>
      <sheetName val="Dashboard"/>
      <sheetName val="rekab"/>
      <sheetName val="rekab Point"/>
      <sheetName val="RAB POINT"/>
      <sheetName val="Ana Beton"/>
      <sheetName val="Ana Sanitair"/>
      <sheetName val="analisa Str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ATK"/>
      <sheetName val="Perlengkapan ktr"/>
      <sheetName val="Bea Lap"/>
      <sheetName val="Safety_QC"/>
      <sheetName val="Resiko Manajemen"/>
      <sheetName val="Rekap "/>
      <sheetName val="Termin "/>
      <sheetName val="Prelim versi Fidic davis langd"/>
      <sheetName val="Currency Rate"/>
      <sheetName val="Cover_Luar"/>
      <sheetName val="PEKERJAAN PERSIAPAN"/>
      <sheetName val="LAIN-LAIN "/>
      <sheetName val="Catatan Harga"/>
      <sheetName val="PANEL TM "/>
      <sheetName val="KABEL TM "/>
      <sheetName val="PENTANAHAN"/>
      <sheetName val="KABEL LADDER"/>
      <sheetName val="Isolasi Luar"/>
      <sheetName val="Isolasi Luar Dalam"/>
      <sheetName val="DAFTAR NO_1_PRELIM"/>
      <sheetName val="DAFTAR NO_2 PEK_ ELEKTRIKAL"/>
      <sheetName val="Trafo &amp; Pan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reambul"/>
      <sheetName val="326CHEL"/>
      <sheetName val="analisa listrik"/>
      <sheetName val="Harga Satuan Bahan"/>
      <sheetName val="hrst upah"/>
      <sheetName val="analisa hrst elektrik"/>
      <sheetName val="Markup"/>
      <sheetName val="ME RR1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DHSB"/>
      <sheetName val="COVER2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3-2"/>
      <sheetName val="D3-1"/>
      <sheetName val="Cover-depan"/>
      <sheetName val="H.Satuan"/>
      <sheetName val="SAP"/>
      <sheetName val="Eva Spek"/>
      <sheetName val="LP-CRT"/>
      <sheetName val="daf-3(OK)"/>
      <sheetName val="daf-7(OK)"/>
      <sheetName val="SITE-E"/>
      <sheetName val="lamp-d"/>
      <sheetName val="Foundation"/>
      <sheetName val="CONSUMABLE"/>
      <sheetName val="Steel-Twr"/>
      <sheetName val="BAG-III"/>
      <sheetName val="Eva_Spek"/>
      <sheetName val="Harga_Satuan"/>
      <sheetName val="BQ ARS"/>
      <sheetName val="Kolom"/>
      <sheetName val="ESCON"/>
      <sheetName val="daf_3_OK_"/>
      <sheetName val="daf_7_OK_"/>
      <sheetName val="DAF_2"/>
      <sheetName val="Daf 1"/>
      <sheetName val="Lead Sch"/>
      <sheetName val="Lead Schedule"/>
      <sheetName val="Ws Jul-2004"/>
      <sheetName val="AJE (2)"/>
      <sheetName val="Neraca "/>
      <sheetName val="Neraca  (2)"/>
      <sheetName val="Laba Rugi "/>
      <sheetName val="CF (2)"/>
      <sheetName val="NOTE7"/>
      <sheetName val="NOTE8"/>
      <sheetName val="WBS &amp; WPL"/>
      <sheetName val="PAJE FIXED ASSET"/>
      <sheetName val="MATERIALITY - PL"/>
      <sheetName val="MATERIALITY - BS"/>
      <sheetName val="PREPAID ADJUSTMENT"/>
      <sheetName val="AR -OTHER"/>
      <sheetName val="OTHER ASSET"/>
      <sheetName val="ACCRUED EXPENSE"/>
      <sheetName val="DEFFERED TAXES"/>
      <sheetName val="NONOPEX"/>
      <sheetName val="PROGRESS"/>
      <sheetName val="AWP "/>
      <sheetName val="MATERIALITY "/>
      <sheetName val="Financial Ratios"/>
      <sheetName val="TEST FOR UNRECORDED AR"/>
      <sheetName val="STOT FIXED ASSET"/>
      <sheetName val="FA LISTING (PBC)"/>
      <sheetName val="REASONABLESS TEST"/>
      <sheetName val="SUBSTANTIF FIXED ASSET"/>
      <sheetName val="Asuransi kendaraan"/>
      <sheetName val="TEST FOR UNRECORDED AP"/>
      <sheetName val="PAYROLL DATA"/>
      <sheetName val="PAYROLL FLUCS"/>
      <sheetName val="sample 1"/>
      <sheetName val="SUBSTANTIV SALES"/>
      <sheetName val="PENGHASILAN DEPOSIT"/>
      <sheetName val="ANLS"/>
      <sheetName val="vouching"/>
      <sheetName val="REKALKULASI U. PEND. JASA GIRO"/>
      <sheetName val="manfaat"/>
      <sheetName val="BOP"/>
      <sheetName val="DATA KRY"/>
      <sheetName val="PORMAT"/>
      <sheetName val="G A J I"/>
      <sheetName val="PK.KERJA"/>
      <sheetName val="THR"/>
      <sheetName val="PENSIUN"/>
      <sheetName val="T. KONSUMSI"/>
      <sheetName val="ASTEK"/>
      <sheetName val="PENGOBATAN"/>
      <sheetName val="REKREASI"/>
      <sheetName val="PENDIDIKAN"/>
      <sheetName val="PERJ. DNS"/>
      <sheetName val="ADM KTR"/>
      <sheetName val="EKS.UMUM"/>
      <sheetName val="TRANSPORT"/>
      <sheetName val="TELPON"/>
      <sheetName val="SEWA KTR-RMH"/>
      <sheetName val="AS. AKTIVA"/>
      <sheetName val="KONS-RISET"/>
      <sheetName val="RAPAT"/>
      <sheetName val="PEM.KTR"/>
      <sheetName val="PEM. KEND"/>
      <sheetName val="PEM.INVENT"/>
      <sheetName val="PEM. RM.DNS"/>
      <sheetName val="IZIN-PBB"/>
      <sheetName val="ENTERTAINT"/>
      <sheetName val="SUMBANGAN"/>
      <sheetName val="IKLAN"/>
      <sheetName val="PROMOSI"/>
      <sheetName val="PROSPEK"/>
      <sheetName val="FEE PENJ."/>
      <sheetName val="PENAGIHAN"/>
      <sheetName val="BY.USED CAR"/>
      <sheetName val="PENY.BGN"/>
      <sheetName val="PENY.RM DNS"/>
      <sheetName val="PENY. KEND"/>
      <sheetName val="PENY.BENGKEL-GDG"/>
      <sheetName val="PENY. INV"/>
      <sheetName val="BEBAN BUNGA"/>
      <sheetName val="ADM.BANK"/>
      <sheetName val="ZAKAT"/>
      <sheetName val="ONH"/>
      <sheetName val="PD.ADM JUAL"/>
      <sheetName val="PD.BABIT"/>
      <sheetName val="PD. BUNGA"/>
      <sheetName val="PD.DPST"/>
      <sheetName val="PD. PNJ SMT"/>
      <sheetName val="PD.JASA GIRO"/>
      <sheetName val="PD.CL AS"/>
      <sheetName val="PD. CAB"/>
      <sheetName val="PD.SEWA"/>
      <sheetName val="PD.HD FEE"/>
      <sheetName val="PD. PRV.FID"/>
      <sheetName val="FD. DEPOSIT"/>
      <sheetName val="PD. INSENTIF"/>
      <sheetName val="Daf_Isi"/>
      <sheetName val="Jrnl_Umum"/>
      <sheetName val="Nerc_Perc"/>
      <sheetName val="Sum_CoA"/>
      <sheetName val="Buku Besar "/>
      <sheetName val="Laba_Rugi"/>
      <sheetName val="Budget_Real"/>
      <sheetName val="Voucer"/>
      <sheetName val="Buku_Besar"/>
      <sheetName val="Penj_Nerc"/>
      <sheetName val="Sts_Sales"/>
      <sheetName val="EXP"/>
      <sheetName val="SDM"/>
      <sheetName val="SDM (2)"/>
      <sheetName val="LAP-BLN DES2003"/>
      <sheetName val="REKAP APBD"/>
      <sheetName val="REKAP KOTOR"/>
      <sheetName val="arab"/>
      <sheetName val="ORG-CHART"/>
      <sheetName val="Ana-prel"/>
      <sheetName val="326BQSMB"/>
      <sheetName val="326BQSCC"/>
      <sheetName val="326BQSCF"/>
      <sheetName val="Hargamat"/>
      <sheetName val="APPENDIX-G"/>
      <sheetName val="APPENDIX-G table 2"/>
      <sheetName val="ARAP"/>
      <sheetName val="MOBILISASI"/>
      <sheetName val="DAF.ALAT"/>
      <sheetName val="SRT PENAWARAN"/>
      <sheetName val="MPU-2"/>
      <sheetName val="Pealatan"/>
      <sheetName val="CV TAWAR (3)"/>
      <sheetName val="penawaran 11 jan 05"/>
      <sheetName val="jadwal (3)"/>
      <sheetName val="REKAP 3"/>
      <sheetName val="RAB (3)"/>
      <sheetName val="ARAB (3)"/>
      <sheetName val="BAHAN (3)"/>
      <sheetName val="DAF.ALAT (3)"/>
      <sheetName val="SRT"/>
      <sheetName val="CV TAWAR (2)"/>
      <sheetName val="METODHE"/>
      <sheetName val="jadwal"/>
      <sheetName val="ARAB (2)"/>
      <sheetName val="BAHAN (2)"/>
      <sheetName val="har-sat"/>
      <sheetName val="mos"/>
      <sheetName val="Anl-Teknik"/>
      <sheetName val="staf"/>
      <sheetName val="komponen"/>
      <sheetName val="Rekap-RAP"/>
      <sheetName val="bq-rap"/>
      <sheetName val="anl-rap"/>
      <sheetName val="MarcUp"/>
      <sheetName val="hotmix"/>
      <sheetName val="CV-TAWAR"/>
      <sheetName val="RAB STR REV LANDSCAPE"/>
      <sheetName val="Jml-Tot"/>
      <sheetName val="STR-TP"/>
      <sheetName val="Pondasi-TP"/>
      <sheetName val="REKAP REV"/>
      <sheetName val="RAB ME REV"/>
      <sheetName val="RAB STR REV "/>
      <sheetName val="NWP"/>
      <sheetName val="RAB STR"/>
      <sheetName val="RAB ME"/>
      <sheetName val="vol pek"/>
      <sheetName val="PILE CAP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ALAT"/>
      <sheetName val="SCHEDULE PERSONIL"/>
      <sheetName val="SCHEDULE BAHAN"/>
      <sheetName val="vol pek (2)"/>
      <sheetName val="penawaran"/>
      <sheetName val="daftar hsp"/>
      <sheetName val="iktisar kusus"/>
      <sheetName val="H Satuan Dasar"/>
      <sheetName val="Analisa Teknik"/>
      <sheetName val="Analisa RAB"/>
      <sheetName val="R.A.B."/>
      <sheetName val="SCEDULE"/>
      <sheetName val="Rangking"/>
      <sheetName val="BAGAN"/>
      <sheetName val="LAMP PENWR"/>
      <sheetName val="SP ASTEK"/>
      <sheetName val="SubKon "/>
      <sheetName val="HASAT PEK"/>
      <sheetName val="RAB-Add"/>
      <sheetName val="HASAT DASAR"/>
      <sheetName val="Tawar"/>
      <sheetName val="REF.ONLY"/>
      <sheetName val="****00"/>
      <sheetName val="LCATAL"/>
      <sheetName val="FG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upahbahan"/>
      <sheetName val="fin-kab"/>
      <sheetName val="DAFTAR BESI"/>
      <sheetName val="REKAP TOTAL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REQDELTA"/>
      <sheetName val="Shorts"/>
      <sheetName val="NYATDOK"/>
      <sheetName val="DATAADM"/>
      <sheetName val="IJINUSAHA"/>
      <sheetName val="SBU"/>
      <sheetName val="AKTE"/>
      <sheetName val="PENGURUS"/>
      <sheetName val="KEUANGAN"/>
      <sheetName val="PLMJBT"/>
      <sheetName val="Analisa HS"/>
      <sheetName val="BQFA"/>
      <sheetName val="FACP"/>
      <sheetName val="CostFA"/>
      <sheetName val="instalFA"/>
      <sheetName val="Ind-Cost"/>
      <sheetName val="I-Cost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HRG ALAT"/>
      <sheetName val="ANL LS"/>
      <sheetName val="REKAP RAB BARU 11 Jan 05 "/>
      <sheetName val="RAB BARU 11 Jan 05"/>
      <sheetName val="REKAP STR"/>
      <sheetName val="BQ-Struktur MB"/>
      <sheetName val="REKAP ARS"/>
      <sheetName val="Rekap A. Emergency"/>
      <sheetName val="A. Emergency"/>
      <sheetName val="Rekap B. Laboratory"/>
      <sheetName val="B. Laboratory"/>
      <sheetName val="Rekap C. Radiology"/>
      <sheetName val="C. Radiology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ekap ME"/>
      <sheetName val="RAB MK all MB rofiq"/>
      <sheetName val="RAB ELEKTRIKAL rofiq"/>
      <sheetName val="ELECTRIC-MB"/>
      <sheetName val="Alat-P"/>
      <sheetName val="RAB Arsitektural"/>
      <sheetName val="C5.2"/>
      <sheetName val="C6.1"/>
      <sheetName val="C6.2"/>
      <sheetName val="TOC Retro Jiwa"/>
      <sheetName val="TOC Retro Fac"/>
      <sheetName val="TOC Retro XOL"/>
      <sheetName val="J - Pajak Dibayar Dimuka"/>
      <sheetName val="Symbol"/>
      <sheetName val="RL-3"/>
      <sheetName val="PENJ NERACA"/>
      <sheetName val="TM &amp; TBM"/>
      <sheetName val="HTG ESTATE"/>
      <sheetName val="HTG PKS"/>
      <sheetName val="RINC-RL,18,19"/>
      <sheetName val="PENJUALAN 2006"/>
      <sheetName val="RINC-HPP21,22,23"/>
      <sheetName val="HPPENJ-24"/>
      <sheetName val="HITUNG-HPP,25"/>
      <sheetName val="CRJ-01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FARM "/>
      <sheetName val="SUPPLIER"/>
      <sheetName val="OM"/>
      <sheetName val="T5"/>
      <sheetName val="T4"/>
      <sheetName val="VROON"/>
      <sheetName val="L107"/>
      <sheetName val="ISMY"/>
      <sheetName val="TO"/>
      <sheetName val="OD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Ford Options"/>
      <sheetName val="HPP audit"/>
      <sheetName val="RL"/>
      <sheetName val="EK"/>
      <sheetName val="Kas dan Bank"/>
      <sheetName val="Investasi Saham"/>
      <sheetName val="Tanaman Perkebunan "/>
      <sheetName val="Tanaman Perkebunan 2"/>
      <sheetName val="List Inventory"/>
      <sheetName val="Perpajakan"/>
      <sheetName val="Hutang Usaha"/>
      <sheetName val="HU"/>
      <sheetName val="Hutang Lain2 HI"/>
      <sheetName val="Hutang Jangka Pjg"/>
      <sheetName val="Biaya yg msh hrs dibayar"/>
      <sheetName val="PEB"/>
      <sheetName val="OLT"/>
      <sheetName val="PEB &amp; OLT"/>
      <sheetName val="LAP-PENJ"/>
      <sheetName val="Beban Pokok Pend."/>
      <sheetName val="Penghasilan B.Lain-lain"/>
      <sheetName val="Tran. Hub. Istimewa"/>
      <sheetName val="Analytical Review Okt 31, 2008"/>
      <sheetName val="8600.05"/>
      <sheetName val="8600.10"/>
      <sheetName val="8600.10-1 "/>
      <sheetName val="8600.10-1.1"/>
      <sheetName val="8600.10-2"/>
      <sheetName val="8600.10-3"/>
      <sheetName val="8600.10-4"/>
      <sheetName val="8600.10-5"/>
      <sheetName val="8600.10-6"/>
      <sheetName val="8600.10-7"/>
      <sheetName val="TOT Admin Expense"/>
      <sheetName val="Vouching Opex"/>
      <sheetName val="mazda"/>
      <sheetName val="chery"/>
      <sheetName val="hino gubeng"/>
      <sheetName val="hino kletek"/>
      <sheetName val="HINO MALANG"/>
      <sheetName val="HINO GRESIK"/>
      <sheetName val="PRT_MLG"/>
      <sheetName val="prt"/>
      <sheetName val="GRESIK Mar_08"/>
      <sheetName val="GRESIK Mar_08 _2_"/>
      <sheetName val="GRESIK Apr_08 _2_"/>
      <sheetName val="GRESIK Mei_08 _3_"/>
      <sheetName val="GRESIK Juni_08 _4_"/>
      <sheetName val="akumulasi mar_jun_08"/>
      <sheetName val="GRESIK Juli_08 "/>
      <sheetName val="GRESIK Agusts_08 "/>
      <sheetName val="GRESIK September_08 _"/>
      <sheetName val="GRESIK Oktober_08 "/>
      <sheetName val="GRESIK AK JanOktober_08 "/>
      <sheetName val="GRESIK November_08  "/>
      <sheetName val="GRESIK Desember_08  "/>
      <sheetName val="GRESIK AK Jan-Des_08 "/>
      <sheetName val="rekonsel per bln"/>
      <sheetName val="rekonsel akumulasi"/>
      <sheetName val="10 Memo"/>
      <sheetName val="10 Lead"/>
      <sheetName val="10.1 Sales per customer"/>
      <sheetName val="Local per product"/>
      <sheetName val="10.2 Sales per product "/>
      <sheetName val="10.3 Cut-off test"/>
      <sheetName val="10.4 Sales Reasonable Test"/>
      <sheetName val="export per product"/>
      <sheetName val="export original"/>
      <sheetName val="local original"/>
      <sheetName val="10.5 Sales with Daily Kurs"/>
      <sheetName val="10.6 Sales Local"/>
      <sheetName val="10.7 Sales Export"/>
      <sheetName val="Kurs $ 2005"/>
      <sheetName val="8500.05"/>
      <sheetName val="8510.05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CAPITAL"/>
      <sheetName val="DEF.CHARGES"/>
      <sheetName val="INVENTORY"/>
      <sheetName val="Detail CIP"/>
      <sheetName val="INTERCO"/>
      <sheetName val="Ex_Rate"/>
      <sheetName val="Customize Work Program"/>
      <sheetName val="HOSept"/>
      <sheetName val="YTDS&amp;D"/>
      <sheetName val="Sept02"/>
      <sheetName val="1505-99"/>
      <sheetName val="1505-02"/>
      <sheetName val="CIP-Capco-1505-03"/>
      <sheetName val="1505-03 "/>
      <sheetName val="PL-Equator"/>
      <sheetName val="BS-Equator (2)"/>
      <sheetName val="oret2an"/>
      <sheetName val="railing"/>
      <sheetName val="anal-1-4"/>
      <sheetName val="anal-5"/>
      <sheetName val="anal-6"/>
      <sheetName val="61004"/>
      <sheetName val="61005"/>
      <sheetName val="61006"/>
      <sheetName val="61007"/>
      <sheetName val="61008"/>
      <sheetName val="mapp"/>
      <sheetName val="boq"/>
      <sheetName val="opow"/>
      <sheetName val="anal-1"/>
      <sheetName val="antek"/>
      <sheetName val="oret"/>
      <sheetName val="RKP-DKH"/>
      <sheetName val="DKH-BP07"/>
      <sheetName val="RKP-DKH-UPRT"/>
      <sheetName val="DKH-BP07-UPRT"/>
      <sheetName val="DKH-BP07C"/>
      <sheetName val="LAMP"/>
      <sheetName val="ANAL-2"/>
      <sheetName val="DAKON"/>
      <sheetName val="ap-12a"/>
      <sheetName val="ap-12b"/>
      <sheetName val="ap-12c"/>
      <sheetName val="DB"/>
      <sheetName val="RKPANAL"/>
      <sheetName val="TANYA"/>
      <sheetName val="BREAKSTRUKTUR"/>
      <sheetName val="TEST"/>
      <sheetName val="ANALBETON"/>
      <sheetName val="teknis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anking %"/>
      <sheetName val="rkp-map"/>
      <sheetName val="map-jo-koreksi"/>
      <sheetName val="evaluasi"/>
      <sheetName val="map-jo"/>
      <sheetName val="sepakat"/>
      <sheetName val="rkp2"/>
      <sheetName val="ANTEK-1"/>
      <sheetName val="ANTEK-2"/>
      <sheetName val="ANTEK3"/>
      <sheetName val="IDC"/>
      <sheetName val="RIGID"/>
      <sheetName val="RKP-DB"/>
      <sheetName val="DASBOARD"/>
      <sheetName val="ANAL-MPU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RKP-BOQ"/>
      <sheetName val="DAFT-MPU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ANAL"/>
      <sheetName val="RKP-ANAL"/>
      <sheetName val="SKDL"/>
      <sheetName val="basic"/>
      <sheetName val="data-1"/>
      <sheetName val="data-2"/>
      <sheetName val="RECORD"/>
      <sheetName val="anal-mob"/>
      <sheetName val="produk"/>
      <sheetName val="div7-1"/>
      <sheetName val="div7-2"/>
      <sheetName val="dt-1"/>
      <sheetName val="dt-2"/>
      <sheetName val="dt-3"/>
      <sheetName val="dt-5"/>
      <sheetName val="RAB-HUSEIN"/>
      <sheetName val="DKH"/>
      <sheetName val="APP-12"/>
      <sheetName val="APP-12b"/>
      <sheetName val="APP-12c"/>
      <sheetName val="GANTI"/>
      <sheetName val="coba"/>
      <sheetName val="Surat"/>
      <sheetName val="JO"/>
      <sheetName val="Kuant&amp;Harga"/>
      <sheetName val="Har Sat"/>
      <sheetName val="lamp1"/>
      <sheetName val="lamp2"/>
      <sheetName val="lamp3a"/>
      <sheetName val="lamp4ae"/>
      <sheetName val="Lamp5"/>
      <sheetName val="LAMP7"/>
      <sheetName val="Metoda"/>
      <sheetName val="CV Teknik"/>
      <sheetName val="Struk Org Proy"/>
      <sheetName val="DafPerson"/>
      <sheetName val="604"/>
      <sheetName val="605"/>
      <sheetName val="606"/>
      <sheetName val="H-SAT"/>
      <sheetName val="610.04"/>
      <sheetName val="610.05"/>
      <sheetName val="610.06"/>
      <sheetName val="610.07A"/>
      <sheetName val="610.08"/>
      <sheetName val="Angkut material"/>
      <sheetName val="BAU"/>
      <sheetName val="Rupa2"/>
      <sheetName val="SPJ"/>
      <sheetName val="Galian Biasa"/>
      <sheetName val="Galian batu"/>
      <sheetName val="Urugan biasa"/>
      <sheetName val="stripping"/>
      <sheetName val="Urugan pilihan"/>
      <sheetName val="Trans Agg"/>
      <sheetName val="Hotmix 4 cm"/>
      <sheetName val="Hotmix 5 cm"/>
      <sheetName val="Hotmix 6 cm"/>
      <sheetName val="ANA-ALAT"/>
      <sheetName val="DBoard"/>
      <sheetName val="BD_Alat"/>
      <sheetName val="EFGH"/>
      <sheetName val="610.07B"/>
      <sheetName val="LAB"/>
      <sheetName val="An Teknis"/>
      <sheetName val="Detour"/>
      <sheetName val="Rambu"/>
      <sheetName val="Major"/>
      <sheetName val="Alat2"/>
      <sheetName val="PP2"/>
      <sheetName val="BAU2"/>
      <sheetName val="Rupa22"/>
      <sheetName val="Bank2"/>
      <sheetName val="Rekap Volume"/>
      <sheetName val="2ktr"/>
      <sheetName val="4ktr"/>
      <sheetName val="5ktr"/>
      <sheetName val="6ktr"/>
      <sheetName val="7ktr"/>
      <sheetName val="2A"/>
      <sheetName val="3A"/>
      <sheetName val="4A"/>
      <sheetName val="5A"/>
      <sheetName val="6A"/>
      <sheetName val="7A"/>
      <sheetName val="2B"/>
      <sheetName val="4B"/>
      <sheetName val="5B"/>
      <sheetName val="7B"/>
      <sheetName val="2C"/>
      <sheetName val="4C"/>
      <sheetName val="5C"/>
      <sheetName val="6C"/>
      <sheetName val="7C"/>
      <sheetName val="PriceList"/>
      <sheetName val="AnaBahan"/>
      <sheetName val="DEDI"/>
      <sheetName val="TDR"/>
      <sheetName val="REKAP-MAP"/>
      <sheetName val="PKT-III-1"/>
      <sheetName val="RKP-JEMB"/>
      <sheetName val="AJE "/>
      <sheetName val="Past LK"/>
      <sheetName val="InvRp&amp;$"/>
      <sheetName val="InvRp-$"/>
      <sheetName val="Skedul"/>
      <sheetName val="JSiar"/>
      <sheetName val="PB"/>
      <sheetName val="Jad"/>
      <sheetName val="Jangkauan"/>
      <sheetName val="E 240"/>
      <sheetName val="E240.2"/>
      <sheetName val="Bangunan&amp;Mesin"/>
      <sheetName val="Instalasi,Kendaraan,Inventaris"/>
      <sheetName val="dOkt"/>
      <sheetName val="XXXXXXX"/>
      <sheetName val="XXXXXX0"/>
      <sheetName val="XXXXXX1"/>
      <sheetName val="XXXXXX2"/>
      <sheetName val="Confirm"/>
      <sheetName val="Pos"/>
      <sheetName val="Jelek"/>
      <sheetName val="200"/>
      <sheetName val="200.1"/>
      <sheetName val="200.2"/>
      <sheetName val="201.3"/>
      <sheetName val="205"/>
      <sheetName val="205.1"/>
      <sheetName val="210"/>
      <sheetName val="215"/>
      <sheetName val="220"/>
      <sheetName val="220.3"/>
      <sheetName val="225"/>
      <sheetName val="230"/>
      <sheetName val="235"/>
      <sheetName val="E235.1"/>
      <sheetName val="240"/>
      <sheetName val="240.1"/>
      <sheetName val="250"/>
      <sheetName val="255"/>
      <sheetName val="260"/>
      <sheetName val="265"/>
      <sheetName val="266"/>
      <sheetName val="280"/>
      <sheetName val="290"/>
      <sheetName val="290.1"/>
      <sheetName val="290.2"/>
      <sheetName val="290.3"/>
      <sheetName val="290.4"/>
      <sheetName val="291"/>
      <sheetName val="295"/>
      <sheetName val="256"/>
      <sheetName val="100"/>
      <sheetName val="100.A.1"/>
      <sheetName val="100.1"/>
      <sheetName val="100.2"/>
      <sheetName val="100.3"/>
      <sheetName val="100.4"/>
      <sheetName val="100.5"/>
      <sheetName val="110.1"/>
      <sheetName val="110.1.1"/>
      <sheetName val="110.1.2"/>
      <sheetName val="110.1.3"/>
      <sheetName val="110.1.4"/>
      <sheetName val="110.1.5"/>
      <sheetName val="110.1.6"/>
      <sheetName val="110.1.7"/>
      <sheetName val="110.1.8"/>
      <sheetName val="110.3"/>
      <sheetName val="110.3.1"/>
      <sheetName val="150"/>
      <sheetName val="150.1"/>
      <sheetName val="E200"/>
      <sheetName val="E200.1"/>
      <sheetName val="E210.1"/>
      <sheetName val="E210.1-1"/>
      <sheetName val="E210.2"/>
      <sheetName val="E210.5"/>
      <sheetName val="E230"/>
      <sheetName val="E210.4"/>
      <sheetName val="E210.4.1"/>
      <sheetName val="E240"/>
      <sheetName val="E250"/>
      <sheetName val="E220.1"/>
      <sheetName val="E220.1-1"/>
      <sheetName val="E220.4"/>
      <sheetName val="E280"/>
      <sheetName val="E100"/>
      <sheetName val="E100.1"/>
      <sheetName val="SPT_DPS"/>
      <sheetName val="E100.2"/>
      <sheetName val="E110.11"/>
      <sheetName val="E110.11.1"/>
      <sheetName val="E110.12"/>
      <sheetName val="E110.12.1"/>
      <sheetName val="E110.2"/>
      <sheetName val="E110.2.1"/>
      <sheetName val="E110.2.2"/>
      <sheetName val="E110.3"/>
      <sheetName val="E110.3.1"/>
      <sheetName val="E110.3.2"/>
      <sheetName val="E120"/>
      <sheetName val="E120.1"/>
      <sheetName val="MST"/>
      <sheetName val="TBL INDV"/>
      <sheetName val="TBL CONS"/>
      <sheetName val="IB"/>
      <sheetName val="Aging Hut"/>
      <sheetName val="Aging AR"/>
      <sheetName val="AR_AP AFF"/>
      <sheetName val="Cad Persediaan"/>
      <sheetName val="SUBS"/>
      <sheetName val="PURC"/>
      <sheetName val="Control"/>
      <sheetName val="Aje-Rje'03"/>
      <sheetName val="E 200.2"/>
      <sheetName val="E200.3"/>
      <sheetName val="E 200.2.1"/>
      <sheetName val="E210.1.1"/>
      <sheetName val="E210.1.2"/>
      <sheetName val="E210.1.3"/>
      <sheetName val="E210.2.1"/>
      <sheetName val="E 210.3"/>
      <sheetName val="E230.1"/>
      <sheetName val="E230.1.2"/>
      <sheetName val="E230.2"/>
      <sheetName val="E210.4.1.1"/>
      <sheetName val="E210.4.1.2"/>
      <sheetName val="E210.4.1.3"/>
      <sheetName val="E210.4.1.4"/>
      <sheetName val="E210.4.2"/>
      <sheetName val="E210.4.2.1"/>
      <sheetName val="E210.4.2.2"/>
      <sheetName val="E210.4.2.3"/>
      <sheetName val="E210.4.2.4"/>
      <sheetName val="E210.4.2.5"/>
      <sheetName val="E210.4.2.6"/>
      <sheetName val="E210.4.2.7"/>
      <sheetName val="E210.4.2.8"/>
      <sheetName val="E210.4.2.9"/>
      <sheetName val="E210.4.2.10"/>
      <sheetName val="E210.4.2.11"/>
      <sheetName val="E210.4.2.12"/>
      <sheetName val="E210.5.1"/>
      <sheetName val="E210.5.1.1"/>
      <sheetName val="E240.1"/>
      <sheetName val="E240.3"/>
      <sheetName val="E240.4"/>
      <sheetName val="E240.5"/>
      <sheetName val="E 241"/>
      <sheetName val="E241.1"/>
      <sheetName val="E241.2"/>
      <sheetName val="E241.3"/>
      <sheetName val="E241.4"/>
      <sheetName val="E241.5"/>
      <sheetName val="E241.6"/>
      <sheetName val="E241.7"/>
      <sheetName val="E220.1.1"/>
      <sheetName val="E220.1.2"/>
      <sheetName val="E220.2"/>
      <sheetName val="E220.2.1"/>
      <sheetName val="E220.2.2"/>
      <sheetName val="E220.2.3"/>
      <sheetName val="E220.2.4"/>
      <sheetName val="E220.2.5"/>
      <sheetName val="Confirm AP E220.2.1"/>
      <sheetName val="E220.3"/>
      <sheetName val="E220.3.1"/>
      <sheetName val="E220.4.1"/>
      <sheetName val="E220.4.2"/>
      <sheetName val="E220.4.3"/>
      <sheetName val="E220.4.4"/>
      <sheetName val="E220.4.5"/>
      <sheetName val="E220.4.6"/>
      <sheetName val="E220.4.7"/>
      <sheetName val="E220.4.8"/>
      <sheetName val="E220.4.9"/>
      <sheetName val="E220.4.10"/>
      <sheetName val="E220.4.11"/>
      <sheetName val="E220.4.12"/>
      <sheetName val="E220.4.13"/>
      <sheetName val="E 220.5"/>
      <sheetName val="E220.5.1"/>
      <sheetName val="E220.5.2"/>
      <sheetName val="E220.5.3"/>
      <sheetName val="E220.6"/>
      <sheetName val="E220.6.1"/>
      <sheetName val="Sisdur Sales"/>
      <sheetName val="E 100.1"/>
      <sheetName val="E 100.1.1"/>
      <sheetName val="GL E 100.1.1.1 "/>
      <sheetName val="E 100.1.1.1.1"/>
      <sheetName val="E 100.1.2"/>
      <sheetName val="Cut off-sap"/>
      <sheetName val="Mutasi GL - Piutang "/>
      <sheetName val="E110.1"/>
      <sheetName val="Budget 2005"/>
      <sheetName val="Budget 2006"/>
      <sheetName val="E110.1.1"/>
      <sheetName val="E110.1.2"/>
      <sheetName val="E110.1.1.1"/>
      <sheetName val="E 110.2.1.1"/>
      <sheetName val="E 110.2.2.1"/>
      <sheetName val="E150"/>
      <sheetName val="E150.1"/>
      <sheetName val="E150.2"/>
      <sheetName val="E150.3"/>
      <sheetName val="E150.4"/>
      <sheetName val="E150.5"/>
      <sheetName val="E150.6"/>
      <sheetName val="E150.7"/>
      <sheetName val="MRT"/>
      <sheetName val="AGS"/>
      <sheetName val="PENYUS-1994"/>
      <sheetName val="PENYUS-1998"/>
      <sheetName val="TAHUN 1997"/>
      <sheetName val="Receivable"/>
      <sheetName val="PIA"/>
      <sheetName val="PrepExp"/>
      <sheetName val="PreTax"/>
      <sheetName val="PPHImport"/>
      <sheetName val="PTVatinput"/>
      <sheetName val="TempAdvance"/>
      <sheetName val="Ssr"/>
      <sheetName val="FixedAsset"/>
      <sheetName val="RFD"/>
      <sheetName val="ContrProc"/>
      <sheetName val="Defchg"/>
      <sheetName val="Payable"/>
      <sheetName val="NotePayl"/>
      <sheetName val="TaxPayl"/>
      <sheetName val="TempReceipt"/>
      <sheetName val="TrustReceipt"/>
      <sheetName val="LOAN3"/>
      <sheetName val="E200.2"/>
      <sheetName val="E210.1.1.1"/>
      <sheetName val="E210.1.1.2"/>
      <sheetName val="E210.2.1.1"/>
      <sheetName val="E230.1.1"/>
      <sheetName val="Krf"/>
      <sheetName val="A-Krf"/>
      <sheetName val="Tape"/>
      <sheetName val="A-tape"/>
      <sheetName val="Wv"/>
      <sheetName val="A-Wv"/>
      <sheetName val="Bng"/>
      <sheetName val="A-Bng"/>
      <sheetName val="Tnt"/>
      <sheetName val="A-T"/>
      <sheetName val="Prk"/>
      <sheetName val="A-P"/>
      <sheetName val="E230.1.8"/>
      <sheetName val="E210.3"/>
      <sheetName val="E210.3.1"/>
      <sheetName val="E210.3.2"/>
      <sheetName val="E240.1.1"/>
      <sheetName val="E210.7"/>
      <sheetName val="E220.1.1A"/>
      <sheetName val="E220.1.1B"/>
      <sheetName val="E220.1.1C"/>
      <sheetName val="E220.1.1D"/>
      <sheetName val="E220.1.1E"/>
      <sheetName val="E220.1.1F"/>
      <sheetName val="E220.1.1G"/>
      <sheetName val="E220.1.1H"/>
      <sheetName val="VOUCHINGHUTANG"/>
      <sheetName val="E220.2.6"/>
      <sheetName val="E220.2.7"/>
      <sheetName val="E220.2.8"/>
      <sheetName val="E220.2.9"/>
      <sheetName val="E220.2.10"/>
      <sheetName val="E220.3.2"/>
      <sheetName val="E220.3.3"/>
      <sheetName val="E220.3.4"/>
      <sheetName val="E220.3.5"/>
      <sheetName val="E220.4.1.1"/>
      <sheetName val="E220.4.1.2"/>
      <sheetName val="E250.1"/>
      <sheetName val="E250.2"/>
      <sheetName val="E220.7"/>
      <sheetName val="E100.1.1"/>
      <sheetName val="E 100.2"/>
      <sheetName val="E110.1.3"/>
      <sheetName val="E110.1.4"/>
      <sheetName val="E110.1.4.1A"/>
      <sheetName val="E110.1.4.1B"/>
      <sheetName val="E110.1.4.2"/>
      <sheetName val="E110.1.4.3"/>
      <sheetName val="E110.1.4.4"/>
      <sheetName val="VOUCHINGBP"/>
      <sheetName val="E120.1-2"/>
      <sheetName val="E120.1-2.1"/>
      <sheetName val="E120.1-2.2"/>
      <sheetName val="E120.1-2.3"/>
      <sheetName val="E120.1-2.3.1"/>
      <sheetName val="E120.1-2.4"/>
      <sheetName val="Loss recap"/>
      <sheetName val="Depreciation &amp; Peny."/>
      <sheetName val="FA Register"/>
      <sheetName val="FA reconciliation"/>
      <sheetName val="F1771-1"/>
      <sheetName val="F1771-2"/>
      <sheetName val="F1771-3"/>
      <sheetName val="F1771-4"/>
      <sheetName val="F1771-5"/>
      <sheetName val="invs usd"/>
      <sheetName val="invs idr"/>
      <sheetName val="ytd (dept)"/>
      <sheetName val="budget usd"/>
      <sheetName val="budget idr"/>
      <sheetName val="E241"/>
      <sheetName val="E220.2.B"/>
      <sheetName val="E220.5"/>
      <sheetName val="E220.2 A"/>
      <sheetName val="WBL"/>
      <sheetName val="FISKAL Revisi(2)"/>
      <sheetName val="PIUT"/>
      <sheetName val="heging"/>
      <sheetName val="D4.3.1"/>
      <sheetName val="D4.3.2"/>
      <sheetName val="D4.3.3"/>
      <sheetName val="D4.3.4"/>
      <sheetName val="E 221"/>
      <sheetName val="E 221.1 TL-1"/>
      <sheetName val="E 221.2 TL-2"/>
      <sheetName val="E 221.3 TL-3"/>
      <sheetName val="E 221.4 TL-4"/>
      <sheetName val="E 221.5 TL-5"/>
      <sheetName val="E 221.6 Short-Term Loan"/>
      <sheetName val="GL Bank Loan-1"/>
      <sheetName val="GL Bank Loan-2"/>
      <sheetName val="GL Bank Loan-3"/>
      <sheetName val="GL Beban Bunga"/>
      <sheetName val="Intr Exp Other"/>
      <sheetName val="Tabel PSAK24 PL"/>
      <sheetName val="Tabel PSAK24 SKL"/>
      <sheetName val="Aje 10"/>
      <sheetName val="Rje 10"/>
      <sheetName val="Deferred Tax 2010"/>
      <sheetName val="B6"/>
      <sheetName val="WBS (2)"/>
      <sheetName val="WPL (2)"/>
      <sheetName val="D.4.3.1"/>
      <sheetName val="E210.4.1 "/>
      <sheetName val="E.220.2.1"/>
      <sheetName val="E100.2.1"/>
      <sheetName val="E100.3"/>
      <sheetName val="E110.2.3"/>
      <sheetName val="E150.1.1"/>
      <sheetName val="E120.1-1"/>
      <sheetName val="E 210.5.1 PPh 22"/>
      <sheetName val="E210.6"/>
      <sheetName val="E.250"/>
      <sheetName val="E 210.5.5 PPh 23 "/>
      <sheetName val="21 (2)"/>
      <sheetName val="PPh 25"/>
      <sheetName val="E210.3.1 "/>
      <sheetName val="E100.2."/>
      <sheetName val="Test Price list"/>
      <sheetName val="E110.11.1A"/>
      <sheetName val="E110.11.1B"/>
      <sheetName val="SDA"/>
      <sheetName val="PL2"/>
      <sheetName val="E245Lead"/>
      <sheetName val="E245.1"/>
      <sheetName val="E245.2"/>
      <sheetName val="E245.3"/>
      <sheetName val="E245.4"/>
      <sheetName val="OpiniInd"/>
      <sheetName val="NRC IND"/>
      <sheetName val="L-R IND"/>
      <sheetName val="Perhitungan CF"/>
      <sheetName val="CFInd"/>
      <sheetName val="Equity Ind"/>
      <sheetName val="Laspos1Ind"/>
      <sheetName val="LasposInd"/>
      <sheetName val="ESTIMASI_PPH_LABARUGI"/>
      <sheetName val="penyusutan 2011 KOMERSIAL"/>
      <sheetName val="penyusutan 2011 FISKAL"/>
      <sheetName val="PKY"/>
      <sheetName val="wwbY"/>
      <sheetName val="LPK"/>
      <sheetName val="Mutasi Kas"/>
      <sheetName val="Mutasi Bank"/>
      <sheetName val="Jurnal Memo"/>
      <sheetName val="wwb (2)"/>
      <sheetName val="BankY"/>
      <sheetName val="KasY"/>
      <sheetName val="JKY"/>
      <sheetName val="ATVY"/>
      <sheetName val="LPABY"/>
      <sheetName val="CFY"/>
      <sheetName val="PLPKY"/>
      <sheetName val="L I - ATY"/>
      <sheetName val="L II - DonatY"/>
      <sheetName val="COV"/>
      <sheetName val="draft"/>
      <sheetName val="wwb"/>
      <sheetName val="ATV"/>
      <sheetName val="LPAB"/>
      <sheetName val="PLPK"/>
      <sheetName val="AT "/>
      <sheetName val="Sort"/>
      <sheetName val="COV (4)"/>
      <sheetName val="cov YBP"/>
      <sheetName val="cov FKBS"/>
      <sheetName val="Hut USD"/>
      <sheetName val="RB-Nov (2)"/>
      <sheetName val="LPK-D"/>
      <sheetName val="LA"/>
      <sheetName val="LAK"/>
      <sheetName val="L1A1-kas"/>
      <sheetName val="L1A2-BS"/>
      <sheetName val="L1B-DepIDR"/>
      <sheetName val="L1B1-DepIDR"/>
      <sheetName val="L1C-DepUSD"/>
      <sheetName val="L1C1-DepUSD"/>
      <sheetName val="L2-PK"/>
      <sheetName val="L3-TUS"/>
      <sheetName val="L4-PdAD"/>
      <sheetName val="L5-AT"/>
      <sheetName val="L5A-ST"/>
      <sheetName val="L6-PdMUS"/>
      <sheetName val="L7-PdMDU"/>
      <sheetName val="L8-TPD"/>
      <sheetName val="L9-PdUS"/>
      <sheetName val="L10-PMB"/>
      <sheetName val="L11-PdBD"/>
      <sheetName val="L12-PFDU"/>
      <sheetName val="L13-PFMB"/>
      <sheetName val="L14-SKPL"/>
      <sheetName val="L15-BPP"/>
      <sheetName val="L16-BUL"/>
      <sheetName val="L17-BLS"/>
      <sheetName val="Kor. AT"/>
      <sheetName val="AK Ber"/>
      <sheetName val="Penghapusan"/>
      <sheetName val="Asuransi2"/>
      <sheetName val="CB"/>
      <sheetName val="Aje 08"/>
      <sheetName val="Rje 08"/>
      <sheetName val="Aje-I 08"/>
      <sheetName val="Rje-I 08"/>
      <sheetName val="R-Fiskal Unaudited"/>
      <sheetName val="PPh22"/>
      <sheetName val="Susut Fiskal 2008 eSPT"/>
      <sheetName val="Ilus-Ind"/>
      <sheetName val="Ilus-Ingg"/>
      <sheetName val="100000"/>
      <sheetName val="Tabel PSAK24 08"/>
      <sheetName val="Mortality table"/>
      <sheetName val="Distribution"/>
      <sheetName val="early"/>
      <sheetName val="dissability"/>
      <sheetName val="death"/>
      <sheetName val="resign"/>
      <sheetName val="Sample"/>
      <sheetName val="Benefit"/>
      <sheetName val="Tabel PSAK24 TFC"/>
      <sheetName val="Table of PSAK24"/>
      <sheetName val="BY6"/>
      <sheetName val="js"/>
      <sheetName val="LMK"/>
      <sheetName val="nermut07"/>
      <sheetName val="AHP"/>
      <sheetName val="lap by"/>
      <sheetName val="rl baru"/>
      <sheetName val="LPH"/>
      <sheetName val="BY"/>
      <sheetName val="LPP"/>
      <sheetName val="GraL-R"/>
      <sheetName val="GraPb-Pj"/>
      <sheetName val="GraBu"/>
      <sheetName val="DtMtrl"/>
      <sheetName val="IkhKeu"/>
      <sheetName val="TPHP"/>
      <sheetName val="NM"/>
      <sheetName val="PJLS"/>
      <sheetName val="Piut Kar"/>
      <sheetName val="PIUT Phk III JJI"/>
      <sheetName val="Hut Phk III JJI"/>
      <sheetName val="Hut Dir JJI"/>
      <sheetName val="PAT"/>
      <sheetName val="PAT JJK"/>
      <sheetName val="PAT JJI"/>
      <sheetName val="Hut Ush JJK"/>
      <sheetName val="Hut Bi. Pemb. JJK"/>
      <sheetName val="Perin. Bi. Dbyr Dmk"/>
      <sheetName val="Perincian asuransi"/>
      <sheetName val="P.Kary04-08 (3)"/>
      <sheetName val="P.Kary04-08 (2)"/>
      <sheetName val="PIUT.kary"/>
      <sheetName val="LPP.USD"/>
      <sheetName val="NM.Agt"/>
      <sheetName val="LR.rinci"/>
      <sheetName val="AK"/>
      <sheetName val="LR.SBY"/>
      <sheetName val="LR.JKT"/>
      <sheetName val="LR.SMG"/>
      <sheetName val="LR.Riau"/>
      <sheetName val="LR.BL"/>
      <sheetName val="LR.PL"/>
      <sheetName val="LR.UPG"/>
      <sheetName val="Pdtan"/>
      <sheetName val="POS.k"/>
      <sheetName val="B.Lgs"/>
      <sheetName val="B.Tdk.Lgs"/>
      <sheetName val="Lamp.AT"/>
      <sheetName val="Sewa"/>
      <sheetName val="G. Penj "/>
      <sheetName val="G.Laba brsh "/>
      <sheetName val="G.By. Ush"/>
      <sheetName val="PIUT.kary (2)"/>
      <sheetName val="LPP (2)"/>
      <sheetName val="LPP_USD (2)"/>
      <sheetName val="AT.Jul"/>
      <sheetName val="AT.Agt"/>
      <sheetName val="AT.Sep"/>
      <sheetName val="NM Jul"/>
      <sheetName val="NM Agt"/>
      <sheetName val="LPP_USD"/>
      <sheetName val="P.Kary07.07"/>
      <sheetName val="P.Kary08.07"/>
      <sheetName val="P.Kary09.07"/>
      <sheetName val="P.Kary10.07"/>
      <sheetName val="NM Sep"/>
      <sheetName val="POS_k"/>
      <sheetName val="LR.Jul"/>
      <sheetName val="LR.Agt"/>
      <sheetName val="LR.Sep"/>
      <sheetName val="G.omzet"/>
      <sheetName val="AT"/>
      <sheetName val="mk"/>
      <sheetName val="ph-3"/>
      <sheetName val="KRATIO"/>
      <sheetName val="K-LR"/>
      <sheetName val="K-NRC"/>
      <sheetName val="info"/>
      <sheetName val="x√"/>
      <sheetName val="inp"/>
      <sheetName val="graf"/>
      <sheetName val="Sheet4 (2)"/>
      <sheetName val="per sales"/>
      <sheetName val="per sales triwulan I"/>
      <sheetName val="LR triwulan I"/>
      <sheetName val="Graph  (2)"/>
      <sheetName val="grf_Laba"/>
      <sheetName val="grf_Penj"/>
      <sheetName val="grf_Biaya"/>
      <sheetName val="N_M_"/>
      <sheetName val="Jr "/>
      <sheetName val="By_Sales"/>
      <sheetName val="LMP"/>
      <sheetName val="LMP pot"/>
      <sheetName val=" BDP"/>
      <sheetName val="Brg Jadi "/>
      <sheetName val="PK LL"/>
      <sheetName val="PERINCIAN"/>
      <sheetName val="AKT"/>
      <sheetName val="BCA03"/>
      <sheetName val="Pihak III"/>
      <sheetName val="BY_AKT"/>
      <sheetName val="BY DDM"/>
      <sheetName val="Direksi"/>
      <sheetName val="ph3"/>
      <sheetName val="LMP.PTG"/>
      <sheetName val="BCA04"/>
      <sheetName val="XXXXX0"/>
      <sheetName val="XXXXX1"/>
      <sheetName val="200000"/>
      <sheetName val="Ner-Mut"/>
      <sheetName val="PIUT DIR"/>
      <sheetName val="BPP EX"/>
      <sheetName val="NRC (INT)"/>
      <sheetName val="ARUS KAS "/>
      <sheetName val="BPrd  "/>
      <sheetName val="BUA "/>
      <sheetName val="BO "/>
      <sheetName val="mk INT"/>
      <sheetName val="NRC(F) "/>
      <sheetName val="mk F"/>
      <sheetName val="UM INT"/>
      <sheetName val="UM FIS"/>
      <sheetName val="PIUT EKSPOR INT"/>
      <sheetName val="PIUT EKSPOR F"/>
      <sheetName val="HUT INT"/>
      <sheetName val="HUT FIS"/>
      <sheetName val="Piut Kar F"/>
      <sheetName val="GLR"/>
      <sheetName val="GBY"/>
      <sheetName val="Piut.Lokal"/>
      <sheetName val="RL A (2)"/>
      <sheetName val="RL A"/>
      <sheetName val="RL (4)"/>
      <sheetName val="RL (6)"/>
      <sheetName val="RL (2)"/>
      <sheetName val="RL (3)"/>
      <sheetName val="RL (5)"/>
      <sheetName val="HPP Telur KW II"/>
      <sheetName val="Perbandingan Penj &amp; By"/>
      <sheetName val="RL KW 2"/>
      <sheetName val="NRC1 (3)"/>
      <sheetName val="NRC1"/>
      <sheetName val="NRC1 (2)"/>
      <sheetName val="Umur Piut"/>
      <sheetName val="NERACA SALDO JUL'08 SK"/>
      <sheetName val="Nermut"/>
      <sheetName val="SILVI"/>
      <sheetName val="PN"/>
      <sheetName val="KK-BY"/>
      <sheetName val="kk-nermut"/>
      <sheetName val="ARISAN"/>
      <sheetName val="UM penj"/>
      <sheetName val="GPenj"/>
      <sheetName val="GBu"/>
      <sheetName val="HPP "/>
      <sheetName val="brg jadi"/>
      <sheetName val="Reg Pemb"/>
      <sheetName val="Reg Penj"/>
      <sheetName val="DPK Sep"/>
      <sheetName val="DPH Sep"/>
      <sheetName val="DPP Sep"/>
      <sheetName val="BB SEPT"/>
      <sheetName val="Bi 600"/>
      <sheetName val="BI 700"/>
      <sheetName val="LMK Sept"/>
      <sheetName val="grafik By"/>
      <sheetName val="Grafik  RL"/>
      <sheetName val="Graf pENJ"/>
      <sheetName val="Graf LR"/>
      <sheetName val="Graf Bi"/>
      <sheetName val="Piut.x-port"/>
      <sheetName val="kar"/>
      <sheetName val="um "/>
      <sheetName val="01"/>
      <sheetName val="DAFTAR KK"/>
      <sheetName val="L(R)"/>
      <sheetName val="AT-LAMP"/>
      <sheetName val="lamp-I"/>
      <sheetName val="lamp-II"/>
      <sheetName val="KAS(100)"/>
      <sheetName val="PU(130)"/>
      <sheetName val="PA(135)"/>
      <sheetName val="PL(140)"/>
      <sheetName val="PERS(150)"/>
      <sheetName val="PJKDD(170)"/>
      <sheetName val="AKUM"/>
      <sheetName val="200-F"/>
      <sheetName val="HU(310)"/>
      <sheetName val="HL(330)"/>
      <sheetName val="HA(320)"/>
      <sheetName val="UMP(340)"/>
      <sheetName val="HPJK(350)"/>
      <sheetName val="BYMH(360)"/>
      <sheetName val="MDL(400)"/>
      <sheetName val="PEND(500)"/>
      <sheetName val="HPP(550)"/>
      <sheetName val="BOPS(600)"/>
      <sheetName val="BUA(700)"/>
      <sheetName val="PK(800)"/>
      <sheetName val="catt"/>
      <sheetName val="LR OLD"/>
      <sheetName val="PPN M"/>
      <sheetName val="03"/>
      <sheetName val="mar "/>
      <sheetName val="G_ LR"/>
      <sheetName val="g_Penj"/>
      <sheetName val="G_ By"/>
      <sheetName val="Cust"/>
      <sheetName val="By. Ops.Langsung "/>
      <sheetName val="By. Ops. Tdk Langsung"/>
      <sheetName val="Persentase"/>
      <sheetName val="LPSH"/>
      <sheetName val="JS 02"/>
      <sheetName val="Catt Review"/>
      <sheetName val="Tab An"/>
      <sheetName val="AKTIVATETAP"/>
      <sheetName val="PU"/>
      <sheetName val="PJKDD"/>
      <sheetName val="BYDD"/>
      <sheetName val="KK-AT"/>
      <sheetName val="AL"/>
      <sheetName val="HL"/>
      <sheetName val="HA"/>
      <sheetName val="UMP"/>
      <sheetName val="HPJK"/>
      <sheetName val="BYMH"/>
      <sheetName val="MDL"/>
      <sheetName val="PEND"/>
      <sheetName val="B8"/>
      <sheetName val="kk-nrc"/>
      <sheetName val="G-Pj"/>
      <sheetName val="Pos2"/>
      <sheetName val="LR "/>
      <sheetName val="LR berjalan "/>
      <sheetName val="By langsng"/>
      <sheetName val="By-6"/>
      <sheetName val="By-7"/>
      <sheetName val="Kennz"/>
      <sheetName val="Inhalt"/>
      <sheetName val="Allgem. Angaben"/>
      <sheetName val="Auftrag"/>
      <sheetName val="Sp-Erg"/>
      <sheetName val="PersStat"/>
      <sheetName val="Verm-lage"/>
      <sheetName val="Ertr-lage"/>
      <sheetName val="Umsatz HB II"/>
      <sheetName val="Umsatz regional"/>
      <sheetName val="Best.-veränd."/>
      <sheetName val="akt. Eigenleist."/>
      <sheetName val="SoErtr (1)"/>
      <sheetName val="SoErtr (2)"/>
      <sheetName val="MatAufw"/>
      <sheetName val="PersAufw"/>
      <sheetName val="Abschr. imm. WG +SA"/>
      <sheetName val="SoAufw (1)"/>
      <sheetName val="SoAufw (2)"/>
      <sheetName val="SoAufw (3)"/>
      <sheetName val="QualKost"/>
      <sheetName val="Beteil.-ertr."/>
      <sheetName val="Ertr. and. WP + Ausl."/>
      <sheetName val="Zinserträge"/>
      <sheetName val="Abschr. Fin.-anl."/>
      <sheetName val="Zinsaufw."/>
      <sheetName val="a.o. Ergebn."/>
      <sheetName val="Steuern"/>
      <sheetName val="Immater"/>
      <sheetName val="Sachanl"/>
      <sheetName val="FinAnl"/>
      <sheetName val="Vorraete"/>
      <sheetName val="FordLief"/>
      <sheetName val="FordVerb"/>
      <sheetName val="FordBet"/>
      <sheetName val="SonstFor"/>
      <sheetName val="Wertpap"/>
      <sheetName val="LiquMitt"/>
      <sheetName val="RAP aktiv"/>
      <sheetName val="Kap-Div (HB I)"/>
      <sheetName val="Kap-Div (HB II)"/>
      <sheetName val="SoPoRück"/>
      <sheetName val="Pens.-rückst."/>
      <sheetName val="Steuerrückst."/>
      <sheetName val="sonst. Rückst "/>
      <sheetName val="VerbKI(1)"/>
      <sheetName val="VerbKI(2)"/>
      <sheetName val="erhAnz"/>
      <sheetName val="VerbLief"/>
      <sheetName val="VerbWech"/>
      <sheetName val="VerbVerb"/>
      <sheetName val="VerbBet"/>
      <sheetName val="SonstVer"/>
      <sheetName val="RAP passiv"/>
      <sheetName val="Haft.-verh.+sofinVerpfl."/>
      <sheetName val="BILKURZ"/>
      <sheetName val="GUVKURZ"/>
      <sheetName val="AV Brutto"/>
      <sheetName val="AV Abschr."/>
      <sheetName val="Rücklagen"/>
      <sheetName val="Passiva"/>
      <sheetName val="GuV"/>
      <sheetName val="HB I ---&gt; HB II"/>
      <sheetName val="PAJE-2008"/>
      <sheetName val="PAJE-2009"/>
      <sheetName val="Fiscal"/>
      <sheetName val="BS-CF"/>
      <sheetName val="PinjPolis (3)"/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VAT 1-98 to 12-98"/>
      <sheetName val="IN RETURN NOT BOOKED"/>
      <sheetName val="Customize Your Invoice"/>
      <sheetName val="Macros"/>
      <sheetName val="ATW"/>
      <sheetName val="Lock"/>
      <sheetName val="Intl Data Table"/>
      <sheetName val="OPEX REPORT"/>
      <sheetName val="DOWNLOAD"/>
      <sheetName val="Safety Incidents"/>
      <sheetName val="Operating Incidents"/>
      <sheetName val="Liquids Production"/>
      <sheetName val="Gas Sales"/>
      <sheetName val="Earnings"/>
      <sheetName val="Affiliate Earnings"/>
      <sheetName val="FACTORS"/>
      <sheetName val="Forex"/>
      <sheetName val="CASHOPX"/>
      <sheetName val="NONCSHOPEX"/>
      <sheetName val="WARNING"/>
      <sheetName val="LRR VOLUMES PAGE"/>
      <sheetName val="UPFACT DOWNLOAD"/>
      <sheetName val="OPEXDL2"/>
      <sheetName val="Gas Realisations @ STWD FX"/>
      <sheetName val="UNIT OPEX CALCULATION"/>
      <sheetName val="Inputs"/>
      <sheetName val="Tbc Jrn"/>
      <sheetName val="Eng"/>
      <sheetName val="Engineering"/>
      <sheetName val="Retcostboard"/>
      <sheetName val="Macro"/>
      <sheetName val="Iss Jrn"/>
      <sheetName val="pll feb 06"/>
      <sheetName val="E2.2"/>
      <sheetName val="AR (2)"/>
      <sheetName val="Claim"/>
      <sheetName val="G-1 AdvP"/>
      <sheetName val="BDM"/>
      <sheetName val="G-2.1 Prep"/>
      <sheetName val="AT-Software"/>
      <sheetName val="AT-tdk terpakai"/>
      <sheetName val="AT-tdk terpakai (2)"/>
      <sheetName val="BYMHD"/>
      <sheetName val="UMD"/>
      <sheetName val="617900000"/>
      <sheetName val="825100000"/>
      <sheetName val="Interest ok"/>
      <sheetName val="Ringkasan"/>
      <sheetName val="Account (2)"/>
      <sheetName val="Buku Besar 1"/>
      <sheetName val="Buku Besar 2"/>
      <sheetName val="Rekap SPT Masa PPh 21"/>
      <sheetName val="RIgkasan Koreksi"/>
      <sheetName val="Koreksi Objek PPh 21"/>
      <sheetName val="Koreksi Objek PPh 23"/>
      <sheetName val="Koreksi Objek PPh 4 Ayat 2"/>
      <sheetName val="RIngkasan Koreksi Biaya"/>
      <sheetName val="Koreksi Biaya"/>
      <sheetName val="Sisa 1"/>
      <sheetName val="Sisa 2"/>
      <sheetName val="COVER SHEET"/>
      <sheetName val="CF-SUMMARY"/>
      <sheetName val="CF-CLASSIFICATION"/>
      <sheetName val="CF-DETAILS"/>
      <sheetName val="PARAMETERS"/>
      <sheetName val="FA DETAILS"/>
      <sheetName val="ADD_PERIOD"/>
      <sheetName val="DISP_PERIOD"/>
      <sheetName val="DISP_YEAR"/>
      <sheetName val="Ls_XLB_WorkbookFile"/>
      <sheetName val="a-kar001"/>
      <sheetName val="WERKS"/>
      <sheetName val="ORD"/>
      <sheetName val="AFASL"/>
      <sheetName val="Converted"/>
      <sheetName val="Building"/>
      <sheetName val="Building Equipment"/>
      <sheetName val="Machineries"/>
      <sheetName val="Tabel Machineries"/>
      <sheetName val="Transportations"/>
      <sheetName val="Furniture"/>
      <sheetName val="ASSET TRANSFER OUT"/>
      <sheetName val="FA Konsol"/>
      <sheetName val="K 1 FA Mutation"/>
      <sheetName val="K 1.1"/>
      <sheetName val="K 1.2"/>
      <sheetName val="K 1.3"/>
      <sheetName val="K 1.4"/>
      <sheetName val="K 2 FA Mutation"/>
      <sheetName val="K 3 FA Mutation Denpasar"/>
      <sheetName val="K 3.1"/>
      <sheetName val="K 3.2"/>
      <sheetName val="K 3.3"/>
      <sheetName val="K 3.4"/>
      <sheetName val="bdrl-usg"/>
      <sheetName val="budget00"/>
      <sheetName val="OLDPL kareb"/>
      <sheetName val="newpl kareb"/>
      <sheetName val="OLDPL"/>
      <sheetName val="Budget2001"/>
      <sheetName val="newpl"/>
      <sheetName val="plrep"/>
      <sheetName val="contr"/>
      <sheetName val="salesan"/>
      <sheetName val="VARCOST"/>
      <sheetName val="stkm"/>
      <sheetName val="contrmile"/>
      <sheetName val="OLDMAP"/>
      <sheetName val="def_tax cig"/>
      <sheetName val="def_tax kareb"/>
      <sheetName val="def_tax cons"/>
      <sheetName val="NEWMAP"/>
      <sheetName val="HYPERION"/>
      <sheetName val="stan"/>
      <sheetName val="rawmat"/>
      <sheetName val="sundries"/>
      <sheetName val="WASTE BY MATERIAL"/>
      <sheetName val="WASTE BY BRAND"/>
      <sheetName val="duration_LOCAL"/>
      <sheetName val="duration_IMP"/>
      <sheetName val="LOCALexcl.ADJA"/>
      <sheetName val="IMPexcl.ADJA"/>
      <sheetName val="estused"/>
      <sheetName val="stan(2)"/>
      <sheetName val="wastage(2)"/>
      <sheetName val="COSTING ----&gt;"/>
      <sheetName val="STOCK END"/>
      <sheetName val="PROPORTIONAL"/>
      <sheetName val="BENSON "/>
      <sheetName val="LUCKY"/>
      <sheetName val="LUCKY LIGHT"/>
      <sheetName val="PALL MALL KS"/>
      <sheetName val="PALL MALL LGHT"/>
      <sheetName val="PALL MALL MTHL"/>
      <sheetName val="ARDATH"/>
      <sheetName val="ARDATH LIGHT"/>
      <sheetName val="ARDATH MENTHOL"/>
      <sheetName val="COMM KS"/>
      <sheetName val="ARDATH LS"/>
      <sheetName val="COMM LS"/>
      <sheetName val="INDIGO"/>
      <sheetName val="COST AVE"/>
      <sheetName val="VARIANCE"/>
      <sheetName val="VAR_CPM"/>
      <sheetName val="overview"/>
      <sheetName val="ANALYSIS VARIANCE"/>
      <sheetName val="ALL_Excl.Dunhil"/>
      <sheetName val="AALL"/>
      <sheetName val="ALLcigr"/>
      <sheetName val="DLI"/>
      <sheetName val="DIS"/>
      <sheetName val="DIM"/>
      <sheetName val="DKS"/>
      <sheetName val="DKM"/>
      <sheetName val="KAH"/>
      <sheetName val="KAM"/>
      <sheetName val="KANLI"/>
      <sheetName val="KANLIM"/>
      <sheetName val="KAN"/>
      <sheetName val="WHHP"/>
      <sheetName val="WHSP"/>
      <sheetName val="COMFILLS"/>
      <sheetName val="COMFILKS"/>
      <sheetName val="BR"/>
      <sheetName val="MBS"/>
      <sheetName val="MBP"/>
      <sheetName val="AFNSV"/>
      <sheetName val="AFNIC"/>
      <sheetName val="AConC"/>
      <sheetName val="ENTRY"/>
      <sheetName val="Assum"/>
      <sheetName val="VarCostComfil"/>
      <sheetName val="Marshalling"/>
      <sheetName val="NDE expenses"/>
      <sheetName val="Other positive-negative adj."/>
      <sheetName val="Related party"/>
      <sheetName val="Fiscal form"/>
      <sheetName val="Additional FA (Eng)"/>
      <sheetName val="Tambahan aktiva"/>
      <sheetName val="GainLoss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Fiscal form (2)"/>
      <sheetName val="HIT 2"/>
      <sheetName val="F1"/>
      <sheetName val="ABSENSI "/>
      <sheetName val="ABSENSI  NS"/>
      <sheetName val="ABSENSI  NS (2)"/>
      <sheetName val="Tabel Gaji"/>
      <sheetName val="AC BCA"/>
      <sheetName val="AC BCA (compare)"/>
      <sheetName val="WBS - A"/>
      <sheetName val="A.2"/>
      <sheetName val="A.2-1"/>
      <sheetName val="A.2-1.1"/>
      <sheetName val="A2-2"/>
      <sheetName val="FA FISCAL"/>
      <sheetName val="A.1"/>
      <sheetName val="A Recap"/>
      <sheetName val="L.1.2"/>
      <sheetName val="CC1.1"/>
      <sheetName val="F Konf"/>
      <sheetName val="F Recap"/>
      <sheetName val="WBS - L"/>
      <sheetName val="N.2 Konf"/>
      <sheetName val="L.3.2"/>
      <sheetName val="L.3.3"/>
      <sheetName val="R.3"/>
      <sheetName val="R.4"/>
      <sheetName val="R.5"/>
      <sheetName val="T.3"/>
      <sheetName val="T.4"/>
      <sheetName val="Tax0910"/>
      <sheetName val="DTA-0910"/>
      <sheetName val="ADJUSTMENT AKHIR TAHUN"/>
      <sheetName val="REGRISTRASI"/>
      <sheetName val="DAF - CAB 2003 (2)"/>
      <sheetName val="JUDUL OWNER"/>
      <sheetName val="DATA DARI TB DARI BRANCHCOMP"/>
      <sheetName val="YN-PPN01"/>
      <sheetName val="YN-SDB"/>
      <sheetName val="YNpdp-custodian"/>
      <sheetName val="YNpdp-custodian ADA REKSA DANA"/>
      <sheetName val="YN-PPN Keluaran"/>
      <sheetName val="YN_Psewa"/>
      <sheetName val="Pendapatan Sewa"/>
      <sheetName val="Pendapatan Sewa - PRINT"/>
      <sheetName val="Inv.BPP"/>
      <sheetName val="WBS-A"/>
      <sheetName val="WBS-L"/>
      <sheetName val="CJE"/>
      <sheetName val="D1.1"/>
      <sheetName val="D1.2"/>
      <sheetName val="P.3"/>
      <sheetName val="P.4"/>
      <sheetName val="P.5"/>
      <sheetName val="P.6"/>
      <sheetName val="P.7"/>
      <sheetName val="G1"/>
      <sheetName val="G1-1"/>
      <sheetName val="G1-2"/>
      <sheetName val="L-4"/>
      <sheetName val="L-5"/>
      <sheetName val="II.1"/>
      <sheetName val="II.2"/>
      <sheetName val="II.3"/>
      <sheetName val="II.4"/>
      <sheetName val="II.5"/>
      <sheetName val="II.6"/>
      <sheetName val="III"/>
      <sheetName val="IV"/>
      <sheetName val="IV.1"/>
      <sheetName val="300000"/>
      <sheetName val="PTD"/>
      <sheetName val="bs sep"/>
      <sheetName val="is sep"/>
      <sheetName val="sl"/>
      <sheetName val="Mgt_P&amp;L"/>
      <sheetName val="MJ"/>
      <sheetName val="MI"/>
      <sheetName val="GLJ"/>
      <sheetName val="Hyperion_486"/>
      <sheetName val="COS"/>
      <sheetName val="Prov obs"/>
      <sheetName val="Stk take"/>
      <sheetName val="chemical"/>
      <sheetName val="oal"/>
      <sheetName val="D2.3"/>
      <sheetName val="L1"/>
      <sheetName val="L1.1"/>
      <sheetName val="L2"/>
      <sheetName val="A2-Summary"/>
      <sheetName val="A2.1"/>
      <sheetName val="A2.1.2"/>
      <sheetName val="A2.1.1"/>
      <sheetName val="A2.2"/>
      <sheetName val="A2.3"/>
      <sheetName val="A2.4"/>
      <sheetName val="A2.5"/>
      <sheetName val="A2.6"/>
      <sheetName val="A2.7"/>
      <sheetName val="E2.1"/>
      <sheetName val="G.1.2"/>
      <sheetName val="G.1.3"/>
      <sheetName val="G.2.1"/>
      <sheetName val="G.2.2"/>
      <sheetName val="G.2.3"/>
      <sheetName val="G.2.4"/>
      <sheetName val="G.2.5"/>
      <sheetName val="L3"/>
      <sheetName val="L3.1"/>
      <sheetName val="L3.2"/>
      <sheetName val="L3.3"/>
      <sheetName val="CAM-A"/>
      <sheetName val="CAM-B"/>
      <sheetName val="TOC-A.1"/>
      <sheetName val="TOC-A.2"/>
      <sheetName val="TOC-A.3"/>
      <sheetName val="TOC-A.4"/>
      <sheetName val="TOC-B.1"/>
      <sheetName val="TOC-B.2"/>
      <sheetName val="TOC-B.3"/>
      <sheetName val="TB_09"/>
      <sheetName val="F.1.1.1"/>
      <sheetName val="F.2.1"/>
      <sheetName val="C.1.2"/>
      <sheetName val="C.14"/>
      <sheetName val="D1.3"/>
      <sheetName val="L.2.1"/>
      <sheetName val="L.2.1.1"/>
      <sheetName val="L.2.2"/>
      <sheetName val="L.2.2.1"/>
      <sheetName val="L.2.2.2"/>
      <sheetName val="L.2.2.3"/>
      <sheetName val="L.2.2.4"/>
      <sheetName val="L.2.2.5"/>
      <sheetName val="A.2.1.1 report"/>
      <sheetName val="A.2.1.1"/>
      <sheetName val="A.2.1.2"/>
      <sheetName val="A.2.3"/>
      <sheetName val="A.2.4"/>
      <sheetName val="A.2.5"/>
      <sheetName val="A.2.6"/>
      <sheetName val="A.2.7"/>
      <sheetName val="A.2.8"/>
      <sheetName val="A.2.9"/>
      <sheetName val="G.1.1.1"/>
      <sheetName val="L.3.1.1"/>
      <sheetName val="L.3.3.1"/>
      <sheetName val="L.3.4"/>
      <sheetName val="L.3.5"/>
      <sheetName val="Q.1.1"/>
      <sheetName val="Q.1.2"/>
      <sheetName val="Q.1.3"/>
      <sheetName val="Q.2.1"/>
      <sheetName val="Q.3"/>
      <sheetName val="R.6"/>
      <sheetName val="R.7"/>
      <sheetName val="R.8"/>
      <sheetName val="MKBD"/>
      <sheetName val="Elimination"/>
      <sheetName val="Un-AJE"/>
      <sheetName val="WPL "/>
      <sheetName val="F.2.1.1"/>
      <sheetName val="F.3-1"/>
      <sheetName val="B1.2"/>
      <sheetName val="E1.1"/>
      <sheetName val="L1.2"/>
      <sheetName val="L1.2.1"/>
      <sheetName val="L1.2.2"/>
      <sheetName val="L1.3"/>
      <sheetName val="B2.1"/>
      <sheetName val="A2-1"/>
      <sheetName val="A2-1-1"/>
      <sheetName val="A2-1-2"/>
      <sheetName val="A2-1-3"/>
      <sheetName val="A2-4"/>
      <sheetName val="A2-5"/>
      <sheetName val="A2-6"/>
      <sheetName val="G2"/>
      <sheetName val="L3-1"/>
      <sheetName val="L3-2"/>
      <sheetName val="L3-3"/>
      <sheetName val="L3-3-1"/>
      <sheetName val="G3"/>
      <sheetName val="H2"/>
      <sheetName val="H2.1"/>
      <sheetName val="H2.2"/>
      <sheetName val="B1-1"/>
      <sheetName val="B1-2"/>
      <sheetName val="B1-3"/>
      <sheetName val="G1.1"/>
      <sheetName val="G1.2"/>
      <sheetName val="Q.1-2"/>
      <sheetName val="R.1-2"/>
      <sheetName val="S.1-2"/>
      <sheetName val="T2-1"/>
      <sheetName val="ML"/>
      <sheetName val="C-2"/>
      <sheetName val="H-1"/>
      <sheetName val="H-2"/>
      <sheetName val="H-2-2"/>
      <sheetName val="H-3"/>
      <sheetName val="H-3-1"/>
      <sheetName val="K-2"/>
      <sheetName val="K-3"/>
      <sheetName val="K-4"/>
      <sheetName val="K-5"/>
      <sheetName val="BB-1"/>
      <sheetName val="BB-2"/>
      <sheetName val="GG-1"/>
      <sheetName val="GG-2"/>
      <sheetName val="GG-3"/>
      <sheetName val="SS-1"/>
      <sheetName val="SS-2"/>
      <sheetName val="II-1"/>
      <sheetName val="II-2"/>
      <sheetName val="Fiscal Diff"/>
      <sheetName val="Cost Summary"/>
      <sheetName val="Jobsite"/>
      <sheetName val="JKTA"/>
      <sheetName val="Mine Serve"/>
      <sheetName val="Proposed 2003 Salary Range"/>
      <sheetName val="2003PEDist"/>
      <sheetName val="Matrix_2003"/>
      <sheetName val="Matrix03"/>
      <sheetName val="Matrix_2002 (3)"/>
      <sheetName val="Matrix"/>
      <sheetName val="PE Distribution"/>
      <sheetName val="Matrix_2001"/>
      <sheetName val="2002 NS Range"/>
      <sheetName val="2003 NS Range"/>
      <sheetName val="Compa"/>
      <sheetName val="Corporate tax"/>
      <sheetName val="Installment calculation"/>
      <sheetName val="WBSA-Round"/>
      <sheetName val="WBSL-Round"/>
      <sheetName val="WPL-Round"/>
      <sheetName val="CIT-Audit"/>
      <sheetName val="Corp Tax 2009"/>
      <sheetName val="FA Fiskal 2009"/>
      <sheetName val="FA Fiskal 2008"/>
      <sheetName val="Summary Pending"/>
      <sheetName val="Others Payable"/>
      <sheetName val="Attachment 1"/>
      <sheetName val="Attachment 2"/>
      <sheetName val="Sheet"/>
      <sheetName val="Analitical Procedure"/>
      <sheetName val="E-1-2"/>
      <sheetName val="D-2"/>
      <sheetName val="D-3"/>
      <sheetName val="D-4"/>
      <sheetName val="C-1-1"/>
      <sheetName val="C-1-2"/>
      <sheetName val="C-2-1-1"/>
      <sheetName val="C-2-1-2"/>
      <sheetName val="C-2-3"/>
      <sheetName val="A2-3"/>
      <sheetName val="A2-7"/>
      <sheetName val="A2-8"/>
      <sheetName val="OTH"/>
      <sheetName val="Details"/>
      <sheetName val="A-4"/>
      <sheetName val="H-1-1"/>
      <sheetName val="CC-1"/>
      <sheetName val="DD-1"/>
      <sheetName val="DD-2"/>
      <sheetName val="DD-3"/>
      <sheetName val="DD-4"/>
      <sheetName val="I-1"/>
      <sheetName val="MIS"/>
      <sheetName val="A-3-1"/>
      <sheetName val="A-5"/>
      <sheetName val="C-1-3"/>
      <sheetName val="D-1-1"/>
      <sheetName val="D-1-1-1"/>
      <sheetName val="G-1-1"/>
      <sheetName val="G-1-1-1"/>
      <sheetName val="G-1-1-2"/>
      <sheetName val="G-1-1-3"/>
      <sheetName val="G-1-1-4"/>
      <sheetName val="G-1-1-5"/>
      <sheetName val="PPh 22-Import"/>
      <sheetName val="PPh 22-Import-Detail"/>
      <sheetName val="Rekon"/>
      <sheetName val="Fr GL"/>
      <sheetName val="Fr SPT Masa"/>
      <sheetName val="G-2-1"/>
      <sheetName val="J-1-1"/>
      <sheetName val="J-2"/>
      <sheetName val="J-2-1"/>
      <sheetName val="J-3"/>
      <sheetName val="J-3-1"/>
      <sheetName val="J-4"/>
      <sheetName val="J-4-1"/>
      <sheetName val="J-5"/>
      <sheetName val="J-5-1"/>
      <sheetName val="J-6"/>
      <sheetName val="J-6-1"/>
      <sheetName val="J-7"/>
      <sheetName val="J-7-1"/>
      <sheetName val="J-8"/>
      <sheetName val="J-8-1"/>
      <sheetName val="FA Mvmt Summary"/>
      <sheetName val="WBS-B"/>
      <sheetName val="CC-2"/>
      <sheetName val="HH-1"/>
      <sheetName val="HH2"/>
      <sheetName val="HH-3"/>
      <sheetName val="spt-21"/>
      <sheetName val="Stock 28072010"/>
      <sheetName val="Stock 24082010"/>
      <sheetName val="Stock 26082010 "/>
      <sheetName val="TB 20072010"/>
      <sheetName val="Gl P&amp;L"/>
      <sheetName val="GL Passiva"/>
      <sheetName val="GL Asset"/>
      <sheetName val="TB_PLY"/>
      <sheetName val="Pa(r)je Dec 05"/>
      <sheetName val="CAJE Dec 05"/>
      <sheetName val="KK Casfh Flow07"/>
      <sheetName val="Data Request"/>
      <sheetName val="E-5-1"/>
      <sheetName val="E-5-3"/>
      <sheetName val="E-5-4"/>
      <sheetName val="E-2-1"/>
      <sheetName val="E-2-1-1"/>
      <sheetName val="E-2-1-2"/>
      <sheetName val="E-2-2"/>
      <sheetName val="E-2-3"/>
      <sheetName val="E-2-3-1"/>
      <sheetName val="A-2-1"/>
      <sheetName val="A-2-2"/>
      <sheetName val="A-2-3"/>
      <sheetName val="A-2-4"/>
      <sheetName val="A-2-5"/>
      <sheetName val="B-2"/>
      <sheetName val="L-2 "/>
      <sheetName val="H-4"/>
      <sheetName val="P-1-1"/>
      <sheetName val="Piutang Hubungan Istimewa"/>
      <sheetName val="HTI &amp; FA"/>
      <sheetName val="Penyertaan"/>
      <sheetName val="Hutang jangka Pjg&amp;Pdk"/>
      <sheetName val="Selling Expense"/>
      <sheetName val="Penghasilan-Beban Bunga"/>
      <sheetName val="SHE"/>
      <sheetName val="Matrl"/>
      <sheetName val="Pa(r)je 2005"/>
      <sheetName val="elim area I"/>
      <sheetName val="elim areas"/>
      <sheetName val="Dec 2005 "/>
      <sheetName val="Fiscal-computation"/>
      <sheetName val="Tax Effect"/>
      <sheetName val="Lap. Keuangan"/>
      <sheetName val="BPT"/>
      <sheetName val="TAIWI"/>
      <sheetName val="Wiranusa"/>
      <sheetName val="Gire"/>
      <sheetName val="Glue di persediaan"/>
      <sheetName val="Elim jual log dan glue"/>
      <sheetName val="Rincian labarugi Subsd"/>
      <sheetName val="Pajak Parent"/>
      <sheetName val="NDE"/>
      <sheetName val="Sum tax Compt"/>
      <sheetName val="AMORTIZATION"/>
      <sheetName val="Amor Goodwill"/>
      <sheetName val="Dec 2003"/>
      <sheetName val="Fnc-Highlight"/>
      <sheetName val="Dec 2004"/>
      <sheetName val="BS JUNE 10"/>
      <sheetName val="GL Apr _ JUNE 10"/>
      <sheetName val="CASHFLOW "/>
      <sheetName val="Bonus provision"/>
      <sheetName val="Audit fee provision"/>
      <sheetName val="GSA Com"/>
      <sheetName val="QF Mar to June 10"/>
      <sheetName val="Recon for Mar_ Mar 10"/>
      <sheetName val="Interco HTTSIN "/>
      <sheetName val="F-6"/>
      <sheetName val="D-1.1"/>
      <sheetName val="D-1.2"/>
      <sheetName val="D-1.3"/>
      <sheetName val="D-1.4"/>
      <sheetName val="L1-1"/>
      <sheetName val="E-1.2.1"/>
      <sheetName val="E-1.3"/>
      <sheetName val="E-3.1"/>
      <sheetName val="E-5"/>
      <sheetName val="E-6"/>
      <sheetName val="R5"/>
      <sheetName val="A2-1.Furniture"/>
      <sheetName val="A2-1.Furniture-Year End"/>
      <sheetName val="A2-2.Computer"/>
      <sheetName val="A2-2.Computer Year End"/>
      <sheetName val="A2-3. Office Equipt"/>
      <sheetName val="A2-3. Office Equipt Year End"/>
      <sheetName val="A2-4.LEASING VHC"/>
      <sheetName val="A2-4.LEASING VHC Year End"/>
      <sheetName val="A2-5.Renovation "/>
      <sheetName val="A2-6.Building+Land"/>
      <sheetName val="A2-7. Vehicle"/>
      <sheetName val="A2-8 LICENSE PC"/>
      <sheetName val="A2-9"/>
      <sheetName val="A2-10."/>
      <sheetName val="A2-11"/>
      <sheetName val="A2-12"/>
      <sheetName val="J-1.1"/>
      <sheetName val="J-1.2"/>
      <sheetName val="F1-1"/>
      <sheetName val="F1-2"/>
      <sheetName val="G-2.3"/>
      <sheetName val="G-2.4"/>
      <sheetName val="G-2.5"/>
      <sheetName val="G-2.6"/>
      <sheetName val="G-2.7"/>
      <sheetName val="G2-1"/>
      <sheetName val="G2-2"/>
      <sheetName val="G2-3"/>
      <sheetName val="G2-4"/>
      <sheetName val="G2-5"/>
      <sheetName val="L2-3.1"/>
      <sheetName val="L2-1"/>
      <sheetName val="L2-2"/>
      <sheetName val="L2-3"/>
      <sheetName val="L2-3.2"/>
      <sheetName val="F2-1"/>
      <sheetName val="F2-2"/>
      <sheetName val="F2-3"/>
      <sheetName val="F2-4"/>
      <sheetName val="G3-1"/>
      <sheetName val="M1-1"/>
      <sheetName val="R2-1"/>
      <sheetName val="R2-2"/>
      <sheetName val="R2-2.1"/>
      <sheetName val="R2-3"/>
      <sheetName val="R3"/>
      <sheetName val="R6"/>
      <sheetName val="R7"/>
      <sheetName val="R7-1"/>
      <sheetName val="AnalyticaL Oct'04"/>
      <sheetName val="F3"/>
      <sheetName val="F4"/>
      <sheetName val="F5"/>
      <sheetName val="PPN-combined"/>
      <sheetName val="PPN Maluku"/>
      <sheetName val="PPN Ambon"/>
      <sheetName val="UV"/>
      <sheetName val="Rekap PPH21"/>
      <sheetName val="Rekap PPH23"/>
      <sheetName val="Rekap Prep.Tax-22"/>
      <sheetName val="Rekap PPh25"/>
      <sheetName val="Pricing test"/>
      <sheetName val="Predictive Test-Insurance"/>
      <sheetName val="PBJ TB"/>
      <sheetName val="Bio Assets"/>
      <sheetName val="Landrights"/>
      <sheetName val="Employee loans 2007"/>
      <sheetName val="Employee loans 2006"/>
      <sheetName val="BS-Rupiah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Other Forex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ownused"/>
      <sheetName val="ownused-bbm"/>
      <sheetName val="ownused-nbbm"/>
      <sheetName val="U-1-SALESBYCUST"/>
      <sheetName val="Ratio-C"/>
      <sheetName val="Ratio-P"/>
      <sheetName val="BS-C"/>
      <sheetName val="BS-P"/>
      <sheetName val="IS-C"/>
      <sheetName val="IS-P"/>
      <sheetName val="SE-C"/>
      <sheetName val="SE-P"/>
      <sheetName val="ICF-C"/>
      <sheetName val="DCF-C"/>
      <sheetName val="DCF-C_2003"/>
      <sheetName val="ICF-P"/>
      <sheetName val="Mutation CF"/>
      <sheetName val="Catatan-C"/>
      <sheetName val="Catatan-P"/>
      <sheetName val="Detail-C+P"/>
      <sheetName val="Combine Entries"/>
      <sheetName val="Consolidation Entries"/>
      <sheetName val="Investment-P"/>
      <sheetName val="Intercompany-C"/>
      <sheetName val="Intercompany-P"/>
      <sheetName val="FA-C"/>
      <sheetName val="FA-P"/>
      <sheetName val="Allowance-P"/>
      <sheetName val="Retained Earnings"/>
      <sheetName val="Rekon-Fiskal-BSU"/>
      <sheetName val="Tax Calculation up to 2004"/>
      <sheetName val="DIT - Up to 2004"/>
      <sheetName val="Fiscal Loss up to 2004"/>
      <sheetName val="Bank Loans-BSU"/>
      <sheetName val="Hutang Usaha-BSU"/>
      <sheetName val="Freeze+Resticted fund"/>
      <sheetName val="Foreign Currency-C"/>
      <sheetName val="Foreign Currency-P"/>
      <sheetName val="SE_C"/>
      <sheetName val="Gl prepared by coy"/>
      <sheetName val="WBS 1"/>
      <sheetName val="Data-CF2003"/>
      <sheetName val="CF-2003"/>
      <sheetName val="WBS 2"/>
      <sheetName val="DIT"/>
      <sheetName val="Detail WBS"/>
      <sheetName val="List CAJE"/>
      <sheetName val="List PAJE"/>
      <sheetName val="Taccount CAJE &amp; Paje"/>
      <sheetName val="Note analitical review"/>
      <sheetName val="Inv-Con"/>
      <sheetName val="Aff transaction"/>
      <sheetName val="T-acc Elimination"/>
      <sheetName val="Detail WBS 1 C+P"/>
      <sheetName val="Supp ICF-C"/>
      <sheetName val="Detail DCF-C"/>
      <sheetName val="DCF-C(tidak update)"/>
      <sheetName val="ICF-C(tidak update)"/>
      <sheetName val="DCF-Update"/>
      <sheetName val="Detail DCF-P"/>
      <sheetName val="DCF-P"/>
      <sheetName val="supp ICF-P"/>
      <sheetName val="Detail WBS 2 C+P"/>
      <sheetName val="DIT-HIM"/>
      <sheetName val="Detail WPL C+P"/>
      <sheetName val="DIT meimei"/>
      <sheetName val="T-ACC PAJE&amp;PRJE"/>
      <sheetName val="PAJE-P"/>
      <sheetName val="PRJE-P"/>
      <sheetName val="T-ACC CAJE&amp;CRJE"/>
      <sheetName val="CAJE-P"/>
      <sheetName val="CRJE-P"/>
      <sheetName val="T-ACC ELIMINASI"/>
      <sheetName val="Balance sheets"/>
      <sheetName val="Modal shm"/>
      <sheetName val="Detail piutang BSP"/>
      <sheetName val=" longterm loan (blm update)"/>
      <sheetName val="kurs BI selama Jan - Mar 07"/>
      <sheetName val="List of contents"/>
      <sheetName val="R-Sales "/>
      <sheetName val=" Cogs "/>
      <sheetName val="Selling &amp; GE"/>
      <sheetName val="Income Taxes"/>
      <sheetName val="Debtors-BS"/>
      <sheetName val="Creditors-BS"/>
      <sheetName val="Interco-BSP"/>
      <sheetName val="Interco-BPP"/>
      <sheetName val="Interco-HIM"/>
      <sheetName val="Interco-Nibung"/>
      <sheetName val="PT.MB"/>
      <sheetName val="CFA &amp; Depr"/>
      <sheetName val="Prod &amp; Karyawan"/>
      <sheetName val="shipping_program"/>
      <sheetName val="govt.Pinang"/>
      <sheetName val="govt.mlwn"/>
      <sheetName val="govt.mlwn (3)"/>
      <sheetName val="govt.mlwn (2)"/>
      <sheetName val="Adm Fee"/>
      <sheetName val="sales Mlw"/>
      <sheetName val="comm"/>
      <sheetName val="Mkt fee"/>
      <sheetName val="govt mlw"/>
      <sheetName val="govt mlw (2)"/>
      <sheetName val="govt prima"/>
      <sheetName val="govt pinang"/>
      <sheetName val="correc jour"/>
      <sheetName val="mkt fee mlw"/>
      <sheetName val="mktfee pri"/>
      <sheetName val="mkt fee pin"/>
      <sheetName val="comm mlw"/>
      <sheetName val="comm pri"/>
      <sheetName val="comm pin"/>
      <sheetName val="sales Pri"/>
      <sheetName val="sales Pin"/>
      <sheetName val="sortby_MO_CF"/>
      <sheetName val="T-Account Adj"/>
      <sheetName val="T-Account Elim"/>
      <sheetName val="DETAIL (EY SG - finalised)"/>
      <sheetName val="Elim (CJE - finalised by EYSG)"/>
      <sheetName val="BAVJun-Des07|June 07 update EY "/>
      <sheetName val="DETAIL (Revised - AC column)"/>
      <sheetName val="IFRS Adj"/>
      <sheetName val="T-Account IFRS"/>
      <sheetName val="Biological Asset Valuation"/>
      <sheetName val="Simulasi Elim"/>
      <sheetName val="Juli Audit 2007"/>
      <sheetName val="u-1-5-2-Sales to UPMS"/>
      <sheetName val="u-1-5-1-Sales to UP"/>
      <sheetName val="u-1-5- Sales to UPMS and UP"/>
      <sheetName val="U-1-NON BBM - export"/>
      <sheetName val="U-1-NON BBM - local"/>
      <sheetName val="U-1-BBM export"/>
      <sheetName val="U-1-5-MBAKAR"/>
      <sheetName val="U-1-4-MDIESEL"/>
      <sheetName val="U-1-3-MSOLAR "/>
      <sheetName val="U-1-2-MTANAH"/>
      <sheetName val="U-1-1-PREMIUM"/>
      <sheetName val="U-1-BBM local"/>
      <sheetName val="triwulan-4"/>
      <sheetName val="triwulan-3"/>
      <sheetName val="triwulan-2"/>
      <sheetName val="triwulan-1"/>
      <sheetName val="U-1RET002"/>
      <sheetName val="Location and Statistic Code"/>
      <sheetName val="salesprice 2005"/>
      <sheetName val="salesprice 2004"/>
      <sheetName val="FD-premium"/>
      <sheetName val="FD-solar"/>
      <sheetName val="FD-mfo"/>
      <sheetName val="FD-kero"/>
      <sheetName val="FD-diesel"/>
      <sheetName val="Outstanding PNBP Tunai"/>
      <sheetName val="Delivery"/>
      <sheetName val="Delivery -1"/>
      <sheetName val="unusual SKPP"/>
      <sheetName val="point ML"/>
      <sheetName val="u-1-5-2"/>
      <sheetName val="u-1-5-1"/>
      <sheetName val="u-1-5"/>
      <sheetName val="ARBV Consolidated"/>
      <sheetName val="ARBV IS Consolidated"/>
      <sheetName val="ARBV Cash flows"/>
      <sheetName val="AR BV"/>
      <sheetName val="GFI BVI"/>
      <sheetName val="Solegna BV"/>
      <sheetName val="IS-ARBV"/>
      <sheetName val="IS-GFI BVI"/>
      <sheetName val="IS-Solegna BV"/>
      <sheetName val="AR BV-Balance sheet"/>
      <sheetName val="Solegna-Balance sheet"/>
      <sheetName val="GFI-Balance sheet"/>
      <sheetName val="Solegna-Ytd"/>
      <sheetName val="GFI- Ytd"/>
      <sheetName val="Solegna - This Month"/>
      <sheetName val="GFI-This Month"/>
      <sheetName val="PM (Dec 31, 2005)"/>
      <sheetName val="PRJE - December 31, 2005"/>
      <sheetName val="CAJE - December 31, 2005 "/>
      <sheetName val="Lead TB"/>
      <sheetName val="Trial Balance Dec 31, 05"/>
      <sheetName val="C Memo (1)"/>
      <sheetName val="C-11"/>
      <sheetName val="C-12"/>
      <sheetName val="C-13"/>
      <sheetName val="E-2.4"/>
      <sheetName val="Aging Receivable"/>
      <sheetName val="Aging Receivable (2)"/>
      <sheetName val="F-2.1"/>
      <sheetName val="F-2.4"/>
      <sheetName val="F-2.5"/>
      <sheetName val="F-2.6"/>
      <sheetName val="F-2.7"/>
      <sheetName val="G-1.1 Memo"/>
      <sheetName val="G-1.1.1 "/>
      <sheetName val="CashFlow Combined"/>
      <sheetName val="Expense clasiffication"/>
      <sheetName val="TB-December 31, 2005"/>
      <sheetName val="T - Account"/>
      <sheetName val="Fiscal per pak agus"/>
      <sheetName val="Fiscal  per audit"/>
      <sheetName val="Tax-IDR"/>
      <sheetName val="TAX-USD"/>
      <sheetName val="Analytical WBS1"/>
      <sheetName val="Analytical WBS2"/>
      <sheetName val="Analytical WPL"/>
      <sheetName val="CASH &amp; BANK (C)"/>
      <sheetName val="Analytical Cash"/>
      <sheetName val="TRADE AR (E-1)"/>
      <sheetName val="AR-USD"/>
      <sheetName val="AR-VAT"/>
      <sheetName val="OTHER AR (E-2)"/>
      <sheetName val="Detail Miscellaneous"/>
      <sheetName val="INVENTORY (F)"/>
      <sheetName val="Production of methanol"/>
      <sheetName val="ADVANCE&amp;PREPAID EXPENSES (G-2)"/>
      <sheetName val="COP-LOAN"/>
      <sheetName val="ADV"/>
      <sheetName val="details confirmation Loan &amp; Adv"/>
      <sheetName val="Prepaid insurance (G2.1)"/>
      <sheetName val="cOVER INSURANCE (G.2.2)"/>
      <sheetName val="Plan &amp; insurance exp(U.4-9)"/>
      <sheetName val="Others asset (J)"/>
      <sheetName val="AP TRADE (N)"/>
      <sheetName val="Detail AP Supplier"/>
      <sheetName val="Detail AP Others"/>
      <sheetName val="subsequent payment"/>
      <sheetName val="ACCRUED (P)"/>
      <sheetName val="Accrued insurance(P.1)"/>
      <sheetName val="GR-IR"/>
      <sheetName val="TAXES PAYABLE (O)"/>
      <sheetName val="CAPITAL (T)"/>
      <sheetName val="REVENUE (U-1)"/>
      <sheetName val="Analytical Revenue"/>
      <sheetName val="Cut of sales"/>
      <sheetName val="COGS (U-2)"/>
      <sheetName val="Analitical COGS "/>
      <sheetName val="OPEX (U-3)"/>
      <sheetName val="analitical opex"/>
      <sheetName val="Detail COGS and OPEX USD"/>
      <sheetName val="Detail COGS and OPEX IDR"/>
      <sheetName val="OTHER INC (EXP) (U-4)"/>
      <sheetName val="Accrue interst income"/>
      <sheetName val="Gain(loss) forex"/>
      <sheetName val="PAJE "/>
      <sheetName val="CAJE "/>
      <sheetName val="Materiality IDR &amp; USD"/>
      <sheetName val="XXXXXXXX"/>
      <sheetName val="Ay080671"/>
      <sheetName val="Kapitalisasi"/>
      <sheetName val="Neraca (2)"/>
      <sheetName val="Prl-99 (2)"/>
      <sheetName val="Note to FS"/>
      <sheetName val="Prl-99"/>
      <sheetName val="Rugi-Laba"/>
      <sheetName val="WBS-trial"/>
      <sheetName val="WPL-trial"/>
      <sheetName val="WBS-March31,2005"/>
      <sheetName val="WPL-March31,2005"/>
      <sheetName val="Depre Test"/>
      <sheetName val="Depre Test adi"/>
      <sheetName val="Machinary yg depr tdk 9 bln"/>
      <sheetName val="Machinary 2006 (2)"/>
      <sheetName val="MAchenery 2005"/>
      <sheetName val="Off &amp; Komp USD full depr"/>
      <sheetName val="2002 komp IDR full depr"/>
      <sheetName val="2002 IDR full Depr equip"/>
      <sheetName val="add machinery"/>
      <sheetName val="add vehicle"/>
      <sheetName val="add office equip"/>
      <sheetName val="add office equip IDR"/>
      <sheetName val="add leasehold"/>
      <sheetName val="vouch addition"/>
      <sheetName val="Compare Saldo"/>
      <sheetName val="PM,TE &amp; SAD"/>
      <sheetName val="Deff Tax"/>
      <sheetName val="Rekon Fiskal"/>
      <sheetName val="Int Inc U.6-1"/>
      <sheetName val="vehicles"/>
      <sheetName val="LEAS"/>
      <sheetName val="AMOR"/>
      <sheetName val="Review"/>
      <sheetName val="Loan Covenant"/>
      <sheetName val="F.5"/>
      <sheetName val="F.6"/>
      <sheetName val="K.2.1"/>
      <sheetName val="K.2.2"/>
      <sheetName val="Pen"/>
      <sheetName val="O.4"/>
      <sheetName val="U.1.1"/>
      <sheetName val="U.1.2"/>
      <sheetName val="U.1.3"/>
      <sheetName val="U.2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Other Assets"/>
      <sheetName val="Notes Payable"/>
      <sheetName val="AP trade"/>
      <sheetName val="Taxes payable"/>
      <sheetName val="Advance from customer"/>
      <sheetName val="Pension Fund"/>
      <sheetName val="Deferred tax liabilities"/>
      <sheetName val="Unrealized Gain on MF"/>
      <sheetName val="Other charges (income)"/>
      <sheetName val="L-Otr.Ast "/>
      <sheetName val="G.2.1 (PPh Ps 22)"/>
      <sheetName val="is-sum"/>
      <sheetName val="isdetail"/>
      <sheetName val="bs-sum"/>
      <sheetName val="bsdetail"/>
      <sheetName val="WBS I"/>
      <sheetName val="WBS II"/>
      <sheetName val="I.AR"/>
      <sheetName val="I.AP"/>
      <sheetName val="Memo Journal"/>
      <sheetName val="K (Dec)"/>
      <sheetName val="Predictive depre"/>
      <sheetName val="O Prepaid"/>
      <sheetName val="O Payable"/>
      <sheetName val="Sales Cut Off"/>
      <sheetName val="Purchase Cut Off"/>
      <sheetName val="U.1 Lead"/>
      <sheetName val="U.1.1.1 Sales Cut Off AP"/>
      <sheetName val="U.1.1.2 Sales Cut Off WCP"/>
      <sheetName val="U.1.2.1 Test Recorded Sales AP"/>
      <sheetName val="U.1.2.2 Test Recorded Sales WCP"/>
      <sheetName val="U.2 Lead"/>
      <sheetName val="U.2.1 COGS Test - coba"/>
      <sheetName val="U.3 Lead"/>
      <sheetName val="U3.1 Breakdown"/>
      <sheetName val="U.4 Lead"/>
      <sheetName val="VB.1.1"/>
      <sheetName val="C.1 Forex Test"/>
      <sheetName val="C.2 Cut Off"/>
      <sheetName val="CC Confirmation Cash"/>
      <sheetName val="E.1 Aging AR"/>
      <sheetName val="E.2 Test Aging AR"/>
      <sheetName val="E.3 AR Turn Over"/>
      <sheetName val="E.4 Subsequent AR"/>
      <sheetName val="EE Conf. AR"/>
      <sheetName val="F.1 RM and WIP"/>
      <sheetName val="F.2 Finished Goods"/>
      <sheetName val="F.3 Material In Transit"/>
      <sheetName val="F.4 Provision Inventory"/>
      <sheetName val="F.4.1 Test Provision"/>
      <sheetName val="F.5 Inventory Turn Over"/>
      <sheetName val="F.6 Roll Forward"/>
      <sheetName val="F.7 Test Pricing Inventory"/>
      <sheetName val="F.8 Inventory Reconciliation"/>
      <sheetName val="A_4_2"/>
      <sheetName val="A_4_3"/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RINCIAN (2)"/>
      <sheetName val="DEC05 (2)"/>
      <sheetName val="Items 2005"/>
      <sheetName val="Items 0606"/>
      <sheetName val="Items 0706"/>
      <sheetName val="Items 0806"/>
      <sheetName val="Items 0906"/>
      <sheetName val="Items 1006 "/>
      <sheetName val="Items 1106 "/>
      <sheetName val="Items 1206"/>
      <sheetName val="Provision-2006"/>
      <sheetName val="PR0104"/>
      <sheetName val="PR0204"/>
      <sheetName val="PR0304"/>
      <sheetName val="PR0404"/>
      <sheetName val="PR0504"/>
      <sheetName val="PR0604"/>
      <sheetName val="PR0704"/>
      <sheetName val="PR0804"/>
      <sheetName val="PR0904"/>
      <sheetName val="PR1004"/>
      <sheetName val="PR1104"/>
      <sheetName val="PR1204"/>
      <sheetName val="PR0105"/>
      <sheetName val="PR0205"/>
      <sheetName val="PR0305"/>
      <sheetName val="PR0405"/>
      <sheetName val="PR0505"/>
      <sheetName val="PR0605"/>
      <sheetName val="PR0705"/>
      <sheetName val="PR0805"/>
      <sheetName val="PR0905"/>
      <sheetName val="PR1005"/>
      <sheetName val="PR1105"/>
      <sheetName val="PR1205"/>
      <sheetName val="PR0106"/>
      <sheetName val="PR0206"/>
      <sheetName val="PR0306"/>
      <sheetName val="PR0406"/>
      <sheetName val="PR0506"/>
      <sheetName val="PR0606"/>
      <sheetName val="PR0706"/>
      <sheetName val="PR0806"/>
      <sheetName val="PR0906"/>
      <sheetName val="PR1006"/>
      <sheetName val="PR1106"/>
      <sheetName val="PR1206"/>
      <sheetName val="Audit Issues"/>
      <sheetName val="A 3-1"/>
      <sheetName val="A 3-2"/>
      <sheetName val="A 3-3"/>
      <sheetName val="M.2 Lead - Due To"/>
      <sheetName val="M.2.1 Movement Due To"/>
      <sheetName val="MM Due to Confirm."/>
      <sheetName val="M.3 Advance Payable"/>
      <sheetName val="M.3.1 Advance Pay. AP"/>
      <sheetName val="M.3.2 Advance Pay. WCP"/>
      <sheetName val="O Lead - Tax Pay."/>
      <sheetName val="O.1 PPh art 21"/>
      <sheetName val="O.2 PPh art 23"/>
      <sheetName val="O.3 PPh art 26"/>
      <sheetName val="O.4 Vat out"/>
      <sheetName val="O.4.1 Recon Sales"/>
      <sheetName val="O.4.2 VAT - Installation"/>
      <sheetName val="O.4.3 Dasa"/>
      <sheetName val="O.4.4 DP Received"/>
      <sheetName val="O.4.5 Retur"/>
      <sheetName val="P.1 Lead - Other Pay."/>
      <sheetName val="P.1.1 OUCL"/>
      <sheetName val="P.2 Lead - Accrued Exp"/>
      <sheetName val="P.3 Lead - Employees' Benefit"/>
      <sheetName val="P.3.1 Movement PSAK 24"/>
      <sheetName val="P.3.2 Recon Actuary"/>
      <sheetName val="P.3.3 Individual PVO"/>
      <sheetName val="T Lead - SHE"/>
      <sheetName val="T.1 Recon RE"/>
      <sheetName val="TT Capital Conf."/>
      <sheetName val="Predictive FA Fiscal"/>
      <sheetName val="lre"/>
      <sheetName val="bre"/>
      <sheetName val="lrf"/>
      <sheetName val="FIXED FLOAT"/>
      <sheetName val="11493-FIX"/>
      <sheetName val="11499"/>
      <sheetName val="TRAV ADV"/>
      <sheetName val="OTHER ADV"/>
      <sheetName val="PREPAID EXP"/>
      <sheetName val="INSC EXP"/>
      <sheetName val="CURRENT LIAB"/>
      <sheetName val="PPh23$22"/>
      <sheetName val="AccList"/>
      <sheetName val="PnL"/>
      <sheetName val="TB_PL_02_03"/>
      <sheetName val="P_LFiskal"/>
      <sheetName val="BLS03"/>
      <sheetName val="Tmp"/>
      <sheetName val="OHDFIN"/>
      <sheetName val="OHDMGM"/>
      <sheetName val="OHDTRN"/>
      <sheetName val="OHDHRD"/>
      <sheetName val="OHDMKT"/>
      <sheetName val="OHDPS"/>
      <sheetName val="OHDSLS"/>
      <sheetName val="FI"/>
      <sheetName val="DbCC"/>
      <sheetName val="OHD-Proj"/>
      <sheetName val="OHD-CC"/>
      <sheetName val="LLItems"/>
      <sheetName val="FleetPurch"/>
      <sheetName val="CAPEX REKAP"/>
      <sheetName val="LL Calc"/>
      <sheetName val="Param"/>
      <sheetName val="SAPDb"/>
      <sheetName val="EwyAdj"/>
      <sheetName val="DbProj"/>
      <sheetName val="SAPAcc"/>
      <sheetName val="NEWCOPA"/>
      <sheetName val="COPA"/>
      <sheetName val="Copa2"/>
      <sheetName val="Margin Calc"/>
      <sheetName val="NewCopa2"/>
      <sheetName val="Reconstr"/>
      <sheetName val="OHD"/>
      <sheetName val="SMb"/>
      <sheetName val="BSb"/>
      <sheetName val="CFb"/>
      <sheetName val="OHDb"/>
      <sheetName val="LLb"/>
      <sheetName val="CAPb"/>
      <sheetName val="SM1"/>
      <sheetName val="BS1"/>
      <sheetName val="CF1"/>
      <sheetName val="OH1"/>
      <sheetName val="LL1"/>
      <sheetName val="CAP1"/>
      <sheetName val="SM2"/>
      <sheetName val="BS2"/>
      <sheetName val="CF2"/>
      <sheetName val="OH2"/>
      <sheetName val="LL2"/>
      <sheetName val="CAP2"/>
      <sheetName val="TOP F-123 (2)"/>
      <sheetName val="F-123"/>
      <sheetName val="TOP F-123"/>
      <sheetName val="Contracts, Parts &amp; Tech"/>
      <sheetName val="CSARL File Location"/>
      <sheetName val="PPH21_Cal"/>
      <sheetName val="Equal"/>
      <sheetName val="Equal For Tax"/>
      <sheetName val="Rekap SPT_Per Des Ok"/>
      <sheetName val="1721 KIP"/>
      <sheetName val="1721 TED"/>
      <sheetName val="1721 BHI"/>
      <sheetName val="1721 SGT"/>
      <sheetName val="1721 SMD"/>
      <sheetName val="BenefitHouse"/>
      <sheetName val="BenefitHouse_new"/>
      <sheetName val=" K-1 PPE reporting "/>
      <sheetName val="asset dec'09 rEV2"/>
      <sheetName val="Asset Transaction09"/>
      <sheetName val="List by classs"/>
      <sheetName val="asset transaction08"/>
      <sheetName val="asset depreciation08"/>
      <sheetName val="tb08.02.02.09"/>
      <sheetName val="Asset sales"/>
      <sheetName val="Useful life"/>
      <sheetName val="111121105"/>
      <sheetName val="Penjelasan"/>
      <sheetName val="PMHD"/>
      <sheetName val="PLL"/>
      <sheetName val="INTRA"/>
      <sheetName val="CAD PIUT"/>
      <sheetName val="BANK-INTRANSIT"/>
      <sheetName val="AR-INTRANSIT"/>
      <sheetName val="AUP"/>
      <sheetName val="TOP20"/>
      <sheetName val="JOURNAL-BDM"/>
      <sheetName val="Cisco"/>
      <sheetName val="Tax (2)"/>
      <sheetName val="Reklase"/>
      <sheetName val="WLS"/>
      <sheetName val="trf gl"/>
      <sheetName val="Sheet1 (4)"/>
      <sheetName val="Deposit POS"/>
      <sheetName val="212400100"/>
      <sheetName val="1105-B&amp;I-OK"/>
      <sheetName val="1106-M&amp;E"/>
      <sheetName val="1101-LR-OK"/>
      <sheetName val="1102-B&amp;I-OK"/>
      <sheetName val="1103-M&amp;E"/>
      <sheetName val="1104-M&amp;E"/>
      <sheetName val="1107-V&amp;T"/>
      <sheetName val="1108-V&amp;T"/>
      <sheetName val="1109-T&amp;O"/>
      <sheetName val=" Leasing"/>
      <sheetName val="KOMPARASI"/>
      <sheetName val="Sale-Leaseback"/>
      <sheetName val="jan04"/>
      <sheetName val="Sale-Leaseback (2)"/>
      <sheetName val="Land Not Used-print"/>
      <sheetName val="Land Not Used"/>
      <sheetName val="HQ"/>
      <sheetName val="SUM-NAT"/>
      <sheetName val="Asset disposal"/>
      <sheetName val="Detail-SAP"/>
      <sheetName val="Summary (2)"/>
      <sheetName val="PPH GB"/>
      <sheetName val="INV (2)"/>
      <sheetName val="KEND"/>
      <sheetName val="KEND (2)"/>
      <sheetName val="jnrl reverse"/>
      <sheetName val="Depr-Inv"/>
      <sheetName val="Depr-Kend"/>
      <sheetName val="Depr-Bgn"/>
      <sheetName val="Jnrl Reklase"/>
      <sheetName val="Rev-ADP"/>
      <sheetName val="Saldo"/>
      <sheetName val="Tax Comp"/>
      <sheetName val="Detail DTA"/>
      <sheetName val="to FS"/>
      <sheetName val="PAJE-RJE"/>
      <sheetName val="CAJE-RJE"/>
      <sheetName val="CF Package Jun10"/>
      <sheetName val="CF report"/>
      <sheetName val="Tax Comp Juni 2010"/>
      <sheetName val="I-2"/>
      <sheetName val="Flow Loan"/>
      <sheetName val="VA-1(DL)"/>
      <sheetName val="VA-2(FOH)"/>
      <sheetName val="VC_Opex"/>
      <sheetName val="COGS_PBC"/>
      <sheetName val="TB as of 30.06.2010"/>
      <sheetName val="Tax payable(O)"/>
      <sheetName val="Tax21 (O-1)"/>
      <sheetName val="Tax23 (O-2)"/>
      <sheetName val="Tax25 (O-3)"/>
      <sheetName val="O-4 VAT"/>
      <sheetName val="O-4.1VAT Recon"/>
      <sheetName val="O-5 Tax 23 Prepaid"/>
      <sheetName val="BS+PL"/>
      <sheetName val="Trf-SAP"/>
      <sheetName val="PCA-SBG"/>
      <sheetName val="Reklase Intra"/>
      <sheetName val="TB Dec printed  29-02-08"/>
      <sheetName val="AssetDisp.Fiscal"/>
      <sheetName val="Sum_AssetDisp"/>
      <sheetName val="AssetDispComm"/>
      <sheetName val="Tetap&amp;Waktu"/>
      <sheetName val="TB2010"/>
      <sheetName val="Forex Leasing"/>
      <sheetName val="Leasing 2010 USD"/>
      <sheetName val="EmpHouseRent"/>
      <sheetName val="PPh25Prepaid_2010"/>
      <sheetName val="Asset Fiscal"/>
      <sheetName val="RekonPPh21"/>
      <sheetName val="Flow of COGS"/>
      <sheetName val="Company"/>
      <sheetName val="Detail Nov 09"/>
      <sheetName val="Asset data"/>
      <sheetName val="Dep1012"/>
      <sheetName val="Bal2010"/>
      <sheetName val="Sheet1 (5)"/>
      <sheetName val="Lease2009"/>
      <sheetName val="Dtl2009"/>
      <sheetName val="Dtl2010"/>
      <sheetName val="Dep2010"/>
      <sheetName val="Bal Dec 2010"/>
      <sheetName val="Dep10-12"/>
      <sheetName val="Sep2010"/>
      <sheetName val="Asset Acq Nov 2010"/>
      <sheetName val="asset trransfer"/>
      <sheetName val="SSP SPT 21 26"/>
      <sheetName val="SSP SPT 42"/>
      <sheetName val="SSP SPT 23 26"/>
      <sheetName val="POT 23 26"/>
      <sheetName val="DBP"/>
      <sheetName val="BP23"/>
      <sheetName val="BP23 (2)"/>
      <sheetName val="SSP SPT 22"/>
      <sheetName val="POT 42"/>
      <sheetName val="SSP SPT 25"/>
      <sheetName val="DWP"/>
      <sheetName val="LOOKUP"/>
      <sheetName val="PM-PL"/>
      <sheetName val="Reports"/>
      <sheetName val="VI"/>
      <sheetName val="1A"/>
      <sheetName val="III.1"/>
      <sheetName val="III.2"/>
      <sheetName val="C10a"/>
      <sheetName val="C10c"/>
      <sheetName val="CGS"/>
      <sheetName val="MKT"/>
      <sheetName val="SK HTM"/>
      <sheetName val="TLKM-J"/>
      <sheetName val="N-TLKM"/>
      <sheetName val="Table Array"/>
      <sheetName val="TU By Div (2)"/>
      <sheetName val="detail pph from tu"/>
      <sheetName val="INC"/>
      <sheetName val="MED"/>
      <sheetName val="ENT"/>
      <sheetName val="Sum_1211120_30 &amp; 60"/>
      <sheetName val="1211120-Query"/>
      <sheetName val="1211130-Query"/>
      <sheetName val="1211160-Query"/>
      <sheetName val="Details GR_1211120,30 &amp; 60 "/>
      <sheetName val="7411230"/>
      <sheetName val="7411231"/>
      <sheetName val="7411240"/>
      <sheetName val="7411242"/>
      <sheetName val="7411242-GL"/>
      <sheetName val="7411250"/>
      <sheetName val="7411260"/>
      <sheetName val="7411260-GL"/>
      <sheetName val="7411268"/>
      <sheetName val="7411268-GL"/>
      <sheetName val="Detail Direct PO_ZSSBPOHIST (2)"/>
      <sheetName val="Sum_Direct Purchase"/>
      <sheetName val="Detail Direct PO_ZSSBPOHISTORY "/>
      <sheetName val="Tax Comp 2010"/>
      <sheetName val="TB_Periode14"/>
      <sheetName val="cashflow Package_2010"/>
      <sheetName val="Direct CF_reporting"/>
      <sheetName val="K 2_1"/>
      <sheetName val="def tax"/>
      <sheetName val="LR Fiskal"/>
      <sheetName val="Rekon Fiscal"/>
      <sheetName val="CAJE-CRJE"/>
      <sheetName val="FA Fiskal"/>
      <sheetName val="List FA-Fis"/>
      <sheetName val="FA-Kom'04 (2)"/>
      <sheetName val="Addition FA"/>
      <sheetName val="FA Mutation"/>
      <sheetName val="CAJE and CRJE"/>
      <sheetName val="C "/>
      <sheetName val="I.1 AR"/>
      <sheetName val="I.2 AP"/>
      <sheetName val="K "/>
      <sheetName val="O.1 Prepaid"/>
      <sheetName val="O.2 Payable"/>
      <sheetName val="Point To Do SBY"/>
      <sheetName val="R.1 RECON FISCAL"/>
      <sheetName val="R.1 Def. Tax"/>
      <sheetName val="R.1.1 N.D.E"/>
      <sheetName val="Rental"/>
      <sheetName val="R.1.2 Interest Inc."/>
      <sheetName val="R.1.3 Vehicle depre."/>
      <sheetName val="R.1.4 Depreciation"/>
      <sheetName val="R.1.7 Leasing"/>
      <sheetName val="R.1.8 Disposal FA"/>
      <sheetName val="R.1.6 Amort."/>
      <sheetName val="R.1.5 Real Bad Stock"/>
      <sheetName val="LESIND"/>
      <sheetName val="RKIN"/>
      <sheetName val="SSM"/>
      <sheetName val="UA Jul - Oct"/>
      <sheetName val="Summary diff ARE"/>
      <sheetName val="Sum All"/>
      <sheetName val="IND"/>
      <sheetName val="BPW-Europe"/>
      <sheetName val="SING"/>
      <sheetName val="SRI L"/>
      <sheetName val="CBD"/>
      <sheetName val="MALE"/>
      <sheetName val="VIET"/>
      <sheetName val="Thai"/>
      <sheetName val="BPWI"/>
      <sheetName val="JV"/>
      <sheetName val="Main table"/>
      <sheetName val="Expats' Rental"/>
      <sheetName val="Booked Rentals"/>
      <sheetName val="Accrued Rentals"/>
      <sheetName val="SALESJAN'03"/>
      <sheetName val="SALESFEB'03"/>
      <sheetName val="SALESMRT'03"/>
      <sheetName val="SALESAPR'03"/>
      <sheetName val="SALESMEI'03"/>
      <sheetName val="SALESJUNI'03"/>
      <sheetName val="SALESJULI'03"/>
      <sheetName val="SALESAGT'03"/>
      <sheetName val="SALESSEP'03"/>
      <sheetName val="SALESOKT'03"/>
      <sheetName val="SALESNOP'03"/>
      <sheetName val="SALESDES'03"/>
      <sheetName val="printCDV"/>
      <sheetName val="E_7_1"/>
      <sheetName val="ORIGINAL"/>
      <sheetName val="Contracts_ Parts _ Tech"/>
      <sheetName val="1771_2"/>
      <sheetName val="TB per Dec 08 Final 6feb09 7"/>
      <sheetName val="CAJE Lease 08"/>
      <sheetName val="U_1_2"/>
      <sheetName val="U_1_3"/>
      <sheetName val="U_1_5"/>
      <sheetName val="G_2"/>
      <sheetName val="G_1"/>
      <sheetName val="PAJE&amp;PRJE"/>
      <sheetName val="set PM&amp;TE"/>
      <sheetName val="WBS 1 &amp; 2, WPL"/>
      <sheetName val="Cash(C)"/>
      <sheetName val="FA(K)"/>
      <sheetName val="AR(E)"/>
      <sheetName val="AR OTHERS-TRADE ART 23 (E.3)"/>
      <sheetName val="Intercompany (I)"/>
      <sheetName val="Inv. (F)"/>
      <sheetName val="prepaid exp(J)"/>
      <sheetName val="AP(N)"/>
      <sheetName val="Accrued Payable(P-1)"/>
      <sheetName val="Leasing(Q)"/>
      <sheetName val="Unearned revenue(P-2)"/>
      <sheetName val="cap.stock(T)"/>
      <sheetName val="sales(U-1)"/>
      <sheetName val="Cost of revenues(U-2)"/>
      <sheetName val="Opex(U-3)"/>
      <sheetName val="Other inc.(U-4)"/>
      <sheetName val="gross profit"/>
      <sheetName val="Assets&amp;liab in foreign curr."/>
      <sheetName val="BS 2005"/>
      <sheetName val="LIAB 2005"/>
      <sheetName val="WPL 2005"/>
      <sheetName val="BS_DTA"/>
      <sheetName val="DIT 05 AUDIT"/>
      <sheetName val="Fiscal Comp 05"/>
      <sheetName val="Restatement 2004"/>
      <sheetName val="To Report (FS)"/>
      <sheetName val="Fisc. Rec."/>
      <sheetName val="DIT BS"/>
      <sheetName val="DIT Flow"/>
      <sheetName val="Report Purposes"/>
      <sheetName val="1ST CLOSING"/>
      <sheetName val="Intercoy Reconciliation"/>
      <sheetName val="E-3-1 AFDA Analysis"/>
      <sheetName val="SOLAR ONLY"/>
      <sheetName val="sampling"/>
      <sheetName val="Leasing_"/>
      <sheetName val="M-1"/>
      <sheetName val="M-2"/>
      <sheetName val="M-3"/>
      <sheetName val="N-2-1"/>
      <sheetName val="P-1.3"/>
      <sheetName val="P-1.9"/>
      <sheetName val="P-2-1"/>
      <sheetName val="CFI Balance"/>
      <sheetName val="CSUL"/>
      <sheetName val="U-1-1"/>
      <sheetName val="U-2-1"/>
      <sheetName val="U-2-1.1"/>
      <sheetName val="U-2-2"/>
      <sheetName val="U-2-2-1"/>
      <sheetName val="U-2-3"/>
      <sheetName val="U-2-3-1"/>
      <sheetName val="U-3-1"/>
      <sheetName val="U-3-1-1"/>
      <sheetName val="U-3-2"/>
      <sheetName val="U-3-2-1"/>
      <sheetName val="U-4-1"/>
      <sheetName val="AP reval"/>
      <sheetName val="Flow of Loan"/>
      <sheetName val="List AR"/>
      <sheetName val="not up date"/>
      <sheetName val="Analytical WBSWPL (not update)"/>
      <sheetName val="Leasing (not up date)"/>
      <sheetName val="Analytical (not up date)"/>
      <sheetName val="COS REV (not up date)"/>
      <sheetName val="OPEX (not up date)"/>
      <sheetName val="Other Inc Charges (not up date)"/>
      <sheetName val="COS RATE"/>
      <sheetName val="AdjAmount_311206"/>
      <sheetName val="Quantity Base"/>
      <sheetName val="Blc_QTY_aftrQADJ"/>
      <sheetName val="Inv_311206"/>
      <sheetName val="AdjQty_311206"/>
      <sheetName val="WIP"/>
      <sheetName val="MoveCurrAll"/>
      <sheetName val="moveaftervar"/>
      <sheetName val="VARMTN"/>
      <sheetName val="VAROVH"/>
      <sheetName val="VARFUEL"/>
      <sheetName val="VAREQP"/>
      <sheetName val="VARTYRE"/>
      <sheetName val="VARSI"/>
      <sheetName val="VARMPR"/>
      <sheetName val="VARSUB"/>
      <sheetName val="VAROTH"/>
      <sheetName val="Pst_akt"/>
      <sheetName val="TND"/>
      <sheetName val="03-07"/>
      <sheetName val="Move"/>
      <sheetName val="Aktuaria07"/>
      <sheetName val="Not Aktif 2008 (2)"/>
      <sheetName val="Not Aktif 2008"/>
      <sheetName val="Jubilee PT CK 2008"/>
      <sheetName val="DPTU ok"/>
      <sheetName val="DPLK"/>
      <sheetName val="NON DPTU &amp; DPLK"/>
      <sheetName val="DPTU ok (2)"/>
      <sheetName val="DPLK (2)"/>
      <sheetName val="NON DPTU &amp; DPLK (2)"/>
      <sheetName val="PM &amp; TE"/>
      <sheetName val="PAJE,PRJE"/>
      <sheetName val="Passed Adj"/>
      <sheetName val="T account"/>
      <sheetName val="ML Point"/>
      <sheetName val="E-1 (Aging)"/>
      <sheetName val="Sample Selection"/>
      <sheetName val="G-5"/>
      <sheetName val="G-6"/>
      <sheetName val="G-6.1"/>
      <sheetName val="H Lead"/>
      <sheetName val="H-5.1"/>
      <sheetName val="Status Tax"/>
      <sheetName val="J Memo"/>
      <sheetName val="I-1 Lead"/>
      <sheetName val="LS-Pajak dibyr Dimuka"/>
      <sheetName val="Inv2005-01"/>
      <sheetName val="Jan05"/>
      <sheetName val="WIP Rate"/>
      <sheetName val="COS Analysis"/>
      <sheetName val="Quantity Prod"/>
      <sheetName val="Adjustment on RE Parent"/>
      <sheetName val="CONSOL '09"/>
      <sheetName val="Restatement Entries"/>
      <sheetName val="Investment KE"/>
      <sheetName val="Investment IM"/>
      <sheetName val="Elimination 09"/>
      <sheetName val="CF 2007 Before restate"/>
      <sheetName val="Detail BS_PL"/>
      <sheetName val="Fixed Assets'09"/>
      <sheetName val="InterCo AR_AP"/>
      <sheetName val="(DTA)DIT"/>
      <sheetName val="T-Account "/>
      <sheetName val="PSAK 24 to Report"/>
      <sheetName val="InterCo Revenue_COGS"/>
      <sheetName val="COGS Details"/>
      <sheetName val="July 31, 2005 - WBS1"/>
      <sheetName val="July 31, 2005 - WBS2"/>
      <sheetName val="July 31, 2005 - WPL"/>
      <sheetName val="PM TE"/>
      <sheetName val="C-Memo"/>
      <sheetName val="E-1.atch"/>
      <sheetName val="E-1.Subqnt"/>
      <sheetName val="Test Pricing"/>
      <sheetName val="G-atc"/>
      <sheetName val="N-atch"/>
      <sheetName val="U-3.2"/>
      <sheetName val="U-3.3"/>
      <sheetName val="U-3.4"/>
      <sheetName val="U-3.5"/>
      <sheetName val="U-3.5.1"/>
      <sheetName val="TOC Purc"/>
      <sheetName val="TOC Sales"/>
      <sheetName val="TotEx"/>
      <sheetName val="C(Cash&amp;bank)"/>
      <sheetName val="ADJ CODA TUS(S)PL"/>
      <sheetName val="ADJ CODA PTTU"/>
      <sheetName val="ADJ CODA TUS(S)PL (2)"/>
      <sheetName val="U4.2.1"/>
      <sheetName val="U4.2"/>
      <sheetName val="PPh23 th.04"/>
      <sheetName val="N  3"/>
      <sheetName val="N 4"/>
      <sheetName val="CC AP"/>
      <sheetName val="Sub Payment"/>
      <sheetName val="P-2.1 Def Income"/>
      <sheetName val="P3 LaborLaw"/>
      <sheetName val="O Taxes Payable"/>
      <sheetName val="O-1Art21"/>
      <sheetName val="O-3VATOut"/>
      <sheetName val="O-3.1 VAT Out Recon"/>
      <sheetName val="M1 ADJ KURS CB LOAN"/>
      <sheetName val="MM-Loan"/>
      <sheetName val="TT-Equity"/>
      <sheetName val="T Equity"/>
      <sheetName val="N.6.3"/>
      <sheetName val="O4"/>
      <sheetName val="O4(2)"/>
      <sheetName val="O.5"/>
      <sheetName val="P2 (2)"/>
      <sheetName val="P2"/>
      <sheetName val="P5"/>
      <sheetName val="U1"/>
      <sheetName val="U2"/>
      <sheetName val="U3"/>
      <sheetName val="O.1 (Art 21)"/>
      <sheetName val="O.2 (Art 23)"/>
      <sheetName val="Person Incharge"/>
      <sheetName val="ELIM UCC"/>
      <sheetName val="CONSOL '08"/>
      <sheetName val="Reclass Entry07"/>
      <sheetName val="COGS (1)"/>
      <sheetName val="Reclass08"/>
      <sheetName val="Effect Tax Rate"/>
      <sheetName val="Fixed Assets'08"/>
      <sheetName val="Elimination InterCo"/>
      <sheetName val="InterCo_"/>
      <sheetName val="Movement for CF"/>
      <sheetName val="Reclassification FY07"/>
      <sheetName val="ELIM Sale of Asset"/>
      <sheetName val="RE Reconciliation"/>
      <sheetName val="Contribution Paid"/>
      <sheetName val="Natra Raya"/>
      <sheetName val="Equity Method"/>
      <sheetName val="Minority Interest"/>
      <sheetName val="PSAK 24"/>
      <sheetName val="Add inf CF"/>
      <sheetName val="COGS (2)"/>
      <sheetName val="Sales Parameter"/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CONSOL '07 &amp; 08"/>
      <sheetName val="Elimination 07"/>
      <sheetName val="Investment 07"/>
      <sheetName val="Elimination 08"/>
      <sheetName val="Investment 08"/>
      <sheetName val="AGUSTUS"/>
      <sheetName val="Colsolidasi"/>
      <sheetName val="TMT"/>
      <sheetName val="CK"/>
      <sheetName val="TU"/>
      <sheetName val="SSB"/>
      <sheetName val="CP"/>
      <sheetName val="CKB"/>
      <sheetName val="CONSOL '05"/>
      <sheetName val="EJE '05"/>
      <sheetName val="AJE PSAK 4"/>
      <sheetName val="EJE to be added"/>
      <sheetName val="EJE to be deleted"/>
      <sheetName val="t acc 2005"/>
      <sheetName val="Fixed Assets'05"/>
      <sheetName val="CONSOL '06"/>
      <sheetName val="Fixed Assets'06"/>
      <sheetName val="RECON CJ SALES"/>
      <sheetName val="SALES USD (2)"/>
      <sheetName val="SALES IDR (2)"/>
      <sheetName val="WHT Jan -Des 2010"/>
      <sheetName val="SALES USD"/>
      <sheetName val="SALES IDR"/>
      <sheetName val="SALES USD_CJ"/>
      <sheetName val="SALES IDR_CJ"/>
      <sheetName val="Summary Pengiriman Dist Sept 08"/>
      <sheetName val="CREDIT LIMIT"/>
      <sheetName val="Proyeksi Cash In"/>
      <sheetName val="AR OVD"/>
      <sheetName val="AR N_ OD"/>
      <sheetName val="PIC MKT"/>
      <sheetName val="Distributor"/>
      <sheetName val="Rekonsiliasi Aug_08"/>
      <sheetName val="Rekonsiliasi Juli_08"/>
      <sheetName val="Rekonsiliasi Juni_08"/>
      <sheetName val="Rekonsiliasi April _08"/>
      <sheetName val="Rekonsiliasi May_08"/>
      <sheetName val="Pengiriman Distri_ Aug 08"/>
      <sheetName val="Molasses _Juli 08"/>
      <sheetName val="Gudang _ Gula Murah08"/>
      <sheetName val="Tab DPA"/>
      <sheetName val="Calc (Awal)"/>
      <sheetName val="AFTER 55"/>
      <sheetName val="VESTED"/>
      <sheetName val="DBvsLL(V)"/>
      <sheetName val="C-trans"/>
      <sheetName val="DBvsLL(T)"/>
      <sheetName val="DCvsLL(V)"/>
      <sheetName val="DCvsLL(T)"/>
      <sheetName val="DBvsLL(T) (2)"/>
      <sheetName val="List_DPvsLL (2)"/>
      <sheetName val="T Mortalita"/>
      <sheetName val="Fyos&lt;1"/>
      <sheetName val="Recap55"/>
      <sheetName val="List_13"/>
      <sheetName val="T LL"/>
      <sheetName val="List_DPvsLL"/>
      <sheetName val="List_indDP"/>
      <sheetName val="ProjBen"/>
      <sheetName val="T1_ValPF"/>
      <sheetName val="T_Pelu"/>
      <sheetName val="Tab_k150"/>
      <sheetName val="C-vested"/>
      <sheetName val="T1_Val150"/>
      <sheetName val="T2_Val150"/>
      <sheetName val="Tab_Ann"/>
      <sheetName val="T2_ValPF"/>
      <sheetName val="SummRecX55"/>
      <sheetName val="SummRec55"/>
      <sheetName val="Tab_Iuran"/>
      <sheetName val="KONS BID P_N"/>
      <sheetName val="KR_AMPEL"/>
      <sheetName val="SANGATA_BUNYU"/>
      <sheetName val="KP_DIT_HULU"/>
      <sheetName val="Giro"/>
      <sheetName val="U1 Sales"/>
      <sheetName val="Sales Cut-Off"/>
      <sheetName val="U2 COGS"/>
      <sheetName val="U-2.2"/>
      <sheetName val="U-2.3"/>
      <sheetName val="U-2.4"/>
      <sheetName val="U-2.5"/>
      <sheetName val="U-2.6"/>
      <sheetName val="U-2.7"/>
      <sheetName val="U3.1 Selling expenses"/>
      <sheetName val="U-3.1.1"/>
      <sheetName val="U3.2 G&amp;A expenses"/>
      <sheetName val="U4 Memo"/>
      <sheetName val="U-4.2 forex Pending"/>
      <sheetName val="Summary recon sd Nov 09"/>
      <sheetName val="Detail recon sd Nov 09"/>
      <sheetName val="Summary Jan-Nov 09"/>
      <sheetName val="Summary Jan-Des 09 "/>
      <sheetName val="SAP USD - New"/>
      <sheetName val="WHT (PPh23) Monthly"/>
      <sheetName val="SAP IDR-New"/>
      <sheetName val="PPn Monthly"/>
      <sheetName val="whtax31des09"/>
      <sheetName val="SAP (USD)"/>
      <sheetName val="SAP (IDR)"/>
      <sheetName val="Intercoy"/>
      <sheetName val="CAJE CRJE"/>
      <sheetName val="CF 09"/>
      <sheetName val="Direct CF'09 "/>
      <sheetName val="Direct CF'08"/>
      <sheetName val="A4 Dec 2010"/>
      <sheetName val="C_1"/>
      <sheetName val="C_2"/>
      <sheetName val="C_3"/>
      <sheetName val="Corp_new"/>
      <sheetName val="DIT_FA"/>
      <sheetName val="VA_1"/>
      <sheetName val="VA_2"/>
      <sheetName val="VA_3"/>
      <sheetName val="VC_1"/>
      <sheetName val="VC_2"/>
      <sheetName val="VC_3"/>
      <sheetName val="TB201012"/>
      <sheetName val="TB201009"/>
      <sheetName val="Audited Balance 2008 - 2009"/>
      <sheetName val="TB YTD 3rd Closing"/>
      <sheetName val="TB After 2nd Draft"/>
      <sheetName val="Notes Reclassification "/>
      <sheetName val="Reclassification of Accounts"/>
      <sheetName val="For Reporting Purposes"/>
      <sheetName val="Rekonsiliasi Fiskal new TB"/>
      <sheetName val="P-1-2"/>
      <sheetName val="P-1-3"/>
      <sheetName val="P-1-4"/>
      <sheetName val="P-1.4.2"/>
      <sheetName val="P-1.4.3"/>
      <sheetName val="P-1-5"/>
      <sheetName val="P-1.5.2 Attch A."/>
      <sheetName val="P-1.5.2 Attch B"/>
      <sheetName val="P-1.5.3 &amp; 1.6.3"/>
      <sheetName val="P-1-6"/>
      <sheetName val="Diff"/>
      <sheetName val="Pred Test"/>
      <sheetName val="P-1.6.2"/>
      <sheetName val="Calc Prov"/>
      <sheetName val="P-1-7"/>
      <sheetName val="Mekanisme Jurnal Accrued"/>
      <sheetName val="movement awal"/>
      <sheetName val="P-1-8"/>
      <sheetName val="E-4 AFDA"/>
      <sheetName val="E-6 Aging"/>
      <sheetName val="E-7 Subs."/>
      <sheetName val="E-7.1"/>
      <sheetName val="E-8"/>
      <sheetName val="E (2)"/>
      <sheetName val="G-1 Lead"/>
      <sheetName val="G-Nature"/>
      <sheetName val="G-1.5.1"/>
      <sheetName val="Comparison with TMT Group"/>
      <sheetName val="CF Non Cash Activity"/>
      <sheetName val="DIT_BS"/>
      <sheetName val="DIT_PL 30_"/>
      <sheetName val="DIT_BS 30_"/>
      <sheetName val="CF 08"/>
      <sheetName val="PY PAJE PRJE"/>
      <sheetName val="J_1"/>
      <sheetName val="N_2"/>
      <sheetName val="Q_1"/>
      <sheetName val="Q_2"/>
      <sheetName val="U_2_2 "/>
      <sheetName val="S_1 CK"/>
      <sheetName val="U_1"/>
      <sheetName val="U_2_1"/>
      <sheetName val="U_2_3"/>
      <sheetName val="U_3_1"/>
      <sheetName val="U_3_2"/>
      <sheetName val="U_4"/>
      <sheetName val="Due to Tax Rate"/>
      <sheetName val="DIT-FA"/>
      <sheetName val="DTA _WP"/>
      <sheetName val="For Rep Let "/>
      <sheetName val="Due to Tax Rate (2)"/>
      <sheetName val="DIT - EY BS 25%"/>
      <sheetName val="Rekonsiliasi Fiskal old"/>
      <sheetName val="TB 2009_Old"/>
      <sheetName val="TE"/>
      <sheetName val="A4-2002"/>
      <sheetName val="CF-2002"/>
      <sheetName val="CF supp-2002"/>
      <sheetName val="CF supp"/>
      <sheetName val="T-Acc"/>
      <sheetName val="LCM "/>
      <sheetName val="Kdetail"/>
      <sheetName val="O-1-1"/>
      <sheetName val="O-1-2"/>
      <sheetName val="O-1-3"/>
      <sheetName val="O-1-4"/>
      <sheetName val="V1"/>
      <sheetName val="U-1 (2)"/>
      <sheetName val="quantity-sales"/>
      <sheetName val="GPA "/>
      <sheetName val="U-1 Analysis"/>
      <sheetName val="xport-cut"/>
      <sheetName val="local-cut (2)"/>
      <sheetName val="U-2 "/>
      <sheetName val="U2-1"/>
      <sheetName val="Costing-Test"/>
      <sheetName val="quantity-COGS"/>
      <sheetName val="purchase-cutoff"/>
      <sheetName val="U-3 (2)"/>
      <sheetName val="U-4 (2)"/>
      <sheetName val="U-5 (2)"/>
      <sheetName val="U-5-1"/>
      <sheetName val="i test"/>
      <sheetName val="Tax Rec"/>
      <sheetName val="NDE-i"/>
      <sheetName val="PPE-fis"/>
      <sheetName val="lease-forex"/>
      <sheetName val="FSC- Lease Rec"/>
      <sheetName val="monetary"/>
      <sheetName val="FPR"/>
      <sheetName val="PTTU P &amp; L 2002"/>
      <sheetName val="APX. 1 &amp; 5"/>
      <sheetName val="APX. 2 &amp; 3"/>
      <sheetName val="APX. 4"/>
      <sheetName val="APX. 6"/>
      <sheetName val="APX. 6 Addition (Audit)"/>
      <sheetName val="APX. 7"/>
      <sheetName val="APX. 8"/>
      <sheetName val="APX. 9"/>
      <sheetName val="APX.9 (Audit)"/>
      <sheetName val="APX. 10"/>
      <sheetName val="APX. 11"/>
      <sheetName val="APX. 12"/>
      <sheetName val="APX. 13"/>
      <sheetName val="APX. 14"/>
      <sheetName val="APX. 15"/>
      <sheetName val="APX. 16"/>
      <sheetName val="APX. 17"/>
      <sheetName val="Neraca 31 Des 2007"/>
      <sheetName val="K-Memo"/>
      <sheetName val="K-Flow"/>
      <sheetName val="FA Addition"/>
      <sheetName val="K-1 Land"/>
      <sheetName val="K-2 CIP"/>
      <sheetName val="K-3 140,150,151 Motor veh own"/>
      <sheetName val="K-4 160 Computer"/>
      <sheetName val="K-5 170 &amp; 180 Office &amp; Equip"/>
      <sheetName val="K-6 Plant &amp; equip"/>
      <sheetName val="K-7 vehicle leased"/>
      <sheetName val="K-8 110 Plant &amp; equip"/>
      <sheetName val=" FA Sample"/>
      <sheetName val="2004 htm"/>
      <sheetName val="ark"/>
      <sheetName val="Lamp tax calc"/>
      <sheetName val="Lamp tax calc 08"/>
      <sheetName val="Mata uang Asing"/>
      <sheetName val="Kas dan Setara"/>
      <sheetName val="Uang M dan Biaya Dibayar dimuka"/>
      <sheetName val="Beban Ditangguhkan"/>
      <sheetName val="Beban yg Masih H. Dibayar"/>
      <sheetName val="Pen. Ditangguhkan"/>
      <sheetName val="Uang Jaminan Penyewa"/>
      <sheetName val="Hutang Bank"/>
      <sheetName val="Hutang kpd P. Saham"/>
      <sheetName val="Pen. Jasa Pelayanan"/>
      <sheetName val="Pen. Usaha Lain-lain"/>
      <sheetName val="Pend. Beban Lain-lain"/>
      <sheetName val="Imbal Kerja"/>
      <sheetName val="Reklasifikasi"/>
      <sheetName val="Ged"/>
      <sheetName val="Mesin"/>
      <sheetName val="Partisi"/>
      <sheetName val="Tehnik"/>
      <sheetName val="Keamanan"/>
      <sheetName val="Kantor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NONBANGUNAN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Detail CF 2010 Budget "/>
      <sheetName val="WIM1"/>
      <sheetName val="WIM2"/>
      <sheetName val="BIC"/>
      <sheetName val="JL INTAN"/>
      <sheetName val="KKP_II_2_2_1_2"/>
      <sheetName val="GLRCTB10"/>
      <sheetName val="ark 09"/>
      <sheetName val="ark 09New"/>
      <sheetName val="Lamp tax Calc09 280210"/>
      <sheetName val="summary DTA"/>
      <sheetName val="Prop Inv"/>
      <sheetName val="Aktiva Tetap old"/>
      <sheetName val="Pendptn Sewa + Rev Client"/>
      <sheetName val="Pdpt Sewa fr client"/>
      <sheetName val="Lamp tax calc 250209 Revs"/>
      <sheetName val="Lamp tax calc 250209"/>
      <sheetName val="lamp tax calc Old 150210"/>
      <sheetName val="COVER DRAFT "/>
      <sheetName val="BULAN PERIODE"/>
      <sheetName val="DI"/>
      <sheetName val="A.RATIO(1)"/>
      <sheetName val="NERACA(2)"/>
      <sheetName val="RL(3)"/>
      <sheetName val="ARUSKAS bulanan(4)"/>
      <sheetName val="ARUSKAS12BLN(5)"/>
      <sheetName val="PENJ.NRC(6-7)"/>
      <sheetName val="Pers Bahan Penunjang(8)"/>
      <sheetName val="AKT-TETAP(9)"/>
      <sheetName val="Lamp.UM Kernel(10)"/>
      <sheetName val="DP SUPPLIER(11)"/>
      <sheetName val="Lamp. Hut. Dagang kernel(12-13)"/>
      <sheetName val="Lamp. Hut Suplier(14-15)"/>
      <sheetName val="LAP PENJ REVISI(17)"/>
      <sheetName val="Rincian HPP(18)"/>
      <sheetName val="Laporan Laba Rugi(16)"/>
      <sheetName val="HPP(19)"/>
      <sheetName val="HPPENJ(20)"/>
      <sheetName val="STOCK(21)"/>
      <sheetName val="MP HPP"/>
      <sheetName val="KARTU PIUTANG "/>
      <sheetName val="Hutang Supplier Dll"/>
      <sheetName val="TBPEB05"/>
      <sheetName val="TB BIAYA2 LINK KE LAP LABA RUGI"/>
      <sheetName val="TB BPL &amp; BPTL LINK KE RINCI HPP"/>
      <sheetName val="Afiliasi"/>
      <sheetName val="ACCRUE ONGKOS ANGKUT PKO &amp; PKE"/>
      <sheetName val="FA Mar 05"/>
      <sheetName val="PEMBATAS"/>
      <sheetName val="DATA AP"/>
      <sheetName val="NERACA(TAHUNAN 2)"/>
      <sheetName val="RL(Tahunan 3)"/>
      <sheetName val="HPP KOMPARATIF"/>
      <sheetName val="REKON PPN KELUARAN"/>
      <sheetName val="PERTAMINA"/>
      <sheetName val="MP REV PENJ INV 069"/>
      <sheetName val="PERSEDIAAN BAHAN PENUNJANG"/>
      <sheetName val="HPP_19_"/>
      <sheetName val="AA.5-Atc"/>
      <sheetName val="AA.5.1-PBC"/>
      <sheetName val="Atch AA.4 "/>
      <sheetName val="Data Bunga BKP"/>
      <sheetName val="Atch AA.3 "/>
      <sheetName val="Atch. AA.2"/>
      <sheetName val="AA.2.1"/>
      <sheetName val="Atch. AA.1"/>
      <sheetName val="AA.1.1(2) BNI"/>
      <sheetName val="SHM-DES-2005"/>
      <sheetName val="DPS-KSEI-DES 05"/>
      <sheetName val="SHM1205"/>
      <sheetName val="Incst"/>
      <sheetName val="Dtlbs"/>
      <sheetName val="share"/>
      <sheetName val="fxrlzd"/>
      <sheetName val="Kassetara"/>
      <sheetName val="sales affiliasi"/>
      <sheetName val="sumfxass"/>
      <sheetName val="fxasuicv"/>
      <sheetName val="fxass"/>
      <sheetName val="inf.segmen"/>
      <sheetName val="kwjbn moneter"/>
      <sheetName val="Biaya PIR"/>
      <sheetName val="Hsl-Pen"/>
      <sheetName val="sat-baru"/>
      <sheetName val="infras"/>
      <sheetName val="ASUMSI"/>
      <sheetName val="CHEK"/>
      <sheetName val="BMP"/>
      <sheetName val="Cash-print"/>
      <sheetName val="BOT"/>
      <sheetName val="tt-biaya"/>
      <sheetName val="FISIK RAB 2000"/>
      <sheetName val="NOV_DEC98"/>
      <sheetName val="BUDGET_1999"/>
      <sheetName val="9NOP98"/>
      <sheetName val="NDS96_2000"/>
      <sheetName val="5y pm"/>
      <sheetName val="1y pm "/>
      <sheetName val="act plan 1y"/>
      <sheetName val="Name"/>
      <sheetName val="2T-4T"/>
      <sheetName val="Data Prod_Graf"/>
      <sheetName val="GRAFTANKOS"/>
      <sheetName val="Data SRL"/>
      <sheetName val="Data Cost1"/>
      <sheetName val="Dt Breakdown"/>
      <sheetName val="PK Olah"/>
      <sheetName val="PK RM"/>
      <sheetName val="Graf SRL"/>
      <sheetName val="PCr"/>
      <sheetName val="Janload"/>
      <sheetName val="GRAF COST"/>
      <sheetName val="DATA COST"/>
      <sheetName val="LA02"/>
      <sheetName val="LA03"/>
      <sheetName val="LAJan"/>
      <sheetName val="LAFeb"/>
      <sheetName val="LAMar"/>
      <sheetName val="Peta"/>
      <sheetName val="Slow"/>
      <sheetName val="Fast"/>
      <sheetName val="Dead"/>
      <sheetName val="Olah"/>
      <sheetName val="MONITOR"/>
      <sheetName val="BBM"/>
      <sheetName val="po-ho"/>
      <sheetName val="SPB-HO"/>
      <sheetName val="LAY"/>
      <sheetName val="per team"/>
      <sheetName val="SAROLANGUN"/>
      <sheetName val="hasil nilai"/>
      <sheetName val="BERITA ACARA"/>
      <sheetName val="AKHIR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HITAM ULU"/>
      <sheetName val="BELUM A tg"/>
      <sheetName val="REKAP SRL"/>
      <sheetName val="BELUM A  SAROLANGUN"/>
      <sheetName val="BELUM A  MERANGIN"/>
      <sheetName val="BELUM &quot;A&quot;"/>
      <sheetName val="REKAP MRG"/>
      <sheetName val="COVERR"/>
      <sheetName val="ULAS"/>
      <sheetName val="01a"/>
      <sheetName val="New assumption"/>
      <sheetName val="AF (1)"/>
      <sheetName val="Peralatan juli 2009"/>
      <sheetName val="Data Pembanding"/>
      <sheetName val="List Mesin"/>
      <sheetName val="Hit Bangunan"/>
      <sheetName val="AF"/>
      <sheetName val="Nilai Tanah"/>
      <sheetName val="SRN PLKP"/>
      <sheetName val="Areal Tanam"/>
      <sheetName val="5R-B"/>
      <sheetName val="06"/>
      <sheetName val="1 - Laporan CILAKI  -  OK"/>
      <sheetName val="2 - cileles  -  ok"/>
      <sheetName val="3 - BAYAH  -  OK"/>
      <sheetName val="4 - TUGU  -  OK"/>
      <sheetName val="5 - CIKEMBAR  OK"/>
      <sheetName val="CIPARI - CILACAP"/>
      <sheetName val="REKAP NILAI"/>
      <sheetName val="DCF KARET"/>
      <sheetName val="SPL"/>
      <sheetName val="indks"/>
      <sheetName val="Income"/>
      <sheetName val="Data Tan"/>
      <sheetName val="Data Banding TNH"/>
      <sheetName val="D-f"/>
      <sheetName val="_x0000__x0000__x0000__x0000__x0000__x0000_"/>
      <sheetName val="Comp"/>
      <sheetName val="95-96-97"/>
      <sheetName val="Graph 98"/>
      <sheetName val="Tabel 97"/>
      <sheetName val="Tabel 98"/>
      <sheetName val="MA 1-7"/>
      <sheetName val="MA 1-8"/>
      <sheetName val="MA 1-9"/>
      <sheetName val="electromotor"/>
      <sheetName val="pump&amp;fan"/>
      <sheetName val="electrical"/>
      <sheetName val="INVESTASI (1)"/>
      <sheetName val="MAT-R.MILL"/>
      <sheetName val="MAT-PRESS"/>
      <sheetName val="MAT-SEPARATOR"/>
      <sheetName val="MAT-PURIFIER"/>
      <sheetName val="MAT-HYDROCYCLONE"/>
      <sheetName val="dosis pupuk"/>
      <sheetName val="taksasi prod"/>
      <sheetName val="rab94"/>
      <sheetName val="rab95"/>
      <sheetName val="rab98"/>
      <sheetName val="FISIK BARU"/>
      <sheetName val="BIAYA RAB 2000"/>
      <sheetName val="NON TANAMAN"/>
      <sheetName val="KPI (2)"/>
      <sheetName val="JANUARI 1"/>
      <sheetName val="JANUARI 2"/>
      <sheetName val="Mandays"/>
      <sheetName val="Rekap TBM"/>
      <sheetName val="CPT_TM_NORMA"/>
      <sheetName val="RAWAT"/>
      <sheetName val="Produksi Inti"/>
      <sheetName val="Field Cost_TM"/>
      <sheetName val="01_CWM  Circle Weeding Manual "/>
      <sheetName val="02_CPT Chemist"/>
      <sheetName val="03_Rawat Path Chemis"/>
      <sheetName val="04_Buat Path Manual"/>
      <sheetName val="05_Buat Rawat TPH Manual"/>
      <sheetName val="06_Weeding Gwg. Manual (DAK)"/>
      <sheetName val="07_Weeding Gwg Chemist"/>
      <sheetName val="08_Spot Lalang"/>
      <sheetName val="09_Wiping Lalang"/>
      <sheetName val="10_Prunning"/>
      <sheetName val="11_Kastrasi Ablasi"/>
      <sheetName val="12_Deteksi EWS"/>
      <sheetName val="13_Sensus Pokok"/>
      <sheetName val="14_Sensus Produksi"/>
      <sheetName val="15_Konsolidasi Pokok Doyong"/>
      <sheetName val="16_Pemupukan Ure_TSPdll"/>
      <sheetName val="17_Pemupukan Tan.Kos"/>
      <sheetName val="TBM 0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TIMBANG BRONDOLAN"/>
      <sheetName val="PANEN"/>
      <sheetName val="HK Rawat"/>
      <sheetName val="Price List 2008Est"/>
      <sheetName val="NORMA PN"/>
      <sheetName val="Norma MN"/>
      <sheetName val="Norma TBM0"/>
      <sheetName val="MN"/>
      <sheetName val="LC Mekanis"/>
      <sheetName val="Infrastruktur"/>
      <sheetName val="TBM-0"/>
      <sheetName val="TBM-1"/>
      <sheetName val="TBM-2"/>
      <sheetName val="TBM-3"/>
      <sheetName val="RAB2008 Bukit"/>
      <sheetName val="LC(tidak dipakai)"/>
      <sheetName val="Norma LC (tidak dipakai)"/>
      <sheetName val="HK_08"/>
      <sheetName val="wlalang"/>
      <sheetName val="NormaTBM"/>
      <sheetName val="TBM0"/>
      <sheetName val="Norma CPT TBM"/>
      <sheetName val="Norma CPT TM"/>
      <sheetName val="OPENING"/>
      <sheetName val="NORMA_PN"/>
      <sheetName val="NORMA1_TBM"/>
      <sheetName val="CPT TM"/>
      <sheetName val="8B.Biaya Umum (2)"/>
      <sheetName val="10B.Asset Non Tanaman (2)"/>
      <sheetName val="1.SETUP"/>
      <sheetName val="2.1.Asumsi Dasar"/>
      <sheetName val="2.2.Asumsi Dasar BLA"/>
      <sheetName val="2B.Nursery (baru)"/>
      <sheetName val="2B.Nursery (baru) (2)"/>
      <sheetName val="2B.1.Nursery (Existing)"/>
      <sheetName val="2B.1.Nursery (Existing)1"/>
      <sheetName val="3.Areal Stetmen"/>
      <sheetName val="1B.Land Clearing"/>
      <sheetName val="3B.Immature"/>
      <sheetName val="4.Master Block LC"/>
      <sheetName val="4B.Mature"/>
      <sheetName val="5.Master Block Tanaman"/>
      <sheetName val="5B.Gaji MANDOR"/>
      <sheetName val="6.Organisasi"/>
      <sheetName val="6B.Gaji KEBUN"/>
      <sheetName val="7.Cost Center"/>
      <sheetName val="7B.Gaji NON KEBUN"/>
      <sheetName val="8.Kendaraan"/>
      <sheetName val="8B.Biaya Umum"/>
      <sheetName val="9.WORKSHOP"/>
      <sheetName val="9B.INFRASTRUKTUR"/>
      <sheetName val="10.Machine"/>
      <sheetName val="10B.Asset Non Tanaman"/>
      <sheetName val="11.Stasiun PKS"/>
      <sheetName val="11B.Material PKS"/>
      <sheetName val="12.Profil Produksi"/>
      <sheetName val="12.B.Pembebasan Lahan"/>
      <sheetName val="13.Sejarah Produksi"/>
      <sheetName val="13.B.Perizinan"/>
      <sheetName val="14.Yield Distribution "/>
      <sheetName val="14B.HK RAWAT"/>
      <sheetName val="16.Rekomendasi Pupuk Bibit"/>
      <sheetName val="17.Pupuk TBM"/>
      <sheetName val="18.Rekomendasi Pupuk TM"/>
      <sheetName val="19.PERUN &amp; JALAN"/>
      <sheetName val="20.PARIT"/>
      <sheetName val="21.JEMBATAN"/>
      <sheetName val="22.BANGUNAN"/>
      <sheetName val="23.FSLTS KEBUN"/>
      <sheetName val="24.STS PERUMAHAN"/>
      <sheetName val="25.STS SARANA HRD"/>
      <sheetName val="26.STS VH&amp;HE"/>
      <sheetName val="27.STATUS INFRA"/>
      <sheetName val="28.Bibitan KS"/>
      <sheetName val="29.Bibitan Karet"/>
      <sheetName val="30.Prod Oil Palm"/>
      <sheetName val="31.Prod Rubber"/>
      <sheetName val="32.1.Harga pupuk"/>
      <sheetName val="32.2.Harga agrochemical"/>
      <sheetName val="32.3.Harga tools"/>
      <sheetName val="33.Harga kontraktor"/>
      <sheetName val="BA-TAPAK RUMAH"/>
      <sheetName val="BA-KOLAM BBT.II"/>
      <sheetName val="BA-LUBANG TANAM"/>
      <sheetName val="REK ACTUAL BA JUN"/>
      <sheetName val="BA Umum"/>
      <sheetName val="BA 0540"/>
      <sheetName val="REK KEB 4"/>
      <sheetName val="REK KEB 3"/>
      <sheetName val="REK KEB 2"/>
      <sheetName val="REK KEB 1"/>
      <sheetName val="BA-RM.TEKNIK"/>
      <sheetName val="BA-RINTIS"/>
      <sheetName val="BA-JALAN"/>
      <sheetName val="BA-JEMBATAN"/>
      <sheetName val="BA-PARIT"/>
      <sheetName val="BA-PINTU AIR"/>
      <sheetName val="G10-03-04"/>
      <sheetName val="G10-05-06"/>
      <sheetName val="G10-07-08"/>
      <sheetName val="BAYAR-ARDES"/>
      <sheetName val="G10-11-12"/>
      <sheetName val="G10-13-14"/>
      <sheetName val="G10-15-16"/>
      <sheetName val="BAYAR-MUS"/>
      <sheetName val="Ba Bbt_01"/>
      <sheetName val="Ba Bbt_02"/>
      <sheetName val="REK KEB GBSM"/>
      <sheetName val="pl-cy ai"/>
      <sheetName val="coe detil 2003"/>
      <sheetName val="coe detil 2003 (2)"/>
      <sheetName val="coe detil 2003 (r 0)"/>
      <sheetName val="COE (r 1)"/>
      <sheetName val="Grand_Sum"/>
      <sheetName val="Twin Flip"/>
      <sheetName val="Roller Coaster"/>
      <sheetName val="Daf. Isi "/>
      <sheetName val="An-Str "/>
      <sheetName val="An-Finsh"/>
      <sheetName val="Hrg Besi"/>
      <sheetName val="(I-2)1.2"/>
      <sheetName val="(I-4)1.4"/>
      <sheetName val="(I-2)1.2 (2)"/>
      <sheetName val="(1-1)1.1@ Pemutihan"/>
      <sheetName val="(I-4)1.4 (2)"/>
      <sheetName val="(I-3)1.3"/>
      <sheetName val="(II-2)2.2.1 (2)"/>
      <sheetName val="(II-2)2.2.1"/>
      <sheetName val="(II-6)2.2.6"/>
      <sheetName val="(II-6)2.2.7"/>
      <sheetName val="(II-1) 2.1"/>
      <sheetName val="(II-4)2.2.3"/>
      <sheetName val="(II-5)2.2.4 (2)"/>
      <sheetName val="(II-3)2.2.2"/>
      <sheetName val="(II-8)2.2.8"/>
      <sheetName val="(III-1)3.1"/>
      <sheetName val="(III-2)3.2"/>
      <sheetName val="(II-7)2.2.7"/>
      <sheetName val="(II-9)2.2.9"/>
      <sheetName val="(II-10)2.2.10"/>
      <sheetName val="(III-3)3.3"/>
      <sheetName val="(III-3)3.4"/>
      <sheetName val="(IV-1)4.1."/>
      <sheetName val="CALC_SHEET"/>
      <sheetName val="rekap versi cco"/>
      <sheetName val="Analisa (2)"/>
      <sheetName val="A.Pendahuluan"/>
      <sheetName val="A.Pekerjaan&amp;Umum"/>
      <sheetName val="B.Dam"/>
      <sheetName val="C.Intake"/>
      <sheetName val="D.Headrace"/>
      <sheetName val="E.Sandtrap"/>
      <sheetName val="F.Headpond"/>
      <sheetName val="G.Penstock"/>
      <sheetName val="H.Power House"/>
      <sheetName val="I.Tailrace"/>
      <sheetName val="J.Rumah Operator "/>
      <sheetName val="K.Jalan Akses"/>
      <sheetName val="rekap progres"/>
      <sheetName val="projection sd sept 10"/>
      <sheetName val="RAB BARU"/>
      <sheetName val="uat orek2an (2)"/>
      <sheetName val="uat orek2an"/>
      <sheetName val="rekap buat hit"/>
      <sheetName val="rekap 1"/>
      <sheetName val="orek2an"/>
      <sheetName val="rekap  (3)"/>
      <sheetName val="rekap  (2)"/>
      <sheetName val="KONTROL"/>
      <sheetName val="s-curve"/>
      <sheetName val="s-c JAN"/>
      <sheetName val="s-curve (3)"/>
      <sheetName val="s-curve (2)"/>
      <sheetName val="daftar harsat"/>
      <sheetName val="daftar kuantitas"/>
      <sheetName val="projection sd sept 10 (2)"/>
      <sheetName val="RAB bend sd pembuang"/>
      <sheetName val="PO -PT HK"/>
      <sheetName val="PELUANG PENARIKAN"/>
      <sheetName val="PERBD. FSK,INV,PENG"/>
      <sheetName val="PENG. BIAYA"/>
      <sheetName val="REKAP INVES &amp; PENG. BIAYA - GAB"/>
      <sheetName val="REKAP PROG. FISIK-GABUNGAN"/>
      <sheetName val="REKAP PROG.FISIK-RAB BARU"/>
      <sheetName val="RINC. PROG. FISIK-RAB KONVERSI"/>
      <sheetName val="RINC. PROG. FISIK-RAB BARU (HK)"/>
      <sheetName val="RINC. PROG. FSK-RAB LAMA (ASLI)"/>
      <sheetName val="STD-Plasma"/>
      <sheetName val="STD-Inti "/>
      <sheetName val="Invest-inti"/>
      <sheetName val="Cempaga-Finance"/>
      <sheetName val="CAJE 2005"/>
      <sheetName val="Client Adj Gress"/>
      <sheetName val="BS-DTA"/>
      <sheetName val="BS-Others"/>
      <sheetName val="BS-Royalty"/>
      <sheetName val="AY-Bank"/>
      <sheetName val="AY-Machine"/>
      <sheetName val="AY-Reclass-add"/>
      <sheetName val="AY-Others"/>
      <sheetName val="MF-Reclass"/>
      <sheetName val="MF-Reval"/>
      <sheetName val="MF-Correction"/>
      <sheetName val="Sales-Incentive"/>
      <sheetName val="Client-Adj"/>
      <sheetName val="PO-COMMITMENT"/>
      <sheetName val="Final"/>
      <sheetName val="CAJE 2005_not update"/>
      <sheetName val="Fwrd Ctr MM"/>
      <sheetName val="132006 Mkt Rights"/>
      <sheetName val="Loan Dec"/>
      <sheetName val="133004"/>
      <sheetName val="Refund Deposit"/>
      <sheetName val="TMF Aventis"/>
      <sheetName val="Sales N"/>
      <sheetName val="133005"/>
      <sheetName val="133001"/>
      <sheetName val="131002 Oth AR"/>
      <sheetName val="132001 Prepaid Rent"/>
      <sheetName val="132003 Prepaid Oth"/>
      <sheetName val="133002 Adv Empl"/>
      <sheetName val="132004 Prepaid Import"/>
      <sheetName val="235003 Accr Mkt Exp"/>
      <sheetName val="Prepaid Hrd &amp; Loan"/>
      <sheetName val="Acc Liab Inv"/>
      <sheetName val="126001-AR DVL"/>
      <sheetName val="Payroll Recon"/>
      <sheetName val="CIP FA 1"/>
      <sheetName val="Emma recon"/>
      <sheetName val="Disc Nov02"/>
      <sheetName val="Audit Aje#5"/>
      <sheetName val="Audit Aje"/>
      <sheetName val="Client Aje1"/>
      <sheetName val="Client Aje"/>
      <sheetName val="Royalty10"/>
      <sheetName val="JV Promo Comm10"/>
      <sheetName val="recon bca jkt"/>
      <sheetName val="By Adm BCA"/>
      <sheetName val="Temporary Receipt"/>
      <sheetName val="recl cc-FA"/>
      <sheetName val="sold rack steel"/>
      <sheetName val="settl PC-1459"/>
      <sheetName val="recl CC"/>
      <sheetName val="recl JV437"/>
      <sheetName val="Front"/>
      <sheetName val="Check Sheet"/>
      <sheetName val="BSHO Report"/>
      <sheetName val="PLHO Report"/>
      <sheetName val="PLHOENG"/>
      <sheetName val="SL1202"/>
      <sheetName val="PBC-Consol"/>
      <sheetName val="By currency"/>
      <sheetName val="PDN 1"/>
      <sheetName val="A4-Holding"/>
      <sheetName val="Report BS"/>
      <sheetName val="Report PL"/>
      <sheetName val="ATMR&amp;CAR"/>
      <sheetName val="KAP"/>
      <sheetName val="Cash flow-BO"/>
      <sheetName val="Cash flow-Consol"/>
      <sheetName val="BIIF jkt"/>
      <sheetName val="BII Fin HK-BS"/>
      <sheetName val="BII Fin HK-RL"/>
      <sheetName val="CLA"/>
      <sheetName val="Gov_Bonds"/>
      <sheetName val="MODAL &amp; CF"/>
      <sheetName val="Segment"/>
      <sheetName val="SegAktiva"/>
      <sheetName val="SegPasiva"/>
      <sheetName val="SegR-L"/>
      <sheetName val="RN"/>
      <sheetName val="AJE (old)"/>
      <sheetName val="Jurnal AAl &gt; cost ke equity"/>
      <sheetName val="jornal"/>
      <sheetName val="RL-PRINT"/>
      <sheetName val="RL-Product"/>
      <sheetName val="Inv-PT"/>
      <sheetName val="Segmen Usaha"/>
      <sheetName val="Makro"/>
      <sheetName val="B4.1.4.3.3"/>
      <sheetName val="01-adm"/>
      <sheetName val="02"/>
      <sheetName val="04"/>
      <sheetName val="05"/>
      <sheetName val="07"/>
      <sheetName val="09"/>
      <sheetName val="4.1 Placement w.o.b"/>
      <sheetName val="4.2 Plc w.o.b Provision Movemnt"/>
      <sheetName val="5.2 Securities (commercial)"/>
      <sheetName val="5.2.1 List of Sale"/>
      <sheetName val="5.3 Bonds"/>
      <sheetName val="5.3.1 List of Sale"/>
      <sheetName val="16.1 Details of Sec Issued-GL"/>
      <sheetName val="16.2 FRN Issued"/>
      <sheetName val="16.3 Comm Papers Issued"/>
      <sheetName val="16.4 Bonds Issued"/>
      <sheetName val="17.1 Details of Fund Borrowing"/>
      <sheetName val="17.2 Call Money"/>
      <sheetName val="17.3 Time Deposit"/>
      <sheetName val="17.5 Exchange Offer"/>
      <sheetName val="17.7 Direct Offshore Loan"/>
      <sheetName val="17.9 Others"/>
      <sheetName val="22.1 Commitment Liabilities"/>
      <sheetName val="22.2 Contingencies Liabilities"/>
      <sheetName val="Int Acc"/>
      <sheetName val="K.2.2.1"/>
      <sheetName val="U.2.1.2 - old"/>
      <sheetName val="U.2.1.2"/>
      <sheetName val="P1"/>
      <sheetName val="U.2.1.3"/>
      <sheetName val="U.2.2"/>
      <sheetName val="U.2.2.1"/>
      <sheetName val="U.3.1"/>
      <sheetName val="Beginning Balance"/>
      <sheetName val="TB MYOB"/>
      <sheetName val="source"/>
      <sheetName val="TB0"/>
      <sheetName val="BalanceSheet"/>
      <sheetName val="IncomeStatement"/>
      <sheetName val="Bank Rec"/>
      <sheetName val="Prepaid 25.2"/>
      <sheetName val="Due From_Int. Co.2"/>
      <sheetName val="Prepaid VAT local.2"/>
      <sheetName val="Prepaid VAT import.2"/>
      <sheetName val="Prepaid 22.2"/>
      <sheetName val="Fiscal Tax.2"/>
      <sheetName val="Prepaid Expenses.2"/>
      <sheetName val="Deposits.2"/>
      <sheetName val="Fixed Assets.,2"/>
      <sheetName val="Inventory Dec"/>
      <sheetName val="AP.2"/>
      <sheetName val="OP-interco.1"/>
      <sheetName val="Accruals.2"/>
      <sheetName val="WHT PPh23.2"/>
      <sheetName val="Tax-others.2"/>
      <sheetName val="Accr-Tax 26"/>
      <sheetName val="VAT Payable.2"/>
      <sheetName val="Sales.2"/>
      <sheetName val="AR Dec.2"/>
      <sheetName val="Shareholder's Equity"/>
      <sheetName val="SW1"/>
      <sheetName val="COF-VOF"/>
      <sheetName val="TOR"/>
      <sheetName val="BIXY"/>
      <sheetName val="IRATE"/>
      <sheetName val="IRATE DD"/>
      <sheetName val="cadillac"/>
      <sheetName val="panther"/>
      <sheetName val="avanza"/>
      <sheetName val="Salary Allocation"/>
      <sheetName val="Piutang Sewa '05"/>
      <sheetName val="PDMK"/>
      <sheetName val="ChainData"/>
      <sheetName val="newrot3"/>
      <sheetName val="TP-MARKET"/>
      <sheetName val="TPSGD"/>
      <sheetName val="TMD"/>
      <sheetName val="HUB"/>
      <sheetName val="SWPPTS"/>
      <sheetName val="ratetype"/>
      <sheetName val="TibcoWosaTables"/>
      <sheetName val="updated"/>
      <sheetName val="savein"/>
      <sheetName val="printout"/>
      <sheetName val="CETAK_1"/>
      <sheetName val="Module2"/>
      <sheetName val="Rollfwd"/>
      <sheetName val="RPO"/>
      <sheetName val="opname sample"/>
      <sheetName val="Additions"/>
      <sheetName val="TOD"/>
      <sheetName val="Disposals"/>
      <sheetName val="CONTENTS"/>
      <sheetName val="C.1 Bank Guarantee"/>
      <sheetName val="C.2 Revaluate test"/>
      <sheetName val="C.3 Cut Off Cash"/>
      <sheetName val="Pos326"/>
      <sheetName val="TOC"/>
      <sheetName val="C RF - 1"/>
      <sheetName val="C RF - 2"/>
      <sheetName val="C Lead "/>
      <sheetName val="C.4.1"/>
      <sheetName val="C4.2"/>
      <sheetName val="C.5"/>
      <sheetName val="C.6"/>
      <sheetName val="Countries FIs"/>
      <sheetName val="By CFA Region"/>
      <sheetName val="4_1 Placement w_o_b"/>
      <sheetName val="ShareCapital "/>
      <sheetName val="Fiscal Computation"/>
      <sheetName val="FA_Dep"/>
      <sheetName val="FA SOLD"/>
      <sheetName val="FA_Buy(Sell)'06"/>
      <sheetName val="Software"/>
      <sheetName val="HHFN1030-300906"/>
      <sheetName val="CRI1"/>
      <sheetName val="BSHJE"/>
      <sheetName val="SCORE"/>
      <sheetName val="ICBS"/>
      <sheetName val="CONSOL"/>
      <sheetName val="WC_Boxes"/>
      <sheetName val="Working Capital P&amp;L"/>
      <sheetName val="Forecast"/>
      <sheetName val="WC Indirects"/>
      <sheetName val="WoCa Output"/>
      <sheetName val="BLO Working Capital"/>
      <sheetName val="WC_KPIa"/>
      <sheetName val="WoCa KPI sheet"/>
      <sheetName val="Indirect Adj."/>
      <sheetName val="Essbase Retrieve"/>
      <sheetName val="Cust Ops Retrieve"/>
      <sheetName val="GMW Retrieve"/>
      <sheetName val="WoCa Forecast"/>
      <sheetName val="S4-Lead All"/>
      <sheetName val="S4.1-Lead Accept Export"/>
      <sheetName val="S4.2-Lead Accept Import "/>
      <sheetName val="S4.1.1-Accept rec Ex per branch"/>
      <sheetName val="S4.2.1-Accept rec Imp per branc"/>
      <sheetName val="S4.1.1.1 Accept EXP Detail"/>
      <sheetName val="S4.2.1.1 Accept IMP Detail"/>
      <sheetName val="S4.2.1.2"/>
      <sheetName val="S4.2.1.3 GLvsDetail"/>
      <sheetName val="S4.3 Accept Pay per Branch"/>
      <sheetName val="GL KOREKSI"/>
      <sheetName val="glKA"/>
      <sheetName val="glTA"/>
      <sheetName val="MatProv"/>
      <sheetName val="S4.2.1.2 Accept UPAS Detail "/>
      <sheetName val="GLvsDetail"/>
      <sheetName val="S4-Memo"/>
      <sheetName val="S4.2.1.2 UPAS Detail"/>
      <sheetName val="HK Branch"/>
      <sheetName val="Report Form"/>
      <sheetName val="S4.4-PPAP"/>
      <sheetName val="S4.5-MatProv"/>
      <sheetName val="S4.6-Report Form Accept"/>
      <sheetName val="Interbank detail"/>
      <sheetName val="APP_2_3"/>
      <sheetName val="__TEU"/>
      <sheetName val="F-peng-dana_wanto"/>
      <sheetName val="tarippasif_wanto"/>
      <sheetName val="rumus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CF-C"/>
      <sheetName val="CF-P"/>
      <sheetName val="Restructuring"/>
      <sheetName val="CAJE-CRJE BLOK I"/>
      <sheetName val="FA-C (2)"/>
      <sheetName val="Freeze Account"/>
      <sheetName val="GT_Custom"/>
      <sheetName val="trf multiple"/>
      <sheetName val="fns (2)"/>
      <sheetName val="fns"/>
      <sheetName val="HIT-PASIF"/>
      <sheetName val="dt-tunda05"/>
      <sheetName val="fak skl anak"/>
      <sheetName val="fak skl jnd"/>
      <sheetName val="fak skl pst"/>
      <sheetName val="trfakt sgl"/>
      <sheetName val="trfpsf sgl"/>
      <sheetName val="Kekayaan"/>
      <sheetName val="rekap (2)"/>
      <sheetName val="HIT-AKTIF"/>
      <sheetName val="HIT-PASIF (2)"/>
      <sheetName val="lamp1a (2)"/>
      <sheetName val="Lamp2-pasif"/>
      <sheetName val="dt-pasif05"/>
      <sheetName val="dt-aktif2005"/>
      <sheetName val="TblPajak"/>
      <sheetName val="dt-tunda"/>
      <sheetName val="lamp1a"/>
      <sheetName val="dt-aktif"/>
      <sheetName val="dt-pasif"/>
      <sheetName val="trf tunda"/>
      <sheetName val="hint tunda"/>
      <sheetName val="rekap0 phdp"/>
      <sheetName val="dt31 des03"/>
      <sheetName val="lampir2"/>
      <sheetName val="p-000"/>
      <sheetName val="rkd"/>
      <sheetName val="mortalita"/>
      <sheetName val="tarip"/>
      <sheetName val="rekap-Dapen-PKT"/>
      <sheetName val="rekap-PKT"/>
      <sheetName val="rekap-YPK"/>
      <sheetName val="rekap-YRS"/>
      <sheetName val="Hit-PKT-aktif"/>
      <sheetName val="Hit-YPK-aktif"/>
      <sheetName val="Hit-YRS-aktif"/>
      <sheetName val="Hit-Tunda"/>
      <sheetName val="Middle, retail,Mikro&amp;credt card"/>
      <sheetName val="Middle"/>
      <sheetName val="Micro"/>
      <sheetName val="ChartData"/>
      <sheetName val="Major assumption"/>
      <sheetName val="fin-proj (KRW)_combined"/>
      <sheetName val="fin-proj (KRW)_HPH_Total"/>
      <sheetName val="fin-proj (KRW)_HJS_Total"/>
      <sheetName val="fin-proj (US$)_combined"/>
      <sheetName val="IRR calc_combined"/>
      <sheetName val="Equipment Loan_combined"/>
      <sheetName val="loan schedule_combined"/>
      <sheetName val="SF Return"/>
      <sheetName val="SF Project cost"/>
      <sheetName val="SF CF"/>
      <sheetName val="SF P&amp;L"/>
      <sheetName val="Sen table"/>
      <sheetName val="PIP"/>
      <sheetName val="Revenue_HJS_Gamman"/>
      <sheetName val="Costs HJS_Gamman"/>
      <sheetName val="capex &amp; asset_HJS_Gamman"/>
      <sheetName val="fin-proj (KRW)_HJS_Gamman"/>
      <sheetName val="Revenue_Gamcheon"/>
      <sheetName val="Costs_Gamcheon"/>
      <sheetName val="capex &amp; asset_Gamcheon"/>
      <sheetName val="fin-proj (KRW)_Gamcheon"/>
      <sheetName val="Revenue_HJS_KY"/>
      <sheetName val="Costs HJS_KY"/>
      <sheetName val="capex &amp; asset_HJS_KY"/>
      <sheetName val="fin-proj (US$)_HJS_Total"/>
      <sheetName val="IRR calc_HJS"/>
      <sheetName val="fin-proj (KRW)_HJS_KY"/>
      <sheetName val="Revenue_HPH_Gamman"/>
      <sheetName val="Costs HPH_Gamman"/>
      <sheetName val="capex &amp; asset_HPH_Gamman"/>
      <sheetName val="fin-proj (KRW)_HPH_Gamman"/>
      <sheetName val="Revenue_HBCT"/>
      <sheetName val="Costs HBCT"/>
      <sheetName val="capex &amp; asset_HBCT"/>
      <sheetName val="fin-proj (KRW)_HBCT"/>
      <sheetName val="Major assumption HPH"/>
      <sheetName val="Revenue_HPH_KY"/>
      <sheetName val="Costs HPH_KY"/>
      <sheetName val="capex &amp; asset_HPH_KY"/>
      <sheetName val="fin-proj (KRW)_HPH_KY"/>
      <sheetName val="fin-proj (US$)_HPH_Total"/>
      <sheetName val="IRR calc_HPH"/>
      <sheetName val="Equipment Loan HPH"/>
      <sheetName val="loan schedule_HPH"/>
      <sheetName val="mortality_yr_d"/>
      <sheetName val="mort_mth_d"/>
      <sheetName val="mortality_yr_i"/>
      <sheetName val="mort_mth_i"/>
      <sheetName val="mortality_yr_w"/>
      <sheetName val="mort_mth_w"/>
      <sheetName val="mort_mth_md"/>
      <sheetName val="MD_Tbl"/>
      <sheetName val="Hit_Usia"/>
      <sheetName val="salary_factor"/>
      <sheetName val="Benefit_Tab_LSA_payment"/>
      <sheetName val="Benefit_Tab_LSA"/>
      <sheetName val="Parameter_text"/>
      <sheetName val="Data_kary"/>
      <sheetName val="Data_Analisa"/>
      <sheetName val="PSAK"/>
      <sheetName val="check_hasil_NKKIPt_1 to NKKIPt"/>
      <sheetName val="check_hasil_LSA"/>
      <sheetName val="Data_kary_NKKIP_ROR"/>
      <sheetName val="NKKIPt&amp;deltaBen"/>
      <sheetName val="NKKIP_ROR"/>
      <sheetName val="Data_kary_PSC"/>
      <sheetName val="PSC"/>
      <sheetName val="PSC_hasil"/>
      <sheetName val="data_berhenti 2005"/>
      <sheetName val="Discl_present"/>
      <sheetName val="Disclosure"/>
      <sheetName val="AGL_presntn"/>
      <sheetName val="Discl_present_lsa"/>
      <sheetName val="Disclosure_LSA"/>
      <sheetName val="AGL_presntn_lsa"/>
      <sheetName val="Disclosure_Data"/>
      <sheetName val="Disclosure_PSC"/>
      <sheetName val="Bank Conf"/>
      <sheetName val="Detail AR"/>
      <sheetName val="Confir"/>
      <sheetName val="PSL 21 sept 2009"/>
      <sheetName val="pasal 4 ayat (2)"/>
      <sheetName val="MH CIVIL"/>
      <sheetName val="36_1"/>
      <sheetName val="36_2"/>
      <sheetName val="36_3"/>
      <sheetName val="36_4"/>
      <sheetName val="53 "/>
      <sheetName val="61"/>
      <sheetName val="62"/>
      <sheetName val="63"/>
      <sheetName val="64_1"/>
      <sheetName val="64_2"/>
      <sheetName val="64_3"/>
      <sheetName val="64_4"/>
      <sheetName val="64_5"/>
      <sheetName val="64_6"/>
      <sheetName val="64_14"/>
      <sheetName val="CRA-Det"/>
      <sheetName val="Data Per 19 Mei 2005"/>
      <sheetName val="SILICATE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Nt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Target &amp; Budget 2 Year"/>
      <sheetName val="Budget Categories"/>
      <sheetName val="Budget Categories (2)"/>
      <sheetName val="Management  "/>
      <sheetName val="M &amp; E"/>
      <sheetName val="Technical Assistant  "/>
      <sheetName val="PSM"/>
      <sheetName val=" Central Level"/>
      <sheetName val="Unit Cost"/>
      <sheetName val="Unit Cost Advisory Team"/>
      <sheetName val="Definitions"/>
      <sheetName val="National"/>
      <sheetName val="DKI JAKARTA2 (2)"/>
      <sheetName val="SOUTH SUM2 (2)"/>
      <sheetName val="RIAU ISLAND2 (2)"/>
      <sheetName val="RIAU2 (2)"/>
      <sheetName val="NORTH SUM (2)"/>
      <sheetName val="WEST PAPUA2 (2)"/>
      <sheetName val="PAPUA2 (2)"/>
      <sheetName val="SOUTH SUL2 (2)"/>
      <sheetName val="BALI2 (2)"/>
      <sheetName val="EAST JAVA2 (2)"/>
      <sheetName val="CENTRAL JAVA2 (2)"/>
      <sheetName val="WEST JAVA2 (2)"/>
      <sheetName val="Technical Assistant"/>
      <sheetName val="Management"/>
      <sheetName val="M&amp;E"/>
      <sheetName val="Community Outreach"/>
      <sheetName val="Village"/>
      <sheetName val="Detail Budget Per Year"/>
      <sheetName val="Oracle"/>
      <sheetName val="EFECTIF"/>
      <sheetName val="Rekap Stru"/>
      <sheetName val="Rek Stru2"/>
      <sheetName val="rek fung2"/>
      <sheetName val="fungsional"/>
      <sheetName val="rek2"/>
      <sheetName val="non rek2"/>
      <sheetName val="rek2 (2)"/>
      <sheetName val="Data_lippo"/>
      <sheetName val="PAJE 08"/>
      <sheetName val="PAJE 09"/>
      <sheetName val="PARE"/>
      <sheetName val="Corporate Income tax"/>
      <sheetName val="Proof"/>
      <sheetName val="PN (2)"/>
      <sheetName val="MN (2)"/>
      <sheetName val="RAB2008 Mineral"/>
      <sheetName val="Rekap Harian"/>
      <sheetName val="IN"/>
      <sheetName val="Ko.Mat (2)"/>
      <sheetName val="Master Barang"/>
      <sheetName val="Piut-karyawan"/>
      <sheetName val="DES 02"/>
      <sheetName val="AGT"/>
      <sheetName val="FS - US$"/>
      <sheetName val="Exch sheet"/>
      <sheetName val="BS Ayu 2005"/>
      <sheetName val="Assets Ayu 2005"/>
      <sheetName val="Liabilities+SHE Ayu 2005"/>
      <sheetName val="Profit Loss Ayu 2005"/>
      <sheetName val="RentalIncome&amp;TaxPayable-2005"/>
      <sheetName val="Road"/>
      <sheetName val="Housing"/>
      <sheetName val="Power Supply"/>
      <sheetName val="Vehicle"/>
      <sheetName val="G. Lead"/>
      <sheetName val="G.4.1"/>
      <sheetName val="G.5"/>
      <sheetName val="G.5.1"/>
      <sheetName val="G.6"/>
      <sheetName val="G.6.1"/>
      <sheetName val="G.7.1"/>
      <sheetName val="G.7.2"/>
      <sheetName val="G.8"/>
      <sheetName val="G.8.1"/>
      <sheetName val="G.9"/>
      <sheetName val="G.10 "/>
      <sheetName val="G.FISCAL"/>
      <sheetName val="G.Fiscal.1"/>
      <sheetName val="SAMPAH (Unused)"/>
      <sheetName val="D Lead"/>
      <sheetName val="D Adjustment"/>
      <sheetName val="Data Sales tahunan"/>
      <sheetName val="Kalkulasi Loan"/>
      <sheetName val="RINCI-WPL"/>
      <sheetName val="Purchases"/>
      <sheetName val="D.5"/>
      <sheetName val="D.5.1"/>
      <sheetName val="D.5.2"/>
      <sheetName val="D.5.3"/>
      <sheetName val="D.6"/>
      <sheetName val="D.6.1"/>
      <sheetName val="D.6.2"/>
      <sheetName val="D.6.3"/>
      <sheetName val="D.6.4"/>
      <sheetName val="D.6.5"/>
      <sheetName val="Certification.Ltr"/>
      <sheetName val="0120A"/>
      <sheetName val="0282A"/>
      <sheetName val="0610A"/>
      <sheetName val="0800A"/>
      <sheetName val="0805A"/>
      <sheetName val="0860A"/>
      <sheetName val="0940A"/>
      <sheetName val="0960A"/>
      <sheetName val="0960Instruct"/>
      <sheetName val="1260A"/>
      <sheetName val="1320A"/>
      <sheetName val="1370A"/>
      <sheetName val="1600A"/>
      <sheetName val="1620A"/>
      <sheetName val="1730A"/>
      <sheetName val="1750D"/>
      <sheetName val="1900D.1"/>
      <sheetName val="1900D.2"/>
      <sheetName val="1900D.3"/>
      <sheetName val="1910D"/>
      <sheetName val="1920D"/>
      <sheetName val="1925D"/>
      <sheetName val="1930D.1 "/>
      <sheetName val="1930D.2"/>
      <sheetName val="1940D.1"/>
      <sheetName val="1940D.2"/>
      <sheetName val="1950D"/>
      <sheetName val="Scheds01SCHFILEExternalFDC"/>
      <sheetName val="Control Risk Apects"/>
      <sheetName val="kom&amp;Fis2003 "/>
      <sheetName val="Journal Fiskal"/>
      <sheetName val="KK IDR"/>
      <sheetName val="KB IDR"/>
      <sheetName val="KB USD"/>
      <sheetName val="B IDR"/>
      <sheetName val="B USD"/>
      <sheetName val="alk-ovh est"/>
      <sheetName val="alk-tbm"/>
      <sheetName val="RUGILABA"/>
      <sheetName val="Sbr"/>
      <sheetName val="BebanUsaha"/>
      <sheetName val="Master Data-In"/>
      <sheetName val="List PT"/>
      <sheetName val="Master Data-Out"/>
      <sheetName val="CF GAWI"/>
      <sheetName val="Uang Muka"/>
      <sheetName val="Alamat 21"/>
      <sheetName val="Alamat 23"/>
      <sheetName val="LAP PJK 21"/>
      <sheetName val="lap spm 23"/>
      <sheetName val="LAP PJK 23"/>
      <sheetName val="LAM SPM 21"/>
      <sheetName val="23f"/>
      <sheetName val="Undian"/>
      <sheetName val="bd_pph21"/>
      <sheetName val="HONDA"/>
      <sheetName val="BKL &amp; SR"/>
      <sheetName val="PSD"/>
      <sheetName val="TAP"/>
      <sheetName val="API"/>
      <sheetName val="List FA 2008"/>
      <sheetName val="GL 2008"/>
      <sheetName val="General Ledger Tahun APRIL 2008"/>
      <sheetName val="Piutang Karyawan"/>
      <sheetName val="Inventori Gudang Jan"/>
      <sheetName val="Lap Kas Tunai - 1"/>
      <sheetName val="Bank - 1"/>
      <sheetName val="KasBon - 1"/>
      <sheetName val="Lap Kas Tunai-2"/>
      <sheetName val="LKM Mggu 2 Jan 2009-2"/>
      <sheetName val="Bank-2"/>
      <sheetName val="KasBon-2"/>
      <sheetName val="Lap Kas Tunai-3"/>
      <sheetName val="LKM Mggu 2 Jan 2009-3"/>
      <sheetName val="Bank-3"/>
      <sheetName val="KasBon-3"/>
      <sheetName val="Lap Kas Tunai-4"/>
      <sheetName val="LKM Mggu 4 Jan 2009-4"/>
      <sheetName val="Bank-4"/>
      <sheetName val="KasBon-4"/>
      <sheetName val="DAT-NTN"/>
      <sheetName val="HGU"/>
      <sheetName val="BEBAN TANGGUHKAN"/>
      <sheetName val="Hutang pihak ke-3"/>
      <sheetName val="Hut Pemb Akt"/>
      <sheetName val="Hut Pemb. Akt."/>
      <sheetName val="Hutang Supplier"/>
      <sheetName val="Kebijakan Operasional FINAL"/>
      <sheetName val="REVISI Kebijakan Opr 090307"/>
      <sheetName val="Kebijakan Operasional (1)"/>
      <sheetName val="Rencana&amp;Tinjauan Kinerja HRM"/>
      <sheetName val="Rencana&amp;Tinjauan Kinerja HRD"/>
      <sheetName val="Rencana&amp;Tinjauan Kinerja HRDRev"/>
      <sheetName val="RenKer HRD-1"/>
      <sheetName val="RenKer HRD-2"/>
      <sheetName val="RenKer HRD-3"/>
      <sheetName val="Additional"/>
      <sheetName val="Holiday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API-BDG"/>
      <sheetName val="API-BKS"/>
      <sheetName val="Indr"/>
      <sheetName val="Cms"/>
      <sheetName val="Skbmi"/>
      <sheetName val="Subang"/>
      <sheetName val="Mjlk"/>
      <sheetName val="Tasik"/>
      <sheetName val="Cjr"/>
      <sheetName val="Kun"/>
      <sheetName val="Pwt"/>
      <sheetName val="CF FLT"/>
      <sheetName val="CVR"/>
      <sheetName val="Content"/>
      <sheetName val="BS-Combined-01"/>
      <sheetName val="Notes Inc"/>
      <sheetName val="PDE summary"/>
      <sheetName val="03 NP"/>
      <sheetName val="04 NP"/>
      <sheetName val="05 NP"/>
      <sheetName val="06 NP"/>
      <sheetName val="06 NP (1)"/>
      <sheetName val="06 NP (2)"/>
      <sheetName val="06 NP (3)"/>
      <sheetName val="07 NP"/>
      <sheetName val="07 NP (1)"/>
      <sheetName val="07 NP (2)"/>
      <sheetName val="07 NP (3)"/>
      <sheetName val="2007 NP"/>
      <sheetName val="BS-Combined"/>
      <sheetName val="Income - Combined"/>
      <sheetName val="Combined Note 1 to 6"/>
      <sheetName val="Combined Note 8 to 13"/>
      <sheetName val="TB-Cons"/>
      <sheetName val="Bal Sheet"/>
      <sheetName val="BS note 1-6"/>
      <sheetName val="BS Note 7"/>
      <sheetName val="BS Note 7b"/>
      <sheetName val="BS note 8-13"/>
      <sheetName val="Profit"/>
      <sheetName val="Profit Notes 1"/>
      <sheetName val="Profit Notes 2"/>
      <sheetName val="Detail OH (1)"/>
      <sheetName val="Detail OH (2)"/>
      <sheetName val="Detail OH (3)"/>
      <sheetName val="TB-Reg"/>
      <sheetName val="Bal Sheet (reg)"/>
      <sheetName val="BS note 1-6 (reg)"/>
      <sheetName val="BS Note 7 (reg)"/>
      <sheetName val="BS Note 7b (reg)"/>
      <sheetName val="BS note 8-13 (reg)"/>
      <sheetName val="Alo-GC (reg)"/>
      <sheetName val="TB-Est-1"/>
      <sheetName val="Profit (reg)"/>
      <sheetName val="Profit Notes (reg)"/>
      <sheetName val="Bal Sheet (1)"/>
      <sheetName val="BS note 1-6 (1)"/>
      <sheetName val="BS Note 7 (1)"/>
      <sheetName val="BS Note 7b (1)"/>
      <sheetName val="BS note 8-13 (1)"/>
      <sheetName val="TB-Est-2"/>
      <sheetName val="Profit (1)"/>
      <sheetName val="Profit Notes (1)"/>
      <sheetName val="PDE summary (1)"/>
      <sheetName val="Bal Sheet (2)"/>
      <sheetName val="BS note 1-6 (2)"/>
      <sheetName val="BS Note 7 (2)"/>
      <sheetName val="BS Note 7b (2)"/>
      <sheetName val="BS note 8-13 (2)"/>
      <sheetName val="TB-Est-3"/>
      <sheetName val="Profit (2)"/>
      <sheetName val="Profit Notes (2)"/>
      <sheetName val="PDE summary (2)"/>
      <sheetName val="Bal Sheet (3)"/>
      <sheetName val="BS note 1-6 (3)"/>
      <sheetName val="BS Note 7 (3)"/>
      <sheetName val="BS Note 7b (3)"/>
      <sheetName val="BS note 8-13 (3)"/>
      <sheetName val="Profit (3)"/>
      <sheetName val="Profit Notes (3)"/>
      <sheetName val="PDE summary (3)"/>
      <sheetName val="gltran"/>
      <sheetName val="revisi-gltran"/>
      <sheetName val="Planting"/>
      <sheetName val="Yield"/>
      <sheetName val="FFBSum"/>
      <sheetName val="MillCap"/>
      <sheetName val="FFBChart"/>
      <sheetName val="AgeProfile"/>
      <sheetName val="Replant"/>
      <sheetName val="FFBCalc"/>
      <sheetName val="AgeCalc"/>
      <sheetName val="workNR"/>
      <sheetName val="workRL"/>
      <sheetName val="rlak"/>
      <sheetName val="posner"/>
      <sheetName val="posrula"/>
      <sheetName val="1-persd"/>
      <sheetName val="2-akt"/>
      <sheetName val="2-akt (bulanan)"/>
      <sheetName val="2-aktcadangan"/>
      <sheetName val="3-penjek"/>
      <sheetName val="4-bpp"/>
      <sheetName val="5-pembl"/>
      <sheetName val="6-oprs"/>
      <sheetName val="7-wesel"/>
      <sheetName val="8-bunga"/>
      <sheetName val="9-tax"/>
      <sheetName val="S4.3-PPAP Accept"/>
      <sheetName val="S4.3.1-Accept rec detail"/>
      <sheetName val="Accept expired-Jkt"/>
      <sheetName val="Reclass to ALL"/>
      <sheetName val="Mat profile"/>
      <sheetName val="Accept exp"/>
      <sheetName val="PPAP Mov Rationale"/>
      <sheetName val="N3"/>
      <sheetName val="VD1"/>
      <sheetName val="VD2"/>
      <sheetName val="VD3"/>
      <sheetName val="Perubahan"/>
      <sheetName val="ANALISA_AR_SALES"/>
      <sheetName val="COMM_CV"/>
      <sheetName val="TEST TRANSAKSI BEBAN"/>
      <sheetName val="Psl 4(2)"/>
      <sheetName val="PPN'05"/>
      <sheetName val="PBC WBS1"/>
      <sheetName val="PBC WBS2"/>
      <sheetName val="PBC wpl"/>
      <sheetName val="PAJE-PRJE"/>
      <sheetName val="Restated-ga update"/>
      <sheetName val="E-2 Lead"/>
      <sheetName val="N-2 Lead"/>
      <sheetName val="N-1 Lead"/>
      <sheetName val="O.1.1"/>
      <sheetName val="O.1.2"/>
      <sheetName val="O.1 BKS"/>
      <sheetName val="O.1 SLTN"/>
      <sheetName val="O.1 BGR"/>
      <sheetName val="O.1 CKMPK"/>
      <sheetName val="O.1 SRG"/>
      <sheetName val="O-1.1"/>
      <sheetName val="O-1.1 (2)"/>
      <sheetName val="O.2.2"/>
      <sheetName val="O.2.1 (2)"/>
      <sheetName val="K.1.2"/>
      <sheetName val="K.1.4"/>
      <sheetName val="K.5"/>
      <sheetName val="G- Lead"/>
      <sheetName val="O.2.2.1"/>
      <sheetName val="O.2.2.2"/>
      <sheetName val="O.2.2.3"/>
      <sheetName val="PM, TE , SAD"/>
      <sheetName val="FRP"/>
      <sheetName val="K-Combined"/>
      <sheetName val="PAJE-PRJE-CAJE-CRJE"/>
      <sheetName val="T Acc"/>
      <sheetName val="BS &amp; PL Analytical SRM"/>
      <sheetName val="Statements of SHE"/>
      <sheetName val="Segment Information"/>
      <sheetName val="BS &amp; PL Analytical"/>
      <sheetName val="Summary of Insurance.1"/>
      <sheetName val="K-Combined-1"/>
      <sheetName val="Segment Information with JO"/>
      <sheetName val="Summary of Insurance"/>
      <sheetName val="K-Combined-final"/>
      <sheetName val="1997"/>
      <sheetName val="9899"/>
      <sheetName val="operasional"/>
      <sheetName val="konsultan"/>
      <sheetName val="proyek"/>
      <sheetName val="Predictive test -HPJ "/>
      <sheetName val="Car list "/>
      <sheetName val="PAYROLL-PBC"/>
      <sheetName val="FOREX-PBC"/>
      <sheetName val="Summary FA"/>
      <sheetName val="G.7"/>
      <sheetName val="Lead-BS"/>
      <sheetName val="Bank Recon"/>
      <sheetName val="Search for Unrecorded Liabilty"/>
      <sheetName val="FA Movement"/>
      <sheetName val="Asset Verification"/>
      <sheetName val="Acct"/>
      <sheetName val="Activity"/>
      <sheetName val="Batam1apr00"/>
      <sheetName val="Batam"/>
      <sheetName val="AcrApr"/>
      <sheetName val="0001"/>
      <sheetName val="9912"/>
      <sheetName val="9911"/>
      <sheetName val="9910"/>
      <sheetName val="9909"/>
      <sheetName val="9908"/>
      <sheetName val="BatamFcst"/>
      <sheetName val="AcrMay"/>
      <sheetName val="Aje&amp;Rje"/>
      <sheetName val="H1-A"/>
      <sheetName val="H1-B"/>
      <sheetName val="H1-C"/>
      <sheetName val="I1-A"/>
      <sheetName val="I1-B"/>
      <sheetName val="J1"/>
      <sheetName val="L1-A1"/>
      <sheetName val="L1-A2"/>
      <sheetName val="L1-B"/>
      <sheetName val="L1-C"/>
      <sheetName val="CIT"/>
      <sheetName val="COGS Segment"/>
      <sheetName val="TBDEC03"/>
      <sheetName val="TBOCT03"/>
      <sheetName val="TBDEC02"/>
      <sheetName val="AP-PLANNING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Transaksi Hubungan Istimewa"/>
      <sheetName val="rokok promosi"/>
      <sheetName val="rokok rusak"/>
      <sheetName val="coa(input saldo awal)"/>
      <sheetName val="cek akun"/>
      <sheetName val="Rekonsel"/>
      <sheetName val="TB SPRP"/>
      <sheetName val="C - Cash on hand and in banks"/>
      <sheetName val="C.1 - CIB"/>
      <sheetName val="C.2 - Unusual Bank"/>
      <sheetName val="D - Short-term investment"/>
      <sheetName val="D.1 - STI"/>
      <sheetName val="E.1 - Trade receivable"/>
      <sheetName val="E.1.1 - Accounts receivable"/>
      <sheetName val="E.2 -Other receivable (payable)"/>
      <sheetName val="E.2.2 - Rekap NR"/>
      <sheetName val="E.2.2.1 - NR-ISM"/>
      <sheetName val="E.2.1 - Recap SKP Objection"/>
      <sheetName val="F - Inventories"/>
      <sheetName val="F.3 - Deadstock"/>
      <sheetName val="F.4 - GLVsMaster"/>
      <sheetName val="F6.2PKS Prod"/>
      <sheetName val="F.8.1 - Inventory"/>
      <sheetName val="F.8.2. - COMWIL"/>
      <sheetName val="G -Prepaid exp, tax and advance"/>
      <sheetName val="G.1-Prepai PPh23"/>
      <sheetName val="K - Fixed Assets"/>
      <sheetName val="K.1.2 - Costha"/>
      <sheetName val="K.1.2.1 - Cost pemutihan"/>
      <sheetName val="K.1.2.2 - Accum Pemutihan"/>
      <sheetName val="K.1.2.3 - Ha Putih"/>
      <sheetName val="K.1.2.4 - Rekap SPK LC"/>
      <sheetName val="J - Other Assets"/>
      <sheetName val="J.2 - Def Landright"/>
      <sheetName val="J.1 - Nusrsery"/>
      <sheetName val="J.5.1 - Pension"/>
      <sheetName val="M - Notes Payable"/>
      <sheetName val="M.1 - Rekap NP&amp;bunga"/>
      <sheetName val="M1.2 - NP SP"/>
      <sheetName val="M.1.1 - NP ISM"/>
      <sheetName val="M.1 3 - NP IP"/>
      <sheetName val="N - AP trade"/>
      <sheetName val="O - Taxes payable"/>
      <sheetName val="O.1 - Vat"/>
      <sheetName val="P.1 - Accrued expense"/>
      <sheetName val="P.2 - Advance from customer"/>
      <sheetName val="Q - Pension Fund"/>
      <sheetName val="R - Deferred tax liabilities"/>
      <sheetName val="T.1 - Unrealized Gain on MF"/>
      <sheetName val="U.1 - Sales"/>
      <sheetName val="U.1.3 - Sales Analytical"/>
      <sheetName val="FFB-PKE Prod"/>
      <sheetName val="FFB Production"/>
      <sheetName val="U.2.1 - cogs"/>
      <sheetName val="U.2.1.1.1 - DC-Analytical"/>
      <sheetName val="U.2.1.1.1.1 - Harvesting"/>
      <sheetName val="U.2.1.1.1.2 - Upkeeping"/>
      <sheetName val="SPK"/>
      <sheetName val="U.2.1.1.1.3 - Manuring"/>
      <sheetName val="Fert Price"/>
      <sheetName val="Alokasi FOH"/>
      <sheetName val="Source MJ"/>
      <sheetName val="U.2.2.4 - Pre-Selling"/>
      <sheetName val="U.2.3.2 - Rent&amp;Elect"/>
      <sheetName val="U.2.4 - Other charges (income)"/>
      <sheetName val="U.2.5 - Dividen"/>
      <sheetName val="RWP 0"/>
      <sheetName val="RWP 1"/>
      <sheetName val="RWP2-1"/>
      <sheetName val="RWP3"/>
      <sheetName val="RWP 20"/>
      <sheetName val="RWP 22"/>
      <sheetName val="RWP 33"/>
      <sheetName val="42CAF"/>
      <sheetName val="42CAI"/>
      <sheetName val="RWP43"/>
      <sheetName val="RWP55"/>
      <sheetName val="RWP75"/>
      <sheetName val="Ch_OS_Pro"/>
      <sheetName val="Rep_OS_Pro"/>
      <sheetName val="Ch_OS_Com"/>
      <sheetName val="Rep_OS_Com"/>
      <sheetName val="Ch_OS_Con"/>
      <sheetName val="Rep_OS_Con"/>
      <sheetName val="Rep_OS_Con_MD"/>
      <sheetName val="Ch_OS_Sit"/>
      <sheetName val="Rep_OS_Sit"/>
      <sheetName val="Rep_OS_Details"/>
      <sheetName val="Ch_IS_Pro"/>
      <sheetName val="Rep_IS_Pro"/>
      <sheetName val="Ch_IS_Com"/>
      <sheetName val="Rep_IS_Com"/>
      <sheetName val="Ch_IS_Con"/>
      <sheetName val="Rep_IS_Con"/>
      <sheetName val="PaRS_Data"/>
      <sheetName val="Contracts_Data"/>
      <sheetName val="SKU_PPP_Data"/>
      <sheetName val="IS_Data"/>
      <sheetName val="IS_Customer"/>
      <sheetName val="Piv_OS_Pro"/>
      <sheetName val="Piv_OS_Com"/>
      <sheetName val="Piv_OS_Con"/>
      <sheetName val="Piv_OS_Sit"/>
      <sheetName val="Piv_IS_Pro"/>
      <sheetName val="Piv_IS_Com"/>
      <sheetName val="Piv_IS_Con"/>
      <sheetName val="IS_Site"/>
      <sheetName val="PaRS_Import"/>
      <sheetName val="PaRs_Import_Corr"/>
      <sheetName val="ABBR"/>
      <sheetName val="Country"/>
      <sheetName val="CAPEXV"/>
      <sheetName val="SUMMARY-VREVIEW"/>
      <sheetName val="SUMMARY-CAT B2"/>
      <sheetName val="CAPEX IT 2002 - 2006"/>
      <sheetName val="CAPEX BOGOR FACTORY"/>
      <sheetName val="W-RATE"/>
      <sheetName val="Other Receivable non related"/>
      <sheetName val="Inventories1"/>
      <sheetName val="Interest yg akan dikoreksi"/>
      <sheetName val="loan wilmar 3"/>
      <sheetName val="loan sap 3"/>
      <sheetName val="loan sap 4"/>
      <sheetName val="loan BPK"/>
      <sheetName val="loan JJP"/>
      <sheetName val="loan PMJ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00 received in 01"/>
      <sheetName val="GL 01 report 00"/>
      <sheetName val="2001 per GL (2)"/>
      <sheetName val="2001 per month (2)"/>
      <sheetName val="2001 per GL (1)"/>
      <sheetName val=" 2001 per month (1)"/>
      <sheetName val="Per GL 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Income Statm"/>
      <sheetName val="Rek Fiskal"/>
      <sheetName val="Fiscal Rec"/>
      <sheetName val="Rek Fiskal-detail"/>
      <sheetName val="Art.25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2001 per month (1)"/>
      <sheetName val="J a n"/>
      <sheetName val="D e c"/>
      <sheetName val="Txp"/>
      <sheetName val="biaya lain"/>
      <sheetName val="Congress"/>
      <sheetName val="Rent&amp;Taxes"/>
      <sheetName val="assets disposal"/>
      <sheetName val="BIKs"/>
      <sheetName val="Template"/>
      <sheetName val="Calcs"/>
      <sheetName val="SummWk"/>
      <sheetName val="SummMo"/>
      <sheetName val="Newmont #4"/>
      <sheetName val="Freeport McMoran"/>
      <sheetName val="Depreciation  schedule"/>
      <sheetName val="gol1"/>
      <sheetName val="gol2"/>
      <sheetName val="SSP (5)"/>
      <sheetName val="SPM (1195.2)"/>
      <sheetName val="SPM (1195.1)"/>
      <sheetName val="INDUK (BELI)"/>
      <sheetName val="BIODATA"/>
      <sheetName val="DEPAN"/>
      <sheetName val="LAMP. A3"/>
      <sheetName val="REKAP B2, B4"/>
      <sheetName val="Art. 23 reconciliation"/>
      <sheetName val="BSPL"/>
      <sheetName val="3100"/>
      <sheetName val="3500"/>
      <sheetName val="3550"/>
      <sheetName val="3800"/>
      <sheetName val="4700"/>
      <sheetName val="4800"/>
      <sheetName val="5000"/>
      <sheetName val="6000"/>
      <sheetName val="6100"/>
      <sheetName val="6200"/>
      <sheetName val="6300"/>
      <sheetName val="2nd of 2000"/>
      <sheetName val="Attach-2"/>
      <sheetName val="Attch-3"/>
      <sheetName val="1999-FA"/>
      <sheetName val="@GeneralInfo"/>
      <sheetName val="@Marshal"/>
      <sheetName val="Fiscal Adj"/>
      <sheetName val="@biaya lain-lain"/>
      <sheetName val="@profit - loss"/>
      <sheetName val="@profit - loss (2)"/>
      <sheetName val="@neraca"/>
      <sheetName val="@REC-FISCAL"/>
      <sheetName val="@depr-fisc(1)"/>
      <sheetName val="FA-DEPR"/>
      <sheetName val="VAT-RECON"/>
      <sheetName val="@PPh ps 22"/>
      <sheetName val="@Exit fiscal"/>
      <sheetName val="@PPh 25"/>
      <sheetName val="@Art 23(prepaid)"/>
      <sheetName val="@Pengurus"/>
      <sheetName val="@dftlamp"/>
      <sheetName val="Art21-recon"/>
      <sheetName val="Honorer"/>
      <sheetName val="@final,23,26recon"/>
      <sheetName val="@Art25 calc"/>
      <sheetName val="A-English"/>
      <sheetName val="B-English"/>
      <sheetName val="IDENTITAS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Iktisar koreksi"/>
      <sheetName val="Iktisar koreksi -E"/>
      <sheetName val="DEPRECIATION (E)"/>
      <sheetName val="EXPENSELIST"/>
      <sheetName val="Art.25 Inst."/>
      <sheetName val="Art.25 Inst. (E)"/>
      <sheetName val="Reconcile23"/>
      <sheetName val="Balancesheets-I"/>
      <sheetName val="Balancesheet-E"/>
      <sheetName val="TB1197"/>
      <sheetName val="penyusutan(I)"/>
      <sheetName val="FI-1771-P1"/>
      <sheetName val="FI-1771-P2"/>
      <sheetName val="data (2)"/>
      <sheetName val="NOPEMBER"/>
      <sheetName val="REKAP BULANAN"/>
      <sheetName val="21-A"/>
      <sheetName val="data-21-A"/>
      <sheetName val="21-A12"/>
      <sheetName val="Depr 2001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Interface"/>
      <sheetName val="s_annual_fsjun03"/>
      <sheetName val="s_annual_1"/>
      <sheetName val="s_annual_2"/>
      <sheetName val="s_annual_3"/>
      <sheetName val="commissioners"/>
      <sheetName val="d_com"/>
      <sheetName val="expo"/>
      <sheetName val="Avg spread"/>
      <sheetName val="NII"/>
      <sheetName val="exp_deducted"/>
      <sheetName val="roe"/>
      <sheetName val="pfm"/>
      <sheetName val="App 2"/>
      <sheetName val="SUD"/>
      <sheetName val="STB"/>
      <sheetName val="JKK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Ytd"/>
      <sheetName val="LMA 7 Peb"/>
      <sheetName val=" LMA 14 Peb"/>
      <sheetName val="LMA 21 Peb"/>
      <sheetName val="LMA 28 Peb"/>
      <sheetName val="Marshall-JSS"/>
      <sheetName val="Marshall-CMA"/>
      <sheetName val="F1771-VI"/>
      <sheetName val="Peny-JSS"/>
      <sheetName val="Peny-CMA"/>
      <sheetName val="TaxCMA"/>
      <sheetName val="TaxJSS"/>
      <sheetName val="PLconsold"/>
      <sheetName val="pph-25"/>
      <sheetName val="25installment"/>
      <sheetName val="Reasonableness test"/>
      <sheetName val="JE"/>
      <sheetName val="TB YTD"/>
      <sheetName val="TB Current"/>
      <sheetName val="VATO"/>
      <sheetName val="BSD"/>
      <sheetName val="COA Definition"/>
      <sheetName val="To Do"/>
      <sheetName val="Knowledge Index"/>
      <sheetName val="3800 mapping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VI $"/>
      <sheetName val="FE-1771-VI$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UBLISINDO"/>
      <sheetName val="Art. 25 calc"/>
      <sheetName val="Angsuran PPh 25"/>
      <sheetName val="Marshal-KSO"/>
      <sheetName val="Marshal-MGTI"/>
      <sheetName val="Penyusutan5.1"/>
      <sheetName val="Penyusutan5.2"/>
      <sheetName val="Depr Schedule"/>
      <sheetName val="CIP2000"/>
      <sheetName val="Pemegang saham"/>
      <sheetName val="shareholder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1771-Y I"/>
      <sheetName val="1771-Y E"/>
      <sheetName val="Lampiran (E)"/>
      <sheetName val="Depresiasi (E)"/>
      <sheetName val="H1.A"/>
      <sheetName val="H1.B"/>
      <sheetName val="H1.C"/>
      <sheetName val="I1.A"/>
      <sheetName val="I1.B"/>
      <sheetName val="L1.A"/>
      <sheetName val="L1.B"/>
      <sheetName val="L1.C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Marshal (3)"/>
      <sheetName val="Marshal (4)"/>
      <sheetName val="4th of 2001"/>
      <sheetName val="director"/>
      <sheetName val="FA-gainloss"/>
      <sheetName val="Laba-rugi aktiva"/>
      <sheetName val="peny-2001"/>
      <sheetName val="Depr-2001"/>
      <sheetName val="1770-Y"/>
      <sheetName val="4300"/>
      <sheetName val="6700"/>
      <sheetName val="64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Att. 9"/>
      <sheetName val="Attachment (2)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Corporate Reporter"/>
      <sheetName val="FX Exposure"/>
      <sheetName val="Trial Bal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Cad_Tbs Mob"/>
      <sheetName val="Cad_HPP"/>
      <sheetName val="P&amp;B_Selain_Bunga_2005 (2)"/>
      <sheetName val="Skema jual"/>
      <sheetName val="JUAL_UNIT"/>
      <sheetName val="Angs. Jual_05"/>
      <sheetName val="Plan Piutg 2005"/>
      <sheetName val="Pendap&amp;Beban Lain"/>
      <sheetName val="Rkp Anggaran"/>
      <sheetName val="Penebusan"/>
      <sheetName val="P&amp;B_Selain_Bunga_2005"/>
      <sheetName val="P&amp;B_Selain_Bunga_2004"/>
      <sheetName val="Omzet_Spareparts_2005"/>
      <sheetName val="Omzet_Spareparts_2004"/>
      <sheetName val="Omzet Service"/>
      <sheetName val="Biaya Umum &amp; Adm"/>
      <sheetName val="Biaya Umum &amp; Adm (2)"/>
      <sheetName val="Angs.Bank"/>
      <sheetName val="Hutang Lainnya"/>
      <sheetName val="Bayar Tebus"/>
      <sheetName val="Angs.B.Group"/>
      <sheetName val="Slide by month"/>
      <sheetName val="Breakdown-KPI"/>
      <sheetName val="fin bud OPU Transport"/>
      <sheetName val="KPI Difinisi"/>
      <sheetName val="KPI PER BULAN"/>
      <sheetName val="Financialhighlight"/>
      <sheetName val="Unit Opr"/>
      <sheetName val="Komp. Budget"/>
      <sheetName val="Rev.COGS.OPEX Bizplan 09"/>
      <sheetName val="CM-COST"/>
      <sheetName val="Analisa Revenue"/>
      <sheetName val="Review Tgl 15"/>
      <sheetName val="MPP Bizplan 09"/>
      <sheetName val="Sumber Data"/>
      <sheetName val="MARKETING"/>
      <sheetName val="HR 09"/>
      <sheetName val="HR 08"/>
      <sheetName val="CAPEX KENDRAAN"/>
      <sheetName val="CAPEX NON KENDARAAN"/>
      <sheetName val="NEWDEBT"/>
      <sheetName val="PENJUALAN ASSET"/>
      <sheetName val="TLP"/>
      <sheetName val="TRAINING"/>
      <sheetName val="CUSTUME"/>
      <sheetName val="USI3"/>
      <sheetName val="LIST dn (4)"/>
      <sheetName val="LIST dn (3)"/>
      <sheetName val="LIST dn (2)"/>
      <sheetName val="dwim3 (2)"/>
      <sheetName val="dwim3"/>
      <sheetName val="dwim2"/>
      <sheetName val="DWIM"/>
      <sheetName val="MIRA"/>
      <sheetName val="MITSU (2)"/>
      <sheetName val="MITSU"/>
      <sheetName val="NUSA"/>
      <sheetName val="CABDI"/>
      <sheetName val="SSL"/>
      <sheetName val="SNP (3)"/>
      <sheetName val="SNP (2)"/>
      <sheetName val="SNP"/>
      <sheetName val="CHYSLO (5)"/>
      <sheetName val="CHYSLO (6)"/>
      <sheetName val="CHYSLO (7)"/>
      <sheetName val="CHYSLO (3)"/>
      <sheetName val="CHYSLO (4)"/>
      <sheetName val="CHYSLO (2)"/>
      <sheetName val="CHYSLO"/>
      <sheetName val="BALINDO"/>
      <sheetName val="Lima Saudara (2)"/>
      <sheetName val="Lima Saudara"/>
      <sheetName val="ABP REv"/>
      <sheetName val="dmp"/>
      <sheetName val="CBSP"/>
      <sheetName val="USI"/>
      <sheetName val="DGI"/>
      <sheetName val="MELATY"/>
      <sheetName val="kbm"/>
      <sheetName val="ABP"/>
      <sheetName val="MIGS"/>
      <sheetName val="LIST dn"/>
      <sheetName val="MASTER (2)"/>
      <sheetName val="MINGGUAN"/>
      <sheetName val="Bulan"/>
      <sheetName val="Tahun"/>
      <sheetName val="Bulldozer"/>
      <sheetName val="Drill"/>
      <sheetName val="Shovel"/>
      <sheetName val="Excavator"/>
      <sheetName val="Tronton"/>
      <sheetName val="Crusher"/>
      <sheetName val="Handak"/>
      <sheetName val="OLI"/>
      <sheetName val="rata-rata"/>
      <sheetName val="Rencana"/>
      <sheetName val="MARMER"/>
      <sheetName val="TRASS"/>
      <sheetName val="OLI PAKAI"/>
      <sheetName val="SPARE PART"/>
      <sheetName val="OLI HEQ"/>
      <sheetName val="DOR"/>
      <sheetName val="Ref- Curr. code"/>
      <sheetName val="worksheet DBP updated march16"/>
      <sheetName val="CODE,NAME"/>
      <sheetName val="description"/>
      <sheetName val="Marshal -1"/>
      <sheetName val="ING Basis"/>
      <sheetName val="TB 2006"/>
      <sheetName val="Shunde"/>
      <sheetName val="KNIT"/>
      <sheetName val="SCORE_RC_Code"/>
      <sheetName val="K.3.3"/>
      <sheetName val="OFFICE"/>
      <sheetName val="Exc. Rate"/>
      <sheetName val="Order_Nov_w45"/>
      <sheetName val="bantu"/>
      <sheetName val="TAX LIST"/>
      <sheetName val="Journal Template"/>
      <sheetName val="A.4. Trial Balance"/>
      <sheetName val="A.4.1 AKTIVA"/>
      <sheetName val="A.4.2 PASIVA"/>
      <sheetName val="A.4.3 P&amp;L"/>
      <sheetName val=" CAJE"/>
      <sheetName val="C.1 - C-4 Bank Recons"/>
      <sheetName val="C.5 Deposit on call"/>
      <sheetName val="C.6 Bank CO"/>
      <sheetName val="CC. BAnk Confirmation Control"/>
      <sheetName val="E. Lead"/>
      <sheetName val="E-1. Reval Forex"/>
      <sheetName val="E.1.1 SUMMARY  Aging AR"/>
      <sheetName val="E-1.1.1 AGING AR"/>
      <sheetName val="E-2 Mutation Of AR_2"/>
      <sheetName val="E-3 subsequent"/>
      <sheetName val="E-4.SUMARY ROLL FRWRD AR"/>
      <sheetName val="E4.1.PERTAMINA"/>
      <sheetName val="E- 4.2 SCU"/>
      <sheetName val="E-4.3ELMIK"/>
      <sheetName val="E-4.4 EWS"/>
      <sheetName val="E-4.5MDM"/>
      <sheetName val="E-4.6ANADARCO"/>
      <sheetName val="EE. Confirmation control"/>
      <sheetName val="G-1.1 Adv Project - Intrcm"/>
      <sheetName val=" G-1.2 Detail Adv Employee"/>
      <sheetName val="G-1.3AGING ADVANCE"/>
      <sheetName val="G-1.4 Subsequent ADV_EMPY"/>
      <sheetName val=" G-1.5Subsequent ADV_INTCM"/>
      <sheetName val="G-2.1Art 22"/>
      <sheetName val="G2.2Prepaid 23"/>
      <sheetName val="G-2.3Prepaid 25"/>
      <sheetName val="G-2.4PPN"/>
      <sheetName val="K-Lead"/>
      <sheetName val="K-1 Mutasi "/>
      <sheetName val="K-1.1 Detail Acquisition"/>
      <sheetName val="K-1.1.1 detail FA"/>
      <sheetName val="L. Deferred Tax"/>
      <sheetName val="L.1 PPH_BADAN"/>
      <sheetName val="L-1.1 Rincian_Koreksi_Fiscal"/>
      <sheetName val="N. Lead"/>
      <sheetName val="N.1PRHTNGAN AP-KURS DEC 29,2006"/>
      <sheetName val="N.1.1 SUMMARY Aging AP "/>
      <sheetName val="N.1.1.1Aging AP"/>
      <sheetName val="N.2 MUTATION OF AP"/>
      <sheetName val="N.3 Subsequent AP"/>
      <sheetName val="NN. Confr Control AP"/>
      <sheetName val="N-4 SUMMARY ROLL FRWRD AP"/>
      <sheetName val="N-4.1 PATRA LOGISTIK"/>
      <sheetName val="N-4.2 SCU"/>
      <sheetName val="N-4.3 GEOSAINS"/>
      <sheetName val="N-4.4ELNUSA -HOLDING"/>
      <sheetName val="N-4.5 TRIAS"/>
      <sheetName val="N-4.6 KOP Expro"/>
      <sheetName val="N-4.7 Allen"/>
      <sheetName val="O. Tax Payable"/>
      <sheetName val="O-1 PPh4(3)"/>
      <sheetName val="O-1,1"/>
      <sheetName val="O-2 pph pasal 23"/>
      <sheetName val="O-2.1."/>
      <sheetName val="O-3 PPh21 (2)"/>
      <sheetName val="P-1. CUSTOMER DEPOSIT"/>
      <sheetName val="P-1.1 KURS - DEC 29, 2006"/>
      <sheetName val="P-1.2 DETAIL CUST DEPOSIT"/>
      <sheetName val="P-2. Accrued Expense"/>
      <sheetName val="p2.1DETAIL_Acc Aff"/>
      <sheetName val="P2.2DETAIL ACCR INTRCMP"/>
      <sheetName val="P2.3DETAIL ACCR TP"/>
      <sheetName val="P2.4 Subsequent Accrued"/>
      <sheetName val="P-3. GR_IR ACCOUNT"/>
      <sheetName val="P-3.1 detail GR_IR"/>
      <sheetName val="Q. Lead"/>
      <sheetName val="Q.1 Aging Long Term Payable"/>
      <sheetName val="R. Other liabilities"/>
      <sheetName val="T. equity"/>
      <sheetName val="TT Confirmation Control"/>
      <sheetName val="U-1. Revenue"/>
      <sheetName val="U-1.1  DETAIL AFFILIATED"/>
      <sheetName val="U-1.2 DETAIL INTERCOMPANY"/>
      <sheetName val="U-1.3 DETAIL THIRD PARTY"/>
      <sheetName val="U-1.4 Cut Off Revenue"/>
      <sheetName val="U-2. Cost of sales"/>
      <sheetName val="U-2.1detail cost of sales"/>
      <sheetName val="U-3. Operating Exp"/>
      <sheetName val="U-3.1detail operating exp"/>
      <sheetName val="U-4. Other Incm (Exp)"/>
      <sheetName val="COGS STD"/>
      <sheetName val="COGS cek"/>
      <sheetName val="COGS upload"/>
      <sheetName val="ALL ok"/>
      <sheetName val="COGS utk di upload"/>
      <sheetName val="ReportSales"/>
      <sheetName val="COGS Utk Upload"/>
      <sheetName val="TOP Report"/>
      <sheetName val="F1-09"/>
      <sheetName val="F2-09"/>
      <sheetName val="F3-09"/>
      <sheetName val="Jurnal Dividen-Kalbe"/>
      <sheetName val="Elim Summary"/>
      <sheetName val="Consolidation (MI)"/>
      <sheetName val="KAgeo"/>
      <sheetName val="Adj consol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BLL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LN"/>
      <sheetName val="gedung"/>
      <sheetName val="sipil"/>
      <sheetName val="(Pusat TW1)"/>
      <sheetName val="(Pusat TW2)"/>
      <sheetName val="(Pusat TW3)"/>
      <sheetName val="(Pusat TW4)"/>
      <sheetName val="(Realisasi TW1)"/>
      <sheetName val="TBMAP-HO"/>
      <sheetName val="TB-HO"/>
      <sheetName val="Adjusting Entries"/>
      <sheetName val="TB-HO-07-&amp; 06"/>
      <sheetName val="Ratios"/>
      <sheetName val="Internal AJE"/>
      <sheetName val="NewTB"/>
      <sheetName val="Investment SAAC"/>
      <sheetName val="GLInvestment"/>
      <sheetName val="TB_CW"/>
      <sheetName val="TB_CW (2)"/>
      <sheetName val="TBMAP-HO (2)"/>
      <sheetName val="BUKTI JURNAL"/>
      <sheetName val="KERTAS KERJA TB"/>
      <sheetName val="F3 NRV test"/>
      <sheetName val="Rollforward"/>
      <sheetName val="Q1 Lead WB"/>
      <sheetName val="Q1.1"/>
      <sheetName val="Q1.2 Agreement"/>
      <sheetName val="Q1.2.1 Covenant"/>
      <sheetName val="QQ1"/>
      <sheetName val="Q1 Lead SJ"/>
      <sheetName val="Q2.1 Agreement"/>
      <sheetName val="Q2.1.1 Covenant"/>
      <sheetName val="Q2.2 Summary Interest"/>
      <sheetName val="QQ2"/>
      <sheetName val="E Lead - WB"/>
      <sheetName val="E-1.3 Cut off Sales"/>
      <sheetName val="E Lead - SH"/>
      <sheetName val="E Lead - KB"/>
      <sheetName val="E-3.2"/>
      <sheetName val="E-3.3 Cut off Sales "/>
      <sheetName val="E Lead - U2"/>
      <sheetName val="E-4.2"/>
      <sheetName val="E-4.3 Cut off Sales  "/>
      <sheetName val="Montlhy Analysis"/>
      <sheetName val="Net"/>
      <sheetName val="Debit"/>
      <sheetName val="TB-LPG"/>
      <sheetName val="C Significant Issue"/>
      <sheetName val="FormGL"/>
      <sheetName val="VA lead"/>
      <sheetName val="VA1 "/>
      <sheetName val="VA2"/>
      <sheetName val="Profitaly"/>
      <sheetName val="Sales-03 Revisi"/>
      <sheetName val="BS 09"/>
      <sheetName val="Lanjutan Jurnal"/>
      <sheetName val="kk-HPP"/>
      <sheetName val="kk-Sales Ytd 2007"/>
      <sheetName val="BS.2007"/>
      <sheetName val="IS (2)"/>
      <sheetName val="Jurnal cc"/>
      <sheetName val="Per 29 D"/>
      <sheetName val="RptTaxInvRekap.rpt"/>
      <sheetName val="AR Detail SPM bdg+mdn"/>
      <sheetName val="AR SPM RPTbdg+mdn"/>
      <sheetName val="Pocari"/>
      <sheetName val="AR Detail SPM"/>
      <sheetName val="AR SPM RPT"/>
      <sheetName val="TREND HO"/>
      <sheetName val="TREND AR SPM Gabungan"/>
      <sheetName val="BDG"/>
      <sheetName val="SUMMARY AR"/>
      <sheetName val="AR Detail DIST"/>
      <sheetName val="AR DIST RPT"/>
      <sheetName val="Bank Guarantee"/>
      <sheetName val="BG Triwulan"/>
      <sheetName val="List RK Dist"/>
      <sheetName val="Journal Memorial"/>
      <sheetName val="PL Summary"/>
      <sheetName val="PL Detail"/>
      <sheetName val="Ref 1"/>
      <sheetName val="Ref 1.2"/>
      <sheetName val="Ref 2"/>
      <sheetName val="Ref 3"/>
      <sheetName val="Ref 4"/>
      <sheetName val="Ref 5"/>
      <sheetName val="Ref 6"/>
      <sheetName val="Ref 7"/>
      <sheetName val="ID"/>
      <sheetName val="B32"/>
      <sheetName val="DA1"/>
      <sheetName val="DA2"/>
      <sheetName val="DA3"/>
      <sheetName val="DB1"/>
      <sheetName val="DB4"/>
      <sheetName val="Customer"/>
      <sheetName val="KUM"/>
      <sheetName val="Sederhana"/>
      <sheetName val="Counts"/>
      <sheetName val="Manual"/>
      <sheetName val="Sales-1"/>
      <sheetName val="Sales-2"/>
      <sheetName val="Sales-3"/>
      <sheetName val="COGS "/>
      <sheetName val="Prod Cost (M)"/>
      <sheetName val="Prod Cost (Y)"/>
      <sheetName val="FOH"/>
      <sheetName val="Other Inc-Exp"/>
      <sheetName val="Nop'07"/>
      <sheetName val="Dec'07"/>
      <sheetName val="Nov (koreksi)"/>
      <sheetName val="Dec'08"/>
      <sheetName val="BS 09 May"/>
      <sheetName val="Denominated in Forex"/>
      <sheetName val="Analytical BS"/>
      <sheetName val="Analytical PL"/>
      <sheetName val="PM, TE &amp; SAD"/>
      <sheetName val="By Notes Layout"/>
      <sheetName val="Revised 7 Jan 2011"/>
      <sheetName val="MapData"/>
      <sheetName val="By Group Map"/>
      <sheetName val="LS AY and PY"/>
      <sheetName val="Con"/>
      <sheetName val="Uncon"/>
      <sheetName val="By.fkl"/>
      <sheetName val="Pyst.fkl"/>
      <sheetName val="Int.fkl"/>
      <sheetName val="Nrc.fkl"/>
      <sheetName val="nrc&amp;rl"/>
      <sheetName val="1771.I"/>
      <sheetName val="1771.I1c"/>
      <sheetName val="1771.I1e"/>
      <sheetName val="1771.I3"/>
      <sheetName val="1771.I4"/>
      <sheetName val="Aging Pulp"/>
      <sheetName val="BS.2010"/>
      <sheetName val="BS.01"/>
      <sheetName val="BS.02"/>
      <sheetName val="BS.03"/>
      <sheetName val="BS.04"/>
      <sheetName val="BS05"/>
      <sheetName val="BS.06"/>
      <sheetName val="BS.06 (2)"/>
      <sheetName val="BS.07"/>
      <sheetName val="BS.08"/>
      <sheetName val="BS 09A"/>
      <sheetName val="BS.8A"/>
      <sheetName val="TB 1010"/>
      <sheetName val="TB1209"/>
      <sheetName val="TB 1210"/>
      <sheetName val="TB Syteline"/>
      <sheetName val="BS.09A"/>
      <sheetName val="BS.10"/>
      <sheetName val="BS.11"/>
      <sheetName val="BS.12"/>
      <sheetName val="BS.12 (2)"/>
      <sheetName val="BS.13"/>
      <sheetName val="BS.14"/>
      <sheetName val="PPH 25Babp"/>
      <sheetName val="DivTax (2)"/>
      <sheetName val="Perhit.ERB"/>
      <sheetName val="DivTax"/>
      <sheetName val="Fiskal_09"/>
      <sheetName val="Flow"/>
      <sheetName val="Draft CF"/>
      <sheetName val="TB Dec 10"/>
      <sheetName val="Ledger Dec 10"/>
      <sheetName val="CF - NEW"/>
      <sheetName val="by notes"/>
      <sheetName val="LS AY and PY(1)"/>
      <sheetName val="PL-lamp1771"/>
      <sheetName val="Notes_TA"/>
      <sheetName val="Notes-provision"/>
      <sheetName val="Notes-salary"/>
      <sheetName val="nde-jkt"/>
      <sheetName val="nde-bdg"/>
      <sheetName val="nde-sby"/>
      <sheetName val="Kom awal Depr'09"/>
      <sheetName val="Kom_09"/>
      <sheetName val="Capex'09"/>
      <sheetName val="Kom_2009"/>
      <sheetName val="POS DIPERIKSA"/>
      <sheetName val="PPN1"/>
      <sheetName val="PPN2"/>
      <sheetName val="PR"/>
      <sheetName val="Pos Koreksi"/>
      <sheetName val="B.3.1Penyusutan "/>
      <sheetName val="DataWP"/>
      <sheetName val="Abstraksi "/>
      <sheetName val="PosDiperiksa"/>
      <sheetName val="B.2.3.1"/>
      <sheetName val="B.3.1."/>
      <sheetName val="B.3.4 "/>
      <sheetName val="E.5"/>
      <sheetName val="E.7 hit PPN"/>
      <sheetName val="E.7.1 Rekap SPM"/>
      <sheetName val="E.7.2"/>
      <sheetName val="Nothit21"/>
      <sheetName val="Nothit23"/>
      <sheetName val="NothitFinal "/>
      <sheetName val="NothitPPN"/>
      <sheetName val="Konpm"/>
      <sheetName val="Rekpk"/>
      <sheetName val="Rekpk2"/>
      <sheetName val="Rekpenj."/>
      <sheetName val="Stock Euy (3)"/>
      <sheetName val="DAFTAR PPh 23"/>
      <sheetName val="tELITI FK"/>
      <sheetName val="tELITI FK (2)"/>
      <sheetName val="Neraca WP"/>
      <sheetName val="Neraca FISKUS"/>
      <sheetName val="LR (2)"/>
      <sheetName val="LR (3)"/>
      <sheetName val="HPP SPAREPART"/>
      <sheetName val="BankBCA"/>
      <sheetName val="Analisa Penerimaan"/>
      <sheetName val="Analisa Pengeluaran"/>
      <sheetName val="Analisa Pengeluaran1"/>
      <sheetName val="Stock Euy"/>
      <sheetName val="Stock Euy (2)"/>
      <sheetName val="pENJ. NISSAN"/>
      <sheetName val="kkp21"/>
      <sheetName val="PPNKeluar "/>
      <sheetName val="PPNMasukan"/>
      <sheetName val="Lamp.LPP "/>
      <sheetName val="dataKPP"/>
      <sheetName val="Bypassindo 01"/>
      <sheetName val="Klarifikasi PM"/>
      <sheetName val="Klarifikasi PPN"/>
      <sheetName val="Lamp."/>
      <sheetName val="Neraca FISKUS (2)"/>
      <sheetName val="Arus Kas (2)"/>
      <sheetName val="Stock (2)"/>
      <sheetName val="Stock (3)"/>
      <sheetName val="StockSuzuki"/>
      <sheetName val="StockNissan"/>
      <sheetName val="StockHino"/>
      <sheetName val="Stock Mazda"/>
      <sheetName val="TOT PENJ"/>
      <sheetName val="Suzuki"/>
      <sheetName val=" Nissan"/>
      <sheetName val="Hino"/>
      <sheetName val="SUJA-SALES"/>
      <sheetName val="LOAN-CJI"/>
      <sheetName val="SUMMARY-SUJA"/>
      <sheetName val="SUMMARY ALL REL PARTIES"/>
      <sheetName val="REL PARTY FOR CONSOLIDATION"/>
      <sheetName val="REMAINDER AP-USD"/>
      <sheetName val="REM AP 31122005"/>
      <sheetName val="INVENTORY REL PART"/>
      <sheetName val="PPN masa"/>
      <sheetName val="1999"/>
      <sheetName val="hit ulang99"/>
      <sheetName val="INDUK 99"/>
      <sheetName val="INDUK II 99"/>
      <sheetName val="INDUK III 99 "/>
      <sheetName val="TOTAL TAX 99"/>
      <sheetName val="BREDOWN 1999 "/>
      <sheetName val="RENT AND TAX 99"/>
      <sheetName val="Psl 21 99"/>
      <sheetName val="1996"/>
      <sheetName val="INDUK 96"/>
      <sheetName val="INDUK II 96"/>
      <sheetName val="INDUK III 96"/>
      <sheetName val="TOTAL TAX 96"/>
      <sheetName val="BREDOWN 1996 "/>
      <sheetName val="RENT AND TAX 96"/>
      <sheetName val="RENT AND TAX 96 (2)"/>
      <sheetName val="23masa"/>
      <sheetName val="Psl 21 96"/>
      <sheetName val="1995"/>
      <sheetName val="objek 2326 95"/>
      <sheetName val="kredit pph"/>
      <sheetName val="INDUK 95"/>
      <sheetName val="INDUK II 95"/>
      <sheetName val="INDUK III 95 "/>
      <sheetName val="TOTAL TAX 95"/>
      <sheetName val="BREDOWN CP 1995 "/>
      <sheetName val="DEPRESS 9596"/>
      <sheetName val="RENT AND TAX 95"/>
      <sheetName val="Psl 21 95"/>
      <sheetName val="TOTAL TAX 99 96 95"/>
      <sheetName val="INDUK min 99"/>
      <sheetName val="TOTAL TAX min 99 96 95 "/>
      <sheetName val="INDUK min 99 (2)"/>
      <sheetName val="interest 99"/>
      <sheetName val="PH LUAR"/>
      <sheetName val="Worksheet Jan-Jun 2004"/>
      <sheetName val="Worksheet Jul-Dec 2004"/>
      <sheetName val="opinides"/>
      <sheetName val="BSvsNOTES"/>
      <sheetName val="rekaplapkeu"/>
      <sheetName val="AJE_JUL-DES"/>
      <sheetName val="TAXreconc"/>
      <sheetName val="Txrec_indo"/>
      <sheetName val="ACc dep FA"/>
      <sheetName val="C_E"/>
      <sheetName val="cttan&amp;DAFT.PRTNYAAN(PNDINGWORK)"/>
      <sheetName val="EE Sales"/>
      <sheetName val="NN Purchase"/>
      <sheetName val="TT equity"/>
      <sheetName val="QQ Loan"/>
      <sheetName val="NN AP"/>
      <sheetName val="EE AR"/>
      <sheetName val="CC Banks"/>
      <sheetName val="CF supp-2002 (2)"/>
      <sheetName val="Proforma"/>
      <sheetName val="Mflow (2)"/>
      <sheetName val="Reval"/>
      <sheetName val="summarry"/>
      <sheetName val="EE Lead"/>
      <sheetName val="E1.9"/>
      <sheetName val="CAT"/>
      <sheetName val="KKN"/>
      <sheetName val="rek.pem"/>
      <sheetName val="sel-penj"/>
      <sheetName val="AJE01"/>
      <sheetName val="M Lead"/>
      <sheetName val="M1.1"/>
      <sheetName val="M1.2"/>
      <sheetName val="M1.3"/>
      <sheetName val="M1.4"/>
      <sheetName val="M1.4.1"/>
      <sheetName val="M1.5"/>
      <sheetName val="GL interest expense"/>
      <sheetName val="M2.1"/>
      <sheetName val="MM Lead"/>
      <sheetName val="opini_07"/>
      <sheetName val="Client RE"/>
      <sheetName val="Cover_07"/>
      <sheetName val="isi_07"/>
      <sheetName val="skat_07"/>
      <sheetName val="BS-09"/>
      <sheetName val="PL-09"/>
      <sheetName val="EQ-09"/>
      <sheetName val="CF-09"/>
      <sheetName val="CLK-09"/>
      <sheetName val="ws_new"/>
      <sheetName val="WS-2009"/>
      <sheetName val="bs_07"/>
      <sheetName val="pl_07"/>
      <sheetName val="cf_07"/>
      <sheetName val="ws_07"/>
      <sheetName val="ws_06"/>
      <sheetName val="fa_audited_06_07"/>
      <sheetName val="ws_07 (2)"/>
      <sheetName val="aje_07"/>
      <sheetName val="aje_cleint"/>
      <sheetName val="clk_06"/>
      <sheetName val="aje_06"/>
      <sheetName val="Lampiran piutang 2007"/>
      <sheetName val="Lampiran Utang 2007"/>
      <sheetName val="aje_2007"/>
      <sheetName val="Cover_06"/>
      <sheetName val="isi_06"/>
      <sheetName val="skat_06"/>
      <sheetName val="opini_06"/>
      <sheetName val="bs_06"/>
      <sheetName val="pl_06"/>
      <sheetName val="eq_06"/>
      <sheetName val="cf_06"/>
      <sheetName val="Lamp 1 Piutang"/>
      <sheetName val="rincian_PPN"/>
      <sheetName val="ARUS KAS TIDAK LANGSUNG"/>
      <sheetName val="REKAP_KAS 2006"/>
      <sheetName val="ATFISKAL06"/>
      <sheetName val="ATSGU06"/>
      <sheetName val="ATSGUFKL06"/>
      <sheetName val="Lamp 2a PiutangAfiliasi"/>
      <sheetName val="Lamp 2b PiutangLain"/>
      <sheetName val="Lamp 3a HutangBank"/>
      <sheetName val="Lamp 3b HutangUsaha"/>
      <sheetName val="Lam 3c HutangRelasi"/>
      <sheetName val="Lam 3d HutangAfiliasi"/>
      <sheetName val="Rincian Pjk21"/>
      <sheetName val="Rincian Pjk25"/>
      <sheetName val="Rincian Pjk PPN"/>
      <sheetName val="KIMA"/>
      <sheetName val="PBM"/>
      <sheetName val="TarikMundurKasPBM"/>
      <sheetName val="TarikMundurKasMKSR"/>
      <sheetName val="TarikMundurPersed"/>
      <sheetName val="PSAK46"/>
      <sheetName val="bunga KI 1001"/>
      <sheetName val="RE1001"/>
      <sheetName val="HutangBank1001"/>
      <sheetName val="OLAH22"/>
      <sheetName val="OLAH2"/>
      <sheetName val="Asuransi Kndraan"/>
      <sheetName val="Isi induk"/>
      <sheetName val="Note2009"/>
      <sheetName val="AJE.RJE"/>
      <sheetName val="AJE.RJE CLIENT"/>
      <sheetName val="Lampiran Adj 2009"/>
      <sheetName val="lampiran aset (2)"/>
      <sheetName val="lampiran aset"/>
      <sheetName val="Cover consol"/>
      <sheetName val="Isi consol"/>
      <sheetName val="opini consol"/>
      <sheetName val="Sekat consol"/>
      <sheetName val="Bs Consol"/>
      <sheetName val="pl consol"/>
      <sheetName val="eq consol"/>
      <sheetName val="CF Consol"/>
      <sheetName val="Notes consol"/>
      <sheetName val="J. ELIMINASI"/>
      <sheetName val="Rekap - Penyisihan piutang"/>
      <sheetName val="PROY Cab Real"/>
      <sheetName val="Jasa KOnstruksi"/>
      <sheetName val="Fab, Design dan Inst"/>
      <sheetName val="Industri PK"/>
      <sheetName val="Rekap - Piutang 2010"/>
      <sheetName val="saldo bank"/>
      <sheetName val="D.isi"/>
      <sheetName val="Arus Kas Langsung"/>
      <sheetName val="Aje Reclass"/>
      <sheetName val="UMBU"/>
      <sheetName val="analisisumbu"/>
      <sheetName val="Gabungan AMKA 2"/>
      <sheetName val="Gabungan AMKA 1"/>
      <sheetName val="GT_Mutasi"/>
      <sheetName val="Gabungan Pa' Yaqin"/>
      <sheetName val="DJK"/>
      <sheetName val="PLANT YK"/>
      <sheetName val="DFP BKS"/>
      <sheetName val="DFP SMG"/>
      <sheetName val="KALTIM"/>
      <sheetName val="SUMUT"/>
      <sheetName val="RIAU"/>
      <sheetName val="CABSUS"/>
      <sheetName val="UPL"/>
      <sheetName val="Alamat Piutang "/>
      <sheetName val="Final + Non Final"/>
      <sheetName val="Pajak Kini "/>
      <sheetName val="AJEKLIEN"/>
      <sheetName val="Subtotal"/>
      <sheetName val="Subtotal (2)"/>
      <sheetName val="UMBK"/>
      <sheetName val="PIUT1"/>
      <sheetName val="PIUT2"/>
      <sheetName val="PIUT3"/>
      <sheetName val="BDD"/>
      <sheetName val="Pdptn"/>
      <sheetName val="BAD"/>
      <sheetName val="Ut.UMP"/>
      <sheetName val="25-TR"/>
      <sheetName val="KODEPLAN"/>
      <sheetName val="25-SUBTOTAL"/>
      <sheetName val="neraca saldo awal"/>
      <sheetName val="25-SUBTOTAL (2)"/>
      <sheetName val="mutasi gabungan"/>
      <sheetName val="BIAYA REK AIR DAN LISTRIK"/>
      <sheetName val="25-SUBTOTAL (3)"/>
      <sheetName val="IURAN JAMSOSTEK"/>
      <sheetName val="DROPING DANA"/>
      <sheetName val="Daftar_Print"/>
      <sheetName val="inventaris kator"/>
      <sheetName val="alat angkut konstruksi"/>
      <sheetName val="inventaris pabrik "/>
      <sheetName val="inv rmh dinas"/>
      <sheetName val="kend opr"/>
      <sheetName val="peral pabrik bengkel"/>
      <sheetName val="perl proyek"/>
      <sheetName val="Koreksi Audited (2)"/>
      <sheetName val="Koreksi Audited"/>
      <sheetName val="PPH1298S"/>
      <sheetName val="sal april"/>
      <sheetName val="WS Report-Audited"/>
      <sheetName val="Cut-off"/>
      <sheetName val="segmen sales"/>
      <sheetName val="segmen piutang"/>
      <sheetName val="Pengalihan Tanah"/>
      <sheetName val="TB1206"/>
      <sheetName val="Aktuaris FINAL"/>
      <sheetName val="COA (2)"/>
      <sheetName val="%Opini"/>
      <sheetName val="RE Recon"/>
      <sheetName val="Jurnal Elim"/>
      <sheetName val="Goodwill"/>
      <sheetName val="EL14-Minority"/>
      <sheetName val="Rent.Service.Royalty Income"/>
      <sheetName val="Jurnal Consol"/>
      <sheetName val="Identification"/>
      <sheetName val="Cash&amp;Equiv"/>
      <sheetName val="ShtTermInv"/>
      <sheetName val="AgingAR"/>
      <sheetName val="OR"/>
      <sheetName val="PPE"/>
      <sheetName val="Affco_transactionsNA"/>
      <sheetName val="due from-to"/>
      <sheetName val="Intangible assetsNA"/>
      <sheetName val="Deferred_tax"/>
      <sheetName val="LoansNA"/>
      <sheetName val="LOAN MUTATION"/>
      <sheetName val="Schedule-LT-LoanNA"/>
      <sheetName val="Aging AP"/>
      <sheetName val="OL"/>
      <sheetName val="tax and taxes payable"/>
      <sheetName val="LONG TERM DEBTSNA"/>
      <sheetName val="Employee Benefit"/>
      <sheetName val="Foreign CurrencyNA"/>
      <sheetName val="collateralNA"/>
      <sheetName val="Sales &amp; Purchase"/>
      <sheetName val="COGS mutation"/>
      <sheetName val="Opex-Selling"/>
      <sheetName val="opex-G&amp;A"/>
      <sheetName val="Opex-R&amp;DNA"/>
      <sheetName val="Int inc (exp)"/>
      <sheetName val="Oth Inc (Charges)"/>
      <sheetName val="Segmen usaha-Kalbe"/>
      <sheetName val="segmen EPMT"/>
      <sheetName val="List of affiliates"/>
      <sheetName val="GPM"/>
      <sheetName val="ST-Invest."/>
      <sheetName val="SWAP"/>
      <sheetName val="Amt.rvd.HITACHI"/>
      <sheetName val="1214 Kartu"/>
      <sheetName val="附件21-1"/>
      <sheetName val="附件11"/>
      <sheetName val="CAJE RNI Summary"/>
      <sheetName val="CAJE RNI Detail"/>
      <sheetName val="MgmtTech fee"/>
      <sheetName val="Laverton"/>
      <sheetName val="Interest bearing receivable"/>
      <sheetName val="Other receivable "/>
      <sheetName val="Deferred tax Assets"/>
      <sheetName val="bank loan"/>
      <sheetName val="Capital stock"/>
      <sheetName val="Due to related party"/>
      <sheetName val="Penj-PSA"/>
      <sheetName val="Deferred provision for inc tax"/>
      <sheetName val="purchase cut-off"/>
      <sheetName val="payment AR 1-23Jan09"/>
      <sheetName val="11498001"/>
      <sheetName val="FCD"/>
      <sheetName val="2004 nihil"/>
      <sheetName val="MATCH IKLAN"/>
      <sheetName val="budget05"/>
      <sheetName val="Structure Depo"/>
      <sheetName val="Nilai Wajar"/>
      <sheetName val="SSBVls-Subdebt"/>
      <sheetName val="Konsol"/>
      <sheetName val="Nrc Per Cabang"/>
      <sheetName val="Map 1006"/>
      <sheetName val="SL1006 (IDR)"/>
      <sheetName val="SL1006 (VLS)"/>
      <sheetName val="bs-HO"/>
      <sheetName val="p&amp;l-HO"/>
      <sheetName val="A5"/>
      <sheetName val="Mdt"/>
      <sheetName val="differed death"/>
      <sheetName val="differed disability"/>
      <sheetName val="differed withdrawal"/>
      <sheetName val="Employee Benefit UUK-13"/>
      <sheetName val="Cad UUK-13(csc-meninggal)"/>
      <sheetName val="Cad UUK-13(csc-disability)"/>
      <sheetName val="Cad UUK-13(csc-withdrawal)"/>
      <sheetName val="Cad UUK-13(PVDBO-meninggal) "/>
      <sheetName val="Cad UUK-13(PVDBO-disability) "/>
      <sheetName val="Cad UUK-13(PVDBO-withdrawal)"/>
      <sheetName val="Cad UUK-13(total)"/>
      <sheetName val="Case No. 1"/>
      <sheetName val="Case No. 2"/>
      <sheetName val="Case No. 3"/>
      <sheetName val="Employee Data"/>
      <sheetName val="rumus-tnp-esk (3)"/>
      <sheetName val="rumus-tnp-esk (2)"/>
      <sheetName val="rumus-tnp-esk"/>
      <sheetName val="Tabel-I"/>
      <sheetName val="Tabel-H"/>
      <sheetName val="Tabel-G"/>
      <sheetName val="Tabel-F"/>
      <sheetName val="Tabel-E"/>
      <sheetName val="Tabel-D"/>
      <sheetName val="Tabel-C"/>
      <sheetName val="Tabel-B"/>
      <sheetName val="Tabel-A"/>
      <sheetName val="dt-lamp2-dapen"/>
      <sheetName val="dt-lamp2-pkt-ypk"/>
      <sheetName val="trf"/>
      <sheetName val="TARIPPASIF"/>
      <sheetName val="rata-rata-usia"/>
      <sheetName val="hit-PKT"/>
      <sheetName val="hitYPK"/>
      <sheetName val="hit-YRS"/>
      <sheetName val="Hit-Pensiunan"/>
      <sheetName val="Lamp-1-Dapen"/>
      <sheetName val="Lamp-2-Dapen"/>
      <sheetName val="Lamp-3-Dapen"/>
      <sheetName val="DP-estate"/>
      <sheetName val="Lamp-1-ypk"/>
      <sheetName val="lamp-2-ypk"/>
      <sheetName val="Lamp-3-YPK"/>
      <sheetName val="YPK-estate"/>
      <sheetName val="Lamp-1-pkt"/>
      <sheetName val="lamp-2-PKT"/>
      <sheetName val="Lamp-3-PKT"/>
      <sheetName val="PKT-estate"/>
      <sheetName val="Lamp-1-yrs"/>
      <sheetName val="lamp-2-yrs"/>
      <sheetName val="Lamp-3-YRS"/>
      <sheetName val="YRS-estate"/>
      <sheetName val="Lamp4-Dapen"/>
      <sheetName val="Lamp4-PKT"/>
      <sheetName val="Lamp4-YPK"/>
      <sheetName val="Lamp4-YRS"/>
      <sheetName val="item schedule"/>
      <sheetName val="pekerjaan chart"/>
      <sheetName val="pekerjaan summary"/>
      <sheetName val="pekerjaan detail"/>
      <sheetName val="Rincian Investasi"/>
      <sheetName val="Proyeksi Sales"/>
      <sheetName val="Proyeksi COGS"/>
      <sheetName val="Project"/>
      <sheetName val="PEXFEE"/>
      <sheetName val="HD785 (2)"/>
      <sheetName val="CGS250 PT"/>
      <sheetName val="MTPART LDP (2)"/>
      <sheetName val="CPHRHD RTL"/>
      <sheetName val="MTPART RTL"/>
      <sheetName val="HD785"/>
      <sheetName val="CPHRHD FOB"/>
      <sheetName val="CPHRHD LDP"/>
      <sheetName val="PERIODE NOV'11"/>
      <sheetName val="R &amp; M COST"/>
      <sheetName val="listnya"/>
      <sheetName val="Graph Var"/>
      <sheetName val="oceanvoyage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11-20"/>
      <sheetName val="21-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general info "/>
      <sheetName val="porter"/>
      <sheetName val="swot"/>
      <sheetName val="winning-concept"/>
      <sheetName val="5 YRs POLICY"/>
      <sheetName val="STRG INITIATIVES 2004-2008"/>
      <sheetName val="STRG INITIATIVES 04"/>
      <sheetName val="Activity Plan"/>
      <sheetName val="Juklak Act. Plan"/>
      <sheetName val="MART"/>
      <sheetName val="APRL"/>
      <sheetName val="AGST"/>
      <sheetName val="COST"/>
      <sheetName val="MORAL"/>
      <sheetName val="Renc_x0016_"/>
      <sheetName val=""/>
      <sheetName val="samsidb"/>
      <sheetName val="HM"/>
      <sheetName val="Eng_Low"/>
      <sheetName val="Eng_Full"/>
      <sheetName val="ENG ALL PUMP RELIEF"/>
      <sheetName val="BLOW BAY PRSS"/>
      <sheetName val="LUB OIL PRES_ ENG FULL"/>
      <sheetName val="LUB OIL PRES_ ENG LOW"/>
      <sheetName val="BOOST PRES ENG FUL BOOM RAISE"/>
      <sheetName val="EXHAUST_GAS"/>
      <sheetName val="BOOM RAISE ENGINE FULL"/>
      <sheetName val="ARM IN LOADER OUT"/>
      <sheetName val="BUCKED CURL SE spec"/>
      <sheetName val="SP SCPEC BOOM RAISE"/>
      <sheetName val="SP SPEC ARM IN"/>
      <sheetName val="SP SPEC BUCKET CURL"/>
      <sheetName val="SWING 5TURNS"/>
      <sheetName val="TRAVEL 5 TURNS"/>
      <sheetName val="STD LH TRAVEL 5 TURNS"/>
      <sheetName val="CONTROL PUMP ENG FULL"/>
      <sheetName val="CONTROL PUMP ENG LOW"/>
      <sheetName val="TVC ALL LEVERS AT NEUTURAL"/>
      <sheetName val="TVC BOOM RAISE RELIEF"/>
      <sheetName val="TVC HEAVYLIFT ON BOOM RAISE "/>
      <sheetName val="TVC SWING RELIEF"/>
      <sheetName val="NO1 PUMP FRONT NC (ALL LEVERS )"/>
      <sheetName val="NO1PUMP FRONT NC AT FULL STROKE"/>
      <sheetName val="NO1PUMP FRONT NC RH TRACK2"/>
      <sheetName val="NO1PUMPREARNC ALL LEVERSNEUTRAL"/>
      <sheetName val="NO1PUMP REARNC FULL STROKE"/>
      <sheetName val="NO1PUMP REARNC LH TRACK2"/>
      <sheetName val="NO2PUMP REARNC ALL LEVER NEUTRA"/>
      <sheetName val="NO2REARNCPUMP SWING FULL STRUK "/>
      <sheetName val="NO2PUMP REAR DURING SWINGING"/>
      <sheetName val="NO1PUMP FRONTCO BOOM RAISE.FNC"/>
      <sheetName val="NO1PUMPFRONT COBOOM RAISE.RNC"/>
      <sheetName val="NO1PUMPFRONTCO SWING RELIEF FNC"/>
      <sheetName val="NO1PUMPSWING RELIEFRNC"/>
      <sheetName val="SWING ENG FULL RELIEF LH"/>
      <sheetName val="SWING ENG FULL RELIEF RH"/>
      <sheetName val="ARMOUTLOADER.ArmIN"/>
      <sheetName val="BOMRAISE ALHEAVY SWITCH.OFF"/>
      <sheetName val="BOMRAISEATHEAVYSWITCH.ON"/>
      <sheetName val="LH TRAVEL FOR&amp;REV FRONT PUMP"/>
      <sheetName val="LH TRAVELFOR&amp;REV REAR PUMP"/>
      <sheetName val="RH TRAVEL FOR&amp;REV FRONTPUMP"/>
      <sheetName val="RHTRAVEL FOR&amp;REV REAR PUMP"/>
      <sheetName val="NO1PUMPFRONT LEVERSAT NEUTRAL"/>
      <sheetName val="LH TRAVEL UNDER P6 MAIN"/>
      <sheetName val="LH TRAVEL FORWAD P6 MAIN"/>
      <sheetName val="LHTRAVEL REVERSE P6 MAIN"/>
      <sheetName val="AUTO OFF P7 CONC"/>
      <sheetName val="AUTO OFF P8 MAIN"/>
      <sheetName val="BOOM RAISE OFF P7CONC"/>
      <sheetName val="BOOM RAISE OFF P8MAIN"/>
      <sheetName val="SWING UNDER P7CONC"/>
      <sheetName val="SWING UNDER P8 MAIN"/>
      <sheetName val="RH SWING P8 MAIN"/>
      <sheetName val="LH SWING P8 MAIN "/>
      <sheetName val="REMARKS"/>
      <sheetName val="NO1PUMP FRONTCO BOOM RAISE_FNC"/>
      <sheetName val="NO1PUMPFRONT COBOOM RAISE_RNC"/>
      <sheetName val="ARMOUTLOADER_ArmIN"/>
      <sheetName val="BOMRAISE ALHEAVY SWITCH_OFF"/>
      <sheetName val="BOMRAISEATHEAVYSWITCH_ON"/>
      <sheetName val="LH TRAVEL FOR_REV FRONT PUMP"/>
      <sheetName val="LH TRAVELFOR_REV REAR PUMP"/>
      <sheetName val="RH TRAVEL FOR_REV FRONTPUMP"/>
      <sheetName val="RHTRAVEL FOR_REV REAR PUMP"/>
      <sheetName val="Level"/>
      <sheetName val="FCS Shift"/>
      <sheetName val="Metrologi"/>
      <sheetName val="FSR"/>
      <sheetName val="Terra"/>
      <sheetName val="Terra Stock Aktual"/>
      <sheetName val="FRRFM1"/>
      <sheetName val="FRRFM2"/>
      <sheetName val="FRRFM5"/>
      <sheetName val="FRRFM6"/>
      <sheetName val="FRRFM8"/>
      <sheetName val="FRRFM3"/>
      <sheetName val="Fuel Per Service"/>
      <sheetName val="Analisa Bagong"/>
      <sheetName val="RENJA"/>
      <sheetName val="JADWAL KEG.TAMBANG"/>
      <sheetName val="JADWAL KEG.PEMOMPAAN"/>
      <sheetName val="METODE KERJA"/>
      <sheetName val="JANUARI "/>
      <sheetName val="February"/>
      <sheetName val="Maret "/>
      <sheetName val="AUGUST"/>
      <sheetName val="Hourly Prod"/>
      <sheetName val="Crew Perf"/>
      <sheetName val="OB ACTIV"/>
      <sheetName val="Daily Forecasting"/>
      <sheetName val="BD Equip"/>
      <sheetName val="DP Report"/>
      <sheetName val="Curah hujan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DTperPC"/>
      <sheetName val="SumBMAperPC"/>
      <sheetName val="OB &amp; Coal YTD"/>
      <sheetName val="CL004"/>
      <sheetName val="CL003"/>
      <sheetName val="CL002"/>
      <sheetName val="CT035"/>
      <sheetName val="CT059"/>
      <sheetName val="CT053"/>
      <sheetName val="CT052"/>
      <sheetName val="CT023"/>
      <sheetName val="CT021"/>
      <sheetName val="CT012"/>
      <sheetName val="CT011"/>
      <sheetName val="CT010"/>
      <sheetName val="CT008"/>
      <sheetName val="CD007"/>
      <sheetName val="DZ102"/>
      <sheetName val="CE025"/>
      <sheetName val="SUMMARY HE MONTH"/>
      <sheetName val="SUMMARY SE MONTH"/>
      <sheetName val="SUMMARY HE3"/>
      <sheetName val="SUMMARY SE3"/>
      <sheetName val="SUMMARY HE2"/>
      <sheetName val="SUMMARY SE2"/>
      <sheetName val="SUMMARY HE1"/>
      <sheetName val="SUMMARY SE1"/>
      <sheetName val="DB HE1"/>
      <sheetName val="DB SE1"/>
      <sheetName val="DB HE2"/>
      <sheetName val="DB SE2"/>
      <sheetName val="SUMMARY HE5"/>
      <sheetName val="SUMMARY SE5"/>
      <sheetName val="SUMMARY HE4"/>
      <sheetName val="SUMMARY SE4"/>
      <sheetName val="DB HE4"/>
      <sheetName val="DB SE4"/>
      <sheetName val="DB HE3 "/>
      <sheetName val="DB SE3"/>
      <sheetName val="DB HE"/>
      <sheetName val="DB SE"/>
      <sheetName val="GREASING JUN"/>
      <sheetName val="802"/>
      <sheetName val="801"/>
      <sheetName val="728"/>
      <sheetName val="727"/>
      <sheetName val="726"/>
      <sheetName val="725"/>
      <sheetName val="724"/>
      <sheetName val="723"/>
      <sheetName val="722"/>
      <sheetName val="721"/>
      <sheetName val="720"/>
      <sheetName val="719"/>
      <sheetName val="718"/>
      <sheetName val="717"/>
      <sheetName val="716"/>
      <sheetName val="715"/>
      <sheetName val="714"/>
      <sheetName val="713"/>
      <sheetName val="712"/>
      <sheetName val="711"/>
      <sheetName val="710"/>
      <sheetName val="709"/>
      <sheetName val="708"/>
      <sheetName val="707"/>
      <sheetName val="706"/>
      <sheetName val="705"/>
      <sheetName val="704"/>
      <sheetName val="703A"/>
      <sheetName val="703"/>
      <sheetName val="702"/>
      <sheetName val="701"/>
      <sheetName val="612"/>
      <sheetName val="611"/>
      <sheetName val="610"/>
      <sheetName val="609"/>
      <sheetName val="608"/>
      <sheetName val="607"/>
      <sheetName val="603"/>
      <sheetName val="602"/>
      <sheetName val="601"/>
      <sheetName val="511"/>
      <sheetName val="510"/>
      <sheetName val="509"/>
      <sheetName val="508"/>
      <sheetName val="507"/>
      <sheetName val="506"/>
      <sheetName val="505"/>
      <sheetName val="503"/>
      <sheetName val="502"/>
      <sheetName val="501"/>
      <sheetName val="442"/>
      <sheetName val="441"/>
      <sheetName val="440"/>
      <sheetName val="439"/>
      <sheetName val="438"/>
      <sheetName val="437"/>
      <sheetName val="436"/>
      <sheetName val="435"/>
      <sheetName val="434"/>
      <sheetName val="433"/>
      <sheetName val="432"/>
      <sheetName val="431"/>
      <sheetName val="430"/>
      <sheetName val="429"/>
      <sheetName val="428"/>
      <sheetName val="427"/>
      <sheetName val="426"/>
      <sheetName val="425"/>
      <sheetName val="424"/>
      <sheetName val="423"/>
      <sheetName val="422"/>
      <sheetName val="421"/>
      <sheetName val="420"/>
      <sheetName val="419"/>
      <sheetName val="418"/>
      <sheetName val="417"/>
      <sheetName val="416"/>
      <sheetName val="415"/>
      <sheetName val="414"/>
      <sheetName val="413"/>
      <sheetName val="412"/>
      <sheetName val="411"/>
      <sheetName val="410"/>
      <sheetName val="409"/>
      <sheetName val="408"/>
      <sheetName val="407"/>
      <sheetName val="406"/>
      <sheetName val="405"/>
      <sheetName val="404"/>
      <sheetName val="403"/>
      <sheetName val="402"/>
      <sheetName val="401"/>
      <sheetName val="302"/>
      <sheetName val="301"/>
      <sheetName val="219"/>
      <sheetName val="218"/>
      <sheetName val="217"/>
      <sheetName val="216"/>
      <sheetName val="214"/>
      <sheetName val="213"/>
      <sheetName val="212"/>
      <sheetName val="211"/>
      <sheetName val="209"/>
      <sheetName val="208"/>
      <sheetName val="207"/>
      <sheetName val="206"/>
      <sheetName val="204"/>
      <sheetName val="203"/>
      <sheetName val="202"/>
      <sheetName val="201"/>
      <sheetName val="112"/>
      <sheetName val="111"/>
      <sheetName val="110"/>
      <sheetName val="109"/>
      <sheetName val="108"/>
      <sheetName val="107"/>
      <sheetName val="106"/>
      <sheetName val="105"/>
      <sheetName val="104"/>
      <sheetName val="103"/>
      <sheetName val="102"/>
      <sheetName val="101"/>
      <sheetName val="RECORD WO"/>
      <sheetName val="wo"/>
      <sheetName val="DAILY MAI"/>
      <sheetName val="DAILY JUNE"/>
      <sheetName val="RECORD WO (2)"/>
      <sheetName val="DAILY WO"/>
      <sheetName val="EDS080507"/>
      <sheetName val="EDS090507"/>
      <sheetName val="EDS100507"/>
      <sheetName val="EDS110507"/>
      <sheetName val="EDS120507"/>
      <sheetName val="EDS130507"/>
      <sheetName val="EDS140507"/>
      <sheetName val="DETAIL DAILY PLAN"/>
      <sheetName val="BACKUP"/>
      <sheetName val="RECORD WO 2007"/>
      <sheetName val="RECORD WO 2008"/>
      <sheetName val="RECORD WO 2009"/>
      <sheetName val="FORECAST  WEEK 5 NOV"/>
      <sheetName val="FORECAST  WEEK 1 DEC"/>
      <sheetName val="DB HE3"/>
      <sheetName val="GREASING november"/>
      <sheetName val="803"/>
      <sheetName val="729"/>
      <sheetName val="615"/>
      <sheetName val="614"/>
      <sheetName val="613"/>
      <sheetName val="512"/>
      <sheetName val="448"/>
      <sheetName val="447"/>
      <sheetName val="446"/>
      <sheetName val="445"/>
      <sheetName val="444"/>
      <sheetName val="443"/>
      <sheetName val="303"/>
      <sheetName val="222"/>
      <sheetName val="221"/>
      <sheetName val="116"/>
      <sheetName val="115"/>
      <sheetName val="114"/>
      <sheetName val="113"/>
      <sheetName val="DFTR KUANTITAS"/>
      <sheetName val="DFTR KUANTITAS (2)"/>
      <sheetName val="REKAP MAT"/>
      <sheetName val="SUB KON"/>
      <sheetName val="SCHE"/>
      <sheetName val="Informasi-oke"/>
      <sheetName val="Mobilisasi (2)"/>
      <sheetName val="RUTIN"/>
      <sheetName val="STEEL"/>
      <sheetName val="hbaup"/>
      <sheetName val="DIV.2"/>
      <sheetName val="Dft MPU"/>
      <sheetName val="analat"/>
      <sheetName val="DIV.3"/>
      <sheetName val="DIV.4"/>
      <sheetName val="DIV.5"/>
      <sheetName val="DIV.6"/>
      <sheetName val="DIV.7 Batch"/>
      <sheetName val="DIV.7"/>
      <sheetName val="Besi"/>
      <sheetName val="7.9"/>
      <sheetName val="8.4 (1)"/>
      <sheetName val="8.1. (5)"/>
      <sheetName val="agr hls ksr"/>
      <sheetName val="XL4Test5"/>
      <sheetName val="LPA"/>
      <sheetName val="LPB"/>
      <sheetName val="timb biasa"/>
      <sheetName val="NP"/>
      <sheetName val="Gal_Cold Milling"/>
      <sheetName val="Gal_Jack Hammer"/>
      <sheetName val="Grafik Ketercapaian"/>
      <sheetName val="Hit Vol BB"/>
      <sheetName val="List Coal"/>
      <sheetName val="Jam Jalan Coal Getting"/>
      <sheetName val="Produksi Batubara-Loader"/>
      <sheetName val="Produksi Tanah-Loader"/>
      <sheetName val="List Rehandling"/>
      <sheetName val="Data Pivot"/>
      <sheetName val="List OB"/>
      <sheetName val="Summary All"/>
      <sheetName val="BA TSBC"/>
      <sheetName val="Monitoring Survey"/>
      <sheetName val="BA Pit LINGKAR"/>
      <sheetName val="BA Pit 3 Timur"/>
      <sheetName val="BA Restorasi Sungai"/>
      <sheetName val="BA Rehandling Batubara"/>
      <sheetName val="Source Data "/>
      <sheetName val="Asumsi by Own"/>
      <sheetName val="General Assumption"/>
      <sheetName val="Consolidated Valuation"/>
      <sheetName val="P_L"/>
      <sheetName val="Apexindo"/>
      <sheetName val="Finstat"/>
      <sheetName val="Igw Model"/>
      <sheetName val="Mich"/>
      <sheetName val="Cost centre expenditure"/>
      <sheetName val="F-9"/>
      <sheetName val="F-22"/>
      <sheetName val="BPR balance sheet"/>
      <sheetName val="BPR profit &amp; loss"/>
      <sheetName val="BPR BS analysis"/>
      <sheetName val="BPR PL analysis"/>
      <sheetName val="B - 1"/>
      <sheetName val="FF-1"/>
      <sheetName val="FF-10"/>
      <sheetName val="70"/>
      <sheetName val="U-2_Sales Analysis"/>
      <sheetName val="U-1l2_Overall AR"/>
      <sheetName val="FF-3"/>
      <sheetName val="F-11"/>
      <sheetName val="F-11a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DD-10"/>
      <sheetName val="FF-21(a)"/>
      <sheetName val="BPR"/>
      <sheetName val="F-7"/>
      <sheetName val="F7wkg"/>
      <sheetName val="A-22"/>
      <sheetName val="U-100"/>
      <sheetName val="FF-20"/>
      <sheetName val="CA"/>
      <sheetName val="FF-22(hp)"/>
      <sheetName val="FF-23(d)"/>
      <sheetName val="FF-30"/>
      <sheetName val="FF-31"/>
      <sheetName val="FF-40"/>
      <sheetName val="PP(spare)"/>
      <sheetName val="PP-20"/>
      <sheetName val="NN-12"/>
      <sheetName val="PP-30"/>
      <sheetName val="PP-31"/>
      <sheetName val="PP-40"/>
      <sheetName val="BPR-1"/>
      <sheetName val="B-10"/>
      <sheetName val="B-30"/>
      <sheetName val="U-1 "/>
      <sheetName val="M&amp;MM"/>
      <sheetName val="Hypothesis"/>
      <sheetName val="Profitability"/>
      <sheetName val="Profitability Analysis"/>
      <sheetName val="FSA"/>
      <sheetName val="F-1&amp;2"/>
      <sheetName val="Purch cut off"/>
      <sheetName val="M&amp;MM-10"/>
      <sheetName val="pp-1"/>
      <sheetName val="40 (2)"/>
      <sheetName val="50 (2)"/>
      <sheetName val="BIF-collect"/>
      <sheetName val="BIF-OR"/>
      <sheetName val="Module3"/>
      <sheetName val="Future"/>
      <sheetName val="30 "/>
      <sheetName val="Company Info"/>
      <sheetName val="Summary of Fixed Assets"/>
      <sheetName val="Hire Purchase"/>
      <sheetName val="Lease"/>
      <sheetName val="Controlled Transfer"/>
      <sheetName val="CA Comp"/>
      <sheetName val="IBA Comp "/>
      <sheetName val="Interim --&gt; Top"/>
      <sheetName val="accumdeprn"/>
      <sheetName val="addl cost"/>
      <sheetName val="dev_exp (2)"/>
      <sheetName val="dev_exp"/>
      <sheetName val="Addl Dev Exp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Dividend"/>
      <sheetName val="ITA-RA"/>
      <sheetName val="Int-rest"/>
      <sheetName val="OTHER (2)"/>
      <sheetName val="14 Column"/>
      <sheetName val="7 Column"/>
      <sheetName val="Index 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tax-ss"/>
      <sheetName val="App II"/>
      <sheetName val="A8"/>
      <sheetName val="A8-1"/>
      <sheetName val="A8-2"/>
      <sheetName val="Bill"/>
      <sheetName val="OSM-ccf"/>
      <sheetName val="OSM"/>
      <sheetName val="Michelle"/>
      <sheetName val="OSM to client"/>
      <sheetName val="Further queries"/>
      <sheetName val="CFW"/>
      <sheetName val="CFW99"/>
      <sheetName val="A6-2"/>
      <sheetName val="A7-10a"/>
      <sheetName val="E3-1"/>
      <sheetName val="Unrecorded"/>
      <sheetName val="O2"/>
      <sheetName val="ReviewDN-CN"/>
      <sheetName val="Consol Note"/>
      <sheetName val="K2-ss"/>
      <sheetName val="O-ss"/>
      <sheetName val="dr"/>
      <sheetName val="Statement"/>
      <sheetName val="auditor"/>
      <sheetName val="acs"/>
      <sheetName val="fixed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OS"/>
      <sheetName val="BPR-PL "/>
      <sheetName val="BPR-BS"/>
      <sheetName val="F-1,2"/>
      <sheetName val="F-99"/>
      <sheetName val="A-10"/>
      <sheetName val="B-3"/>
      <sheetName val="M MM "/>
      <sheetName val="U dis"/>
      <sheetName val="BB-10"/>
      <sheetName val="BB-17"/>
      <sheetName val="FIN297"/>
      <sheetName val="FF-4(a)"/>
      <sheetName val="10,20"/>
      <sheetName val="EA"/>
      <sheetName val="EA1"/>
      <sheetName val="EB"/>
      <sheetName val="EB1"/>
      <sheetName val="N1-2"/>
      <sheetName val="N3-1"/>
      <sheetName val="UA1"/>
      <sheetName val="UA1-1"/>
      <sheetName val="UA2"/>
      <sheetName val="UB1"/>
      <sheetName val="UB3"/>
      <sheetName val="UC"/>
      <sheetName val="UC1"/>
      <sheetName val="UC2"/>
      <sheetName val="UC3"/>
      <sheetName val="UD"/>
      <sheetName val="F-1 F-2"/>
      <sheetName val="B "/>
      <sheetName val="B-4"/>
      <sheetName val="U-disc"/>
      <sheetName val="BB-5"/>
      <sheetName val="CC-3"/>
      <sheetName val="20 30"/>
      <sheetName val="30-1"/>
      <sheetName val="70 "/>
      <sheetName val="Cor"/>
      <sheetName val="Dir"/>
      <sheetName val="Acc"/>
      <sheetName val="Stat"/>
      <sheetName val="Aud1"/>
      <sheetName val="Aud2"/>
      <sheetName val="Annx1"/>
      <sheetName val="Annx3"/>
      <sheetName val="Annx4"/>
      <sheetName val="Annx2"/>
      <sheetName val="EXT TB-MULTI"/>
      <sheetName val="BPR-Bloom"/>
      <sheetName val="FSA-Bloom"/>
      <sheetName val="F-1l2"/>
      <sheetName val="F -4"/>
      <sheetName val="F-21"/>
      <sheetName val="F-25"/>
      <sheetName val="J-70"/>
      <sheetName val="M|MM "/>
      <sheetName val="U-Dis"/>
      <sheetName val="U-20"/>
      <sheetName val="BB-3"/>
      <sheetName val="BB - 7"/>
      <sheetName val="FF - 6"/>
      <sheetName val="To do list"/>
      <sheetName val="UB-20"/>
      <sheetName val="outstanding"/>
      <sheetName val="DOPE request"/>
      <sheetName val="A3-1"/>
      <sheetName val="A8 (PCB)"/>
      <sheetName val="A8 (DOPE)"/>
      <sheetName val="K amal"/>
      <sheetName val="K-1(DOPE)"/>
      <sheetName val="U-10-1"/>
      <sheetName val="U-20-1"/>
      <sheetName val="U-30-2"/>
      <sheetName val="U-30-3"/>
      <sheetName val="U-30-4"/>
      <sheetName val="U-50"/>
      <sheetName val="U-60"/>
      <sheetName val="U-70"/>
      <sheetName val="90-00(not used)"/>
      <sheetName val="90-1-00(not used)"/>
      <sheetName val="TAX12 (not used)"/>
      <sheetName val="ca(not used)"/>
      <sheetName val="TAX-COMP(not used)"/>
      <sheetName val="FF-1(not used)"/>
      <sheetName val="FF-5(not used)"/>
      <sheetName val="F-8-assets(not used)"/>
      <sheetName val="F-8-liabilities(not used)"/>
      <sheetName val="F-8-p&amp;l(not used)"/>
      <sheetName val="fees"/>
      <sheetName val="pro chsm"/>
      <sheetName val="Adm"/>
      <sheetName val="**_x0000__x0000_"/>
      <sheetName val="***00"/>
      <sheetName val="TAworkings"/>
      <sheetName val="CF-7"/>
      <sheetName val="interbal"/>
      <sheetName val="segmental"/>
      <sheetName val="NTA"/>
      <sheetName val="seg-turnover"/>
      <sheetName val="dato-turnover"/>
      <sheetName val="dato-pbt"/>
      <sheetName val="Assoc_byco"/>
      <sheetName val="associate"/>
      <sheetName val="highlights"/>
      <sheetName val="consolpl"/>
      <sheetName val="presegmental"/>
      <sheetName val="GKTJV"/>
      <sheetName val="protover"/>
      <sheetName val="GESB"/>
      <sheetName val="GMMJV"/>
      <sheetName val="protoMP"/>
      <sheetName val="FSL "/>
      <sheetName val="SRP"/>
      <sheetName val="OS_client"/>
      <sheetName val="Highlight1202"/>
      <sheetName val="SRM_GP"/>
      <sheetName val="A3-2"/>
      <sheetName val="A3-3"/>
      <sheetName val="A3-6"/>
      <sheetName val="A3-8"/>
      <sheetName val="A3-10(P&amp;L)"/>
      <sheetName val="A3-14"/>
      <sheetName val="A3-18"/>
      <sheetName val="A3-22"/>
      <sheetName val="F-17 (31.12.01)"/>
      <sheetName val="A3-11(SOCIE)"/>
      <sheetName val="A3-12(BS)"/>
      <sheetName val="A7-2"/>
      <sheetName val="A-8"/>
      <sheetName val="E-11"/>
      <sheetName val="E-10"/>
      <sheetName val="F-8"/>
      <sheetName val="F-8A"/>
      <sheetName val="F-10"/>
      <sheetName val="F-11-A"/>
      <sheetName val="F-19"/>
      <sheetName val="M-5"/>
      <sheetName val="O-2(CA)"/>
      <sheetName val="O-6"/>
      <sheetName val="O-7"/>
      <sheetName val="O-8"/>
      <sheetName val="O-9"/>
      <sheetName val="R-(DT)"/>
      <sheetName val="S-1"/>
      <sheetName val="S-2"/>
      <sheetName val="U10"/>
      <sheetName val="U11"/>
      <sheetName val="U12"/>
      <sheetName val="U13"/>
      <sheetName val="U20"/>
      <sheetName val="U21"/>
      <sheetName val="U22"/>
      <sheetName val="U24"/>
      <sheetName val="U30"/>
      <sheetName val="U31"/>
      <sheetName val="CA Sheet"/>
      <sheetName val="U2.2"/>
      <sheetName val="BPR-BRD"/>
      <sheetName val="FSA-BRD"/>
      <sheetName val="F-12"/>
      <sheetName val="F-3a"/>
      <sheetName val="RPT"/>
      <sheetName val="Appx A"/>
      <sheetName val="Circular-A"/>
      <sheetName val="Appx B"/>
      <sheetName val="Circular-B"/>
      <sheetName val="Appx C"/>
      <sheetName val="Appx D"/>
      <sheetName val="Appx E"/>
      <sheetName val="Appx F"/>
      <sheetName val="6A CA"/>
      <sheetName val="Scenarios"/>
      <sheetName val="ToDo"/>
      <sheetName val="Dividers"/>
      <sheetName val="Initial Valuation"/>
      <sheetName val="LandFee Yr1"/>
      <sheetName val="LandFee Yr2"/>
      <sheetName val="Routes30minYr1KL"/>
      <sheetName val="Routes30minYr2JB"/>
      <sheetName val="Routes45minYr1"/>
      <sheetName val="Routes45minYr2"/>
      <sheetName val="Flight duration KL"/>
      <sheetName val="Traffic comparison"/>
      <sheetName val="Flight duration JB"/>
      <sheetName val="Ticket RevYr1"/>
      <sheetName val="Ticket RevYr2"/>
      <sheetName val="Meal Rev Yr1"/>
      <sheetName val="Meal Rev Yr2"/>
      <sheetName val="Monthly P&amp;L Yr1"/>
      <sheetName val="Monthly P&amp;L Yr2"/>
      <sheetName val="Costs&amp;Outflow"/>
      <sheetName val="Personnel Yr1"/>
      <sheetName val="Personnel Yr2"/>
      <sheetName val="Year 1 PL"/>
      <sheetName val="Year 2 PL"/>
      <sheetName val=" PL 5 Years"/>
      <sheetName val="Year 1 CF"/>
      <sheetName val="Year 2 CF"/>
      <sheetName val="CF 5 Years"/>
      <sheetName val="P&amp;L format"/>
      <sheetName val="AirFares"/>
      <sheetName val="Time Zones"/>
      <sheetName val="KONSOL SUBS"/>
      <sheetName val="Print AR"/>
      <sheetName val="Data Prod &amp; Ekspor"/>
      <sheetName val="Vix Far Feb"/>
      <sheetName val="Febb"/>
      <sheetName val="Mret"/>
      <sheetName val="Aprill"/>
      <sheetName val="Meii"/>
      <sheetName val="Junii"/>
      <sheetName val="Prss"/>
      <sheetName val="reore&amp;feni"/>
      <sheetName val="Antar"/>
      <sheetName val="WP-SP-03"/>
      <sheetName val="WP E"/>
      <sheetName val="Pending E"/>
      <sheetName val="E.1.1.1"/>
      <sheetName val="E.1.1.5 (2)"/>
      <sheetName val="E.1.1.15"/>
      <sheetName val="E.1.1.2"/>
      <sheetName val="E.1.1.3"/>
      <sheetName val="E.1.1.4"/>
      <sheetName val="E.1.1.5old"/>
      <sheetName val="E.1.1.6"/>
      <sheetName val="E.1.1.7"/>
      <sheetName val="E.1.1.8"/>
      <sheetName val="E.1.1.9"/>
      <sheetName val="E.1.1.10"/>
      <sheetName val="E.1.1.11"/>
      <sheetName val="E.1.1.13"/>
      <sheetName val="WPs"/>
      <sheetName val="E.1.1old"/>
      <sheetName val="E.1.1.1 old"/>
      <sheetName val="E.1.1.3 Trijaya"/>
      <sheetName val="E.1.1.4 Karyagraha"/>
      <sheetName val="E.1.1.11Restugas"/>
      <sheetName val="E.1.1.9 Lumbung"/>
      <sheetName val="E.1.1.10 Dharma"/>
      <sheetName val="WPs E"/>
      <sheetName val="P&amp;F"/>
      <sheetName val="E.1.1.1 CAK"/>
      <sheetName val="E.2.1 CAK"/>
      <sheetName val="E.2.2 CAK"/>
      <sheetName val="E.1.1.1 CIK"/>
      <sheetName val="E.2.1 CIK"/>
      <sheetName val="E.2.3 CIK"/>
      <sheetName val="E.2.4 CIK"/>
      <sheetName val="E.3CIK"/>
      <sheetName val="E.3 ATTC CIK"/>
      <sheetName val="E.1 BIC"/>
      <sheetName val="E.2.1 BIC"/>
      <sheetName val="E.2.1.1 BIC"/>
      <sheetName val="E.2.1.2 BIC"/>
      <sheetName val="E.2.1.3 BIC"/>
      <sheetName val="E.2.1.4 BIC"/>
      <sheetName val="E.2.2 BIC"/>
      <sheetName val="E.3 BIC"/>
      <sheetName val="AR Sampled"/>
      <sheetName val="AR Sum"/>
      <sheetName val="E.1 CAK"/>
      <sheetName val="E.1 CIK"/>
      <sheetName val="E.3 CIK"/>
      <sheetName val="Sample Base"/>
      <sheetName val="SEP05"/>
      <sheetName val="OKT05"/>
      <sheetName val="NOV05"/>
      <sheetName val="DES05"/>
      <sheetName val="JAN'07"/>
      <sheetName val="ELIM COMB"/>
      <sheetName val="NDE 2007"/>
      <sheetName val="INT 2007"/>
      <sheetName val="vehicles 2007"/>
      <sheetName val="DEPRESIASI 2007"/>
      <sheetName val="BAD STOCK 2007"/>
      <sheetName val="LEAS 2007"/>
      <sheetName val="AMOR 2007"/>
      <sheetName val="DISPOSAL 2007"/>
      <sheetName val="G.1 Lead"/>
      <sheetName val="G.1.1 CAK"/>
      <sheetName val="G.1.1 CIK"/>
      <sheetName val="G.1.2 CIK"/>
      <sheetName val="G.1.1 BIC"/>
      <sheetName val="G.1.2 BIC"/>
      <sheetName val="G.2 Lead "/>
      <sheetName val="G.2.7 CAK"/>
      <sheetName val="G.2.1 CIK"/>
      <sheetName val="G.2.2 CIK"/>
      <sheetName val="G.2 Attach"/>
      <sheetName val="G.2.4 CIK"/>
      <sheetName val="G.2.5 CIK"/>
      <sheetName val="G.2.6 CIK"/>
      <sheetName val="G.2.7 CIK"/>
      <sheetName val="G.2.5 BIC"/>
      <sheetName val="G.2.7 BIC"/>
      <sheetName val="Provisi Audit"/>
      <sheetName val="Provision Client"/>
      <sheetName val="Movement KSP"/>
      <sheetName val="Field Receive"/>
      <sheetName val="sheet 1"/>
      <sheetName val="K Mutation Fiskal Konsol"/>
      <sheetName val="K 1 FA Mutation KDD"/>
      <sheetName val="K 2 FA Mutation WYG"/>
      <sheetName val="SG Rev&amp;Blog"/>
      <sheetName val="SG COS-Firium"/>
      <sheetName val="Penyusutan AT"/>
      <sheetName val="PPh 23 "/>
      <sheetName val="Tax Art 23"/>
      <sheetName val="Tax Art 25(E &amp; I)"/>
      <sheetName val="Exit-Tax(E &amp; I)"/>
      <sheetName val="Entertainment (E &amp; I)"/>
      <sheetName val="Entertainment (E &amp; I) (A)"/>
      <sheetName val="Attachment "/>
      <sheetName val="Attachment  (2)"/>
      <sheetName val="FA Reconcil"/>
      <sheetName val="DEPREC"/>
      <sheetName val="PENYUSUT"/>
      <sheetName val="Gain"/>
      <sheetName val="Art.23 recon"/>
      <sheetName val="E.3.1 DIN"/>
      <sheetName val="21314001-12"/>
      <sheetName val="AP Con"/>
      <sheetName val="N.2 Summary Aging - CIK"/>
      <sheetName val="N.2.1 Reval Test - CIK"/>
      <sheetName val="N.3 Accrued AP - CIK"/>
      <sheetName val="N.4 CIK"/>
      <sheetName val="N.1 BIC"/>
      <sheetName val="N.2 BIC"/>
      <sheetName val="N.2.1 BIC"/>
      <sheetName val="N.3 Accrued AP - BIC"/>
      <sheetName val="N.4 Accrued AP - Other"/>
      <sheetName val="N.5 BIC"/>
      <sheetName val="Kroscek"/>
      <sheetName val="Daily Operation"/>
      <sheetName val="CheckSheet"/>
      <sheetName val="Revenue_Driver"/>
      <sheetName val="indirect"/>
      <sheetName val="Belanja Barang &amp; Jasa"/>
      <sheetName val="OPEX before revisi"/>
      <sheetName val="ORIGINAL BUDGET NOT UPDATE YET"/>
      <sheetName val="JAMUT"/>
      <sheetName val="MENYANGO"/>
      <sheetName val="NORTH KAWI"/>
      <sheetName val="CENTRAL KAWI"/>
      <sheetName val="CENTRAL MANTUBUH"/>
      <sheetName val="SE MANTUBUH"/>
      <sheetName val="MENYANGO BLOK"/>
      <sheetName val="MARUWEI BRIDGE"/>
      <sheetName val="AWR"/>
      <sheetName val="EXPLORASI"/>
      <sheetName val="GENERAL SPV"/>
      <sheetName val="TARGET PROD"/>
      <sheetName val="Summary Stock 2010"/>
      <sheetName val="Production 2011"/>
      <sheetName val="Planning"/>
      <sheetName val="Specifying"/>
      <sheetName val="Budgeting"/>
      <sheetName val="Tabel Account "/>
      <sheetName val="Dep&amp;Ins Calculation"/>
      <sheetName val="Supporting Cost Detail"/>
      <sheetName val="April 2011 - Maret 2012 "/>
      <sheetName val="83291"/>
      <sheetName val="bpsfile"/>
      <sheetName val="XLS Avg Rev"/>
      <sheetName val="_REF"/>
      <sheetName val="PPN Carbon"/>
      <sheetName val="PPN OUT3"/>
      <sheetName val="Sales Jan "/>
      <sheetName val="Invoice KPC"/>
      <sheetName val="PPN KPC"/>
      <sheetName val="Sales KPC"/>
      <sheetName val="L-R RKAP 2009 GAB FL (2)"/>
      <sheetName val="L-R RKAP 2009 GAB FL"/>
      <sheetName val="L-R RKAP 2009"/>
      <sheetName val="GABEXP-2009 (2)"/>
      <sheetName val="EXP-2009 PGK"/>
      <sheetName val="EXP-2009 DJB"/>
      <sheetName val="EXP-2009 TNJ"/>
      <sheetName val="EXP-2009 BTJ"/>
      <sheetName val="EXP-2009 BDO"/>
      <sheetName val="EXP-2009 PDG"/>
      <sheetName val="EXP-2009 PKU"/>
      <sheetName val="EXP-2009 MES"/>
      <sheetName val="EXP-2009 PNK"/>
      <sheetName val="EXP-2009 SMB"/>
      <sheetName val="EXP 2009 HLP"/>
      <sheetName val="EXP-2009 BSH"/>
      <sheetName val="EXP-2009 KPST"/>
      <sheetName val="GABEXP-2009"/>
      <sheetName val="GABEXP-2009 ATS NON ATS"/>
      <sheetName val="GABEXP-2009 Antara"/>
      <sheetName val="Rat audit PLB realis"/>
      <sheetName val="KAS 12 bdr"/>
      <sheetName val="KAS PGK-08"/>
      <sheetName val="KAS DJB-08"/>
      <sheetName val="KASTNJ-08"/>
      <sheetName val="KASBTJ-08"/>
      <sheetName val="KASBDO-08"/>
      <sheetName val="KASPDG-08"/>
      <sheetName val="KASPKU-08"/>
      <sheetName val="KASMES-08"/>
      <sheetName val="KASPNK-08"/>
      <sheetName val="KASSMB-08"/>
      <sheetName val="KASHLP-08"/>
      <sheetName val="KASCGK-08"/>
      <sheetName val="KASKPST-08"/>
      <sheetName val="KASGAB-08 OK"/>
      <sheetName val="KASGAB-08 Inv"/>
      <sheetName val="L-R 12 BANDARA "/>
      <sheetName val="NERACA 0812 CABANG "/>
      <sheetName val="Rat 07 12 BANDARA"/>
      <sheetName val="REKAP BNDING"/>
      <sheetName val="REKAP (9000)"/>
      <sheetName val="REKAP (9200)"/>
      <sheetName val="NERC 11"/>
      <sheetName val="INV-PGK"/>
      <sheetName val="PROD- PGK 11"/>
      <sheetName val="EXP-PGK"/>
      <sheetName val="ALAT PROD PGK-11"/>
      <sheetName val="SDM PGK 12"/>
      <sheetName val="Surat (2)"/>
      <sheetName val="LAMP I-1"/>
      <sheetName val="LAMP I-2"/>
      <sheetName val="LAMP II"/>
      <sheetName val="LAMP III"/>
      <sheetName val="LAMP IV"/>
      <sheetName val="LAMP V"/>
      <sheetName val="LAMP VI"/>
      <sheetName val="LAMP VII"/>
      <sheetName val="LAMP VIII"/>
      <sheetName val="LAMP IX"/>
      <sheetName val="LAMP X"/>
      <sheetName val="LAMP XI"/>
      <sheetName val="KODE REK"/>
      <sheetName val="KM"/>
      <sheetName val="BM"/>
      <sheetName val="BK"/>
      <sheetName val="Sales AERO"/>
      <sheetName val="Sales NON AERO"/>
      <sheetName val="BS-1"/>
      <sheetName val="BS-2"/>
      <sheetName val="CF-1"/>
      <sheetName val="PL-1"/>
      <sheetName val="PL-2"/>
      <sheetName val="CF-2"/>
      <sheetName val="jurgab"/>
      <sheetName val="RMB"/>
      <sheetName val="RMK"/>
      <sheetName val="Jml CF"/>
      <sheetName val="Kd rek Sales"/>
      <sheetName val="=&gt;ANGGARAN"/>
      <sheetName val="Kode Angg"/>
      <sheetName val="KODE ANGG KAS"/>
      <sheetName val="KONSEP LR"/>
      <sheetName val="lapkas"/>
      <sheetName val="lapekp"/>
      <sheetName val="BB kode ANGG"/>
      <sheetName val="lapnec"/>
      <sheetName val="MEMO KOREKSI"/>
      <sheetName val="jurgab ANGG"/>
      <sheetName val="kpi 1"/>
      <sheetName val="kpi 2"/>
      <sheetName val="bdtu"/>
      <sheetName val="dvtul"/>
      <sheetName val="dvtut"/>
      <sheetName val="dntubu"/>
      <sheetName val="dntupt"/>
      <sheetName val="dntutl"/>
      <sheetName val="Agus"/>
      <sheetName val="Des I"/>
      <sheetName val="Buku Besar Tahunan"/>
      <sheetName val="RKA Prod"/>
      <sheetName val="RKA Eks"/>
      <sheetName val="Akuntansi"/>
      <sheetName val="Peng Biaya"/>
      <sheetName val="Eksploitasi"/>
      <sheetName val="Alat Produksi"/>
      <sheetName val="HARGA JALAN"/>
      <sheetName val="RAB &amp; Rekap Renov"/>
      <sheetName val="ANALISA Print"/>
      <sheetName val="Hitungan Ruang GM"/>
      <sheetName val="hitungan ADM"/>
      <sheetName val="Hitungan Kargo"/>
      <sheetName val="Analisa sat"/>
      <sheetName val="scedul"/>
      <sheetName val="Kuant dan Harga"/>
      <sheetName val="Anl Teknik"/>
      <sheetName val="Daftar Sima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KEndaraan"/>
      <sheetName val="add"/>
      <sheetName val="Archchg"/>
      <sheetName val="MEPchg"/>
      <sheetName val="MESpec"/>
      <sheetName val="b1a"/>
      <sheetName val="b1b"/>
      <sheetName val="b1c"/>
      <sheetName val="bl1"/>
      <sheetName val="sp1"/>
      <sheetName val="pa1"/>
      <sheetName val="pw1"/>
      <sheetName val="s2"/>
      <sheetName val="b21"/>
      <sheetName val="b22"/>
      <sheetName val="sp2"/>
      <sheetName val="pa2"/>
      <sheetName val="pw2"/>
      <sheetName val="bp2"/>
      <sheetName val="b3a"/>
      <sheetName val="b3b"/>
      <sheetName val="b3c"/>
      <sheetName val="b3d"/>
      <sheetName val="b3e"/>
      <sheetName val="j3"/>
      <sheetName val="sp3"/>
      <sheetName val="cd3"/>
      <sheetName val="pond"/>
      <sheetName val="pa3"/>
      <sheetName val="pw3"/>
      <sheetName val="cf3"/>
      <sheetName val="b4a"/>
      <sheetName val="b4b"/>
      <sheetName val="b4c"/>
      <sheetName val="j4"/>
      <sheetName val="sp4"/>
      <sheetName val="p4"/>
      <sheetName val="pa4"/>
      <sheetName val="pw4"/>
      <sheetName val="cf4"/>
      <sheetName val="b5a"/>
      <sheetName val="b5b"/>
      <sheetName val="b5c"/>
      <sheetName val="b5d"/>
      <sheetName val="j5"/>
      <sheetName val="sp5"/>
      <sheetName val="pa5"/>
      <sheetName val="pw5"/>
      <sheetName val="cf5"/>
      <sheetName val="bt5"/>
      <sheetName val="fp5"/>
      <sheetName val="boh"/>
      <sheetName val="s3"/>
      <sheetName val="bf3"/>
      <sheetName val="s4"/>
      <sheetName val="bale"/>
      <sheetName val="towel"/>
      <sheetName val="atap"/>
      <sheetName val="pres-suite"/>
      <sheetName val="suite"/>
      <sheetName val="villa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IT"/>
      <sheetName val="ANDAT"/>
      <sheetName val="REKAP STR T"/>
      <sheetName val="BQ STR T"/>
      <sheetName val="pintu"/>
      <sheetName val="ijin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Pemeliharaan"/>
      <sheetName val="Bul &amp; Persiapan"/>
      <sheetName val="Provisi &amp; Asuransi"/>
      <sheetName val="Review Listrik"/>
      <sheetName val="sched daya"/>
      <sheetName val="Bul dan Persiapan1"/>
      <sheetName val="Rekap Angg 12 Okt"/>
      <sheetName val="rek det 1-3"/>
      <sheetName val="Arsitektur"/>
      <sheetName val="p&amp;p"/>
      <sheetName val="BDP Scaff"/>
      <sheetName val="BDP Tinggi"/>
      <sheetName val="sumintr"/>
      <sheetName val="Bul "/>
      <sheetName val="Alat PLP2 "/>
      <sheetName val="Provisi "/>
      <sheetName val="analisa-komp"/>
      <sheetName val="analisa bore"/>
      <sheetName val="Sub-Kont"/>
      <sheetName val="pintuu"/>
      <sheetName val="BQ Struktur"/>
      <sheetName val="BQ Arsitektur"/>
      <sheetName val="1-LISTRIK print"/>
      <sheetName val="2-Genset print"/>
      <sheetName val="SumBoQ C4"/>
      <sheetName val="BoQ C4"/>
      <sheetName val="DayWorks"/>
      <sheetName val="mat.dominan"/>
      <sheetName val="Resiko"/>
      <sheetName val="DF-2 (2)"/>
      <sheetName val="DF-2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Sheet2 (2)"/>
      <sheetName val="CAT-HRG "/>
      <sheetName val="DAF- 4"/>
      <sheetName val="DAFT-12"/>
      <sheetName val="SC-FIN"/>
      <sheetName val="Spek Kusen"/>
      <sheetName val="Kusen"/>
      <sheetName val="AN-Prelim"/>
      <sheetName val="AN-M&amp;E"/>
      <sheetName val="Gross Area"/>
      <sheetName val="Vol-M&amp;E"/>
      <sheetName val="T-Sch"/>
      <sheetName val="Remark"/>
      <sheetName val="RUKAN"/>
      <sheetName val="Horisontal"/>
      <sheetName val="REKAP III"/>
      <sheetName val="Est ME"/>
      <sheetName val="Lift &amp; Escalator"/>
      <sheetName val="Pareto"/>
      <sheetName val="BU"/>
      <sheetName val="Alat (TC) (2)"/>
      <sheetName val="MU (2)"/>
      <sheetName val="Casflow (5)"/>
      <sheetName val="Casflow (4)"/>
      <sheetName val="Casflow (6)"/>
      <sheetName val="Casflow"/>
      <sheetName val="flow k3"/>
      <sheetName val="daftar brg lgs"/>
      <sheetName val="Prosedur Penagnanan K3"/>
      <sheetName val="ITP Material"/>
      <sheetName val="ITP Pekerjaan"/>
      <sheetName val="Daft WI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TOTAL_MATERIAL"/>
      <sheetName val="DETAIL TOTAL MT'L"/>
      <sheetName val="INSUL&amp;PAINT"/>
      <sheetName val="DIA-INCH_CS&amp;SS"/>
      <sheetName val="WEIGHT"/>
      <sheetName val="Pek. Persiapan"/>
      <sheetName val="bhn rab"/>
      <sheetName val="subcon"/>
      <sheetName val="Breakdown"/>
      <sheetName val="REKAP_STRUKTUR_ALL"/>
      <sheetName val="REKAP_STRUKTUR"/>
      <sheetName val="RAB_PENDAHULUAN"/>
      <sheetName val="RAB_REKTORAT (A.)"/>
      <sheetName val="RAB_MASJID (D)"/>
      <sheetName val="LR ONLY ATS"/>
      <sheetName val="EXP CORP COBA2"/>
      <sheetName val="EXP APS"/>
      <sheetName val="EXP PGK"/>
      <sheetName val="EXP DJB"/>
      <sheetName val="EXP RHF"/>
      <sheetName val="EXP SIM"/>
      <sheetName val="EXP BDO"/>
      <sheetName val="EXP PDG"/>
      <sheetName val="EXP PKU"/>
      <sheetName val="EXP MES"/>
      <sheetName val="EXP PNK"/>
      <sheetName val="EXP SMB"/>
      <sheetName val="EXP HLP"/>
      <sheetName val="EXP BSH"/>
      <sheetName val="EXP PST"/>
      <sheetName val="EXP CORP"/>
      <sheetName val="LR CORP"/>
      <sheetName val="EXP CORP + APS"/>
      <sheetName val="REKAPAN DGN IFRS INDUK"/>
      <sheetName val="REKAPAN DGN IFRS KONSOLIDASI"/>
      <sheetName val="LR CORP + APS"/>
      <sheetName val="LR PST"/>
      <sheetName val="LR BSH"/>
      <sheetName val="LR HLP"/>
      <sheetName val="LR SMB II"/>
      <sheetName val="LR PNK"/>
      <sheetName val="LR MES"/>
      <sheetName val="LR PKU"/>
      <sheetName val="LR PDG"/>
      <sheetName val="LR BDO"/>
      <sheetName val="LR SIM"/>
      <sheetName val="LR RHF"/>
      <sheetName val="LR DJB"/>
      <sheetName val="LR PGK"/>
      <sheetName val="LR APS"/>
      <sheetName val="LR CORP COB"/>
      <sheetName val="LR KONS COB"/>
      <sheetName val="LR TREND CORP"/>
      <sheetName val="SewAlat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labour sched"/>
      <sheetName val="sampul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DRUP (ASLI)"/>
      <sheetName val="Analis"/>
      <sheetName val="H.bh"/>
      <sheetName val="OVH "/>
      <sheetName val="Pasir Koral"/>
      <sheetName val="OVH.Fab"/>
      <sheetName val="Anal. Pabrikasi"/>
      <sheetName val="Re 5"/>
      <sheetName val="Harga Mat "/>
      <sheetName val="IPA.5"/>
      <sheetName val="List.5"/>
      <sheetName val="Re 10"/>
      <sheetName val="List.10"/>
      <sheetName val="Re 20 "/>
      <sheetName val="Re Rev 20 "/>
      <sheetName val="20 Rev ssi gbr"/>
      <sheetName val="IPA.20"/>
      <sheetName val="List.20"/>
      <sheetName val="Re 30"/>
      <sheetName val="List.30"/>
      <sheetName val="Re 40"/>
      <sheetName val="Re 50"/>
      <sheetName val="Mobile Puslitbang"/>
      <sheetName val="Las"/>
      <sheetName val="Anal.Fbrks"/>
      <sheetName val="HSD Fbrks"/>
      <sheetName val="Hrg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h-013211-2"/>
      <sheetName val="작성기준"/>
      <sheetName val="RAB KONS"/>
      <sheetName val="Basic Price"/>
      <sheetName val="Analisa Quarry"/>
      <sheetName val="QUARRY"/>
      <sheetName val="HRG UP.BHN"/>
      <sheetName val="ANALISA ALAT"/>
      <sheetName val="DIV.1"/>
      <sheetName val="DIV. 3"/>
      <sheetName val="DIV.8"/>
      <sheetName val="DIV.10"/>
      <sheetName val="Daftar stn qty "/>
      <sheetName val="REKAP BAHAN REALISASI"/>
      <sheetName val="REKAP BAHAN BOW"/>
      <sheetName val="Cover Daf_2"/>
      <sheetName val="daftarbhn"/>
      <sheetName val="Bahan upah"/>
      <sheetName val="analisaRAB"/>
      <sheetName val="REKAP A BESAR"/>
      <sheetName val="Traf_Genst"/>
      <sheetName val="Mess"/>
      <sheetName val="HSatuan"/>
      <sheetName val="PRELI_CAP"/>
      <sheetName val="REF_ONLY"/>
      <sheetName val="List Material"/>
      <sheetName val="BoQA"/>
      <sheetName val="WI"/>
      <sheetName val="UNIT PRICE"/>
      <sheetName val="APPEND4"/>
      <sheetName val="APPEND4a"/>
      <sheetName val="sublist"/>
      <sheetName val="onsite"/>
      <sheetName val="APPENDIX7"/>
      <sheetName val="bekisting"/>
      <sheetName val="Tenaga"/>
      <sheetName val="Rekap PI"/>
      <sheetName val="Lapangan"/>
      <sheetName val="Sumda"/>
      <sheetName val="AngL01B"/>
      <sheetName val="AngL03"/>
      <sheetName val="depo"/>
      <sheetName val="CASTINGYARD"/>
      <sheetName val="GNL"/>
      <sheetName val="BP"/>
      <sheetName val="An price"/>
      <sheetName val="Scp"/>
      <sheetName val="Ovh"/>
      <sheetName val="ubas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Project_P"/>
      <sheetName val="Analisa Alat Berat"/>
      <sheetName val="Renc. Pen Thd HPS"/>
      <sheetName val="Perhitungan Alat Mob"/>
      <sheetName val="REKAP RA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DIV 10"/>
      <sheetName val="Aggregate"/>
      <sheetName val=" Alat Inves &amp; Susut"/>
      <sheetName val="General schdl"/>
      <sheetName val="ANRAB1"/>
      <sheetName val="Analisa Crusher"/>
      <sheetName val="sub-kon"/>
      <sheetName val="LS-Rutin"/>
      <sheetName val="Kuantitas"/>
      <sheetName val="Analisa HSP"/>
      <sheetName val="U-P-A"/>
      <sheetName val="ANALYSIS_U.P"/>
      <sheetName val="An_Gen"/>
      <sheetName val="BASE CAMP"/>
      <sheetName val="An_Sb"/>
      <sheetName val="An_Ag"/>
      <sheetName val="An_Pc"/>
      <sheetName val="An_Cp"/>
      <sheetName val="An_Eq"/>
      <sheetName val="An_Eqn"/>
      <sheetName val="Cecklist"/>
      <sheetName val="BQ-RAB"/>
      <sheetName val="basa"/>
      <sheetName val="an stndr1"/>
      <sheetName val="an stndr2"/>
      <sheetName val="analisa manual"/>
      <sheetName val="C-flow"/>
      <sheetName val="Sec I ML"/>
      <sheetName val="LOKASI RIG Litbang"/>
      <sheetName val="Harga Jadi"/>
      <sheetName val="Analisa Pekerjaan"/>
      <sheetName val="Daywork "/>
      <sheetName val="Bahan Alat"/>
      <sheetName val="Biaya Umum"/>
      <sheetName val="Sub Kontraktor"/>
      <sheetName val="QUANTITY"/>
      <sheetName val="CHECK (2)"/>
      <sheetName val="Boq(p'arsad)"/>
      <sheetName val="panduan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Cover 11"/>
      <sheetName val="Cover 12"/>
      <sheetName val="Daf-12"/>
      <sheetName val="Cover 13"/>
      <sheetName val="Daf-13"/>
      <sheetName val="Cover 14"/>
      <sheetName val="Daf-14"/>
      <sheetName val="Cover 15"/>
      <sheetName val="DAF-15"/>
      <sheetName val="analisac"/>
      <sheetName val="An-List"/>
      <sheetName val="An-Pipa"/>
      <sheetName val="aspal"/>
      <sheetName val="KL"/>
      <sheetName val="RGaji"/>
      <sheetName val="S1"/>
      <sheetName val="Rbul"/>
      <sheetName val="Unit Price M"/>
      <sheetName val="T.18"/>
      <sheetName val="masalah"/>
      <sheetName val="action"/>
      <sheetName val="On Time"/>
      <sheetName val="Curup"/>
      <sheetName val="Prabu"/>
      <sheetName val="Telkomsel"/>
      <sheetName val="PESANTREN"/>
      <sheetName val="bq-kon"/>
      <sheetName val="Trans Mat"/>
      <sheetName val="Label"/>
      <sheetName val="Letter"/>
      <sheetName val="Ap.4a"/>
      <sheetName val="Ap.4b"/>
      <sheetName val="Ap.5"/>
      <sheetName val="App.6"/>
      <sheetName val="Ap.7"/>
      <sheetName val="Sch.tba"/>
      <sheetName val="Preamble"/>
      <sheetName val="Adjst"/>
      <sheetName val="Div-1"/>
      <sheetName val="Div-2"/>
      <sheetName val="Div-3"/>
      <sheetName val="Div-4"/>
      <sheetName val="Div-5"/>
      <sheetName val="Div-6a"/>
      <sheetName val="Div-7a"/>
      <sheetName val="Div-8"/>
      <sheetName val="An-quarry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AFTAR HAR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GRAND SUMMARY"/>
      <sheetName val="UNIT PRICE ANALISYS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Slab"/>
      <sheetName val="Ramps"/>
      <sheetName val="Stairs"/>
      <sheetName val="HS (2)"/>
      <sheetName val="Slab (2)"/>
      <sheetName val="Lap Bul"/>
      <sheetName val="Upah RAB"/>
      <sheetName val="BQ-ME"/>
      <sheetName val="TD"/>
      <sheetName val="TDG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Sat Alat"/>
      <sheetName val="bq bsm_1"/>
      <sheetName val="bq bsm_2"/>
      <sheetName val="bq bsm_3"/>
      <sheetName val="Harga Material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An.Ars"/>
      <sheetName val="Material List"/>
      <sheetName val="An Pipa"/>
      <sheetName val="An Duct"/>
      <sheetName val="Bill.1.VAC-Supply-A"/>
      <sheetName val="Bill.2.VAC-Install-A"/>
      <sheetName val="Bill.3.VAC-Supply-B"/>
      <sheetName val="Bill.4.VAC-Install-B 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Rekap Upah"/>
      <sheetName val="Statement Pengadaan Bahan"/>
      <sheetName val="Proses Pengaadaan Subkon"/>
      <sheetName val="Biaya Pegawai"/>
      <sheetName val="Sqce.Sahid"/>
      <sheetName val="Str org.sahid"/>
      <sheetName val="equip.Sahid.1"/>
      <sheetName val="equip.Sahid.2"/>
      <sheetName val="SPP.Sahid"/>
      <sheetName val="Unit Price Project"/>
      <sheetName val="RUMUS BEKISTING"/>
      <sheetName val="HIT BEKISTING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Plumb"/>
      <sheetName val="Fire"/>
      <sheetName val="Plumb (2)"/>
      <sheetName val="CH"/>
      <sheetName val="Ana. PU"/>
      <sheetName val="ANA Mob"/>
      <sheetName val="ANA Rutin"/>
      <sheetName val="DPU"/>
      <sheetName val="Staff"/>
      <sheetName val="HSD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COVER VERSI-2"/>
      <sheetName val="COVER VERSI-1"/>
      <sheetName val="JUMLAH BIAYA"/>
      <sheetName val="MONITORING"/>
      <sheetName val="PROGRES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Expantion Joint"/>
      <sheetName val="MU1"/>
      <sheetName val="BQ gab"/>
      <sheetName val="MEP"/>
      <sheetName val="(Alat)"/>
      <sheetName val="COVER BAB"/>
      <sheetName val="VOLUME (TDK DIPAKAI)"/>
      <sheetName val="DIV4"/>
      <sheetName val="DIV8"/>
      <sheetName val="DIV9"/>
      <sheetName val="DIV10"/>
      <sheetName val="QUARY (TDK DIPAKAI)"/>
      <sheetName val="ALAT1"/>
      <sheetName val="ALAT2 (TDK DIPAKAI)"/>
      <sheetName val="AGGREGAT"/>
      <sheetName val="Klas B0"/>
      <sheetName val="R.Tunai"/>
      <sheetName val="URAIAN"/>
      <sheetName val="REKAP JULI R2"/>
      <sheetName val="JULI R2"/>
      <sheetName val="REKAP JULI R0"/>
      <sheetName val="29 JULI 2008"/>
      <sheetName val="PENGELUARAN"/>
      <sheetName val="COST CONTROL"/>
      <sheetName val="29JULI 2008"/>
      <sheetName val="S-CURVE 1"/>
      <sheetName val="BA"/>
      <sheetName val="Eva"/>
      <sheetName val="B.Umum"/>
      <sheetName val="B.Bahan"/>
      <sheetName val="B.Alat"/>
      <sheetName val="OE"/>
      <sheetName val="Org"/>
      <sheetName val="CFlow"/>
      <sheetName val="Sched Bahan"/>
      <sheetName val="bahan alat rap"/>
      <sheetName val="anal rap dasar"/>
      <sheetName val="Landscape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Break Down Baru"/>
      <sheetName val="Rekap OK (2)"/>
      <sheetName val="Rekap OK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analisa harga "/>
      <sheetName val="KURVA&quot;S&quot;"/>
      <sheetName val="Met-PU-3.2 (2)"/>
      <sheetName val="Met-PU-5.1 (1)"/>
      <sheetName val="Met-PU-5.1 (2)"/>
      <sheetName val="Met-PU-7.10 (3)"/>
      <sheetName val="LP-3"/>
      <sheetName val="Daftar Upah"/>
      <sheetName val="Rekap Analisa"/>
      <sheetName val="analisa nuansa"/>
      <sheetName val="REKAP AKHIR"/>
      <sheetName val="Tbh-Krg"/>
      <sheetName val="Rek_Total "/>
      <sheetName val="Penunjang"/>
      <sheetName val="rate asli"/>
      <sheetName val="material-upah"/>
      <sheetName val="Rek_Total-alt"/>
      <sheetName val="Str-alt"/>
      <sheetName val="BQ - Mushola"/>
      <sheetName val="Bahan _2_"/>
      <sheetName val="index _2_"/>
      <sheetName val="CAT-HRG"/>
      <sheetName val="BAG-2"/>
      <sheetName val="CAT_HRG "/>
      <sheetName val="GRAND TOTAL"/>
      <sheetName val="DAF_7"/>
      <sheetName val="P.Petir"/>
      <sheetName val="Std-Analisa"/>
      <sheetName val="FAK"/>
      <sheetName val="ren.bupati a"/>
      <sheetName val="rek-bup"/>
      <sheetName val="ren.hubbup"/>
      <sheetName val="rek-hub"/>
      <sheetName val="temu"/>
      <sheetName val="rek-temu"/>
      <sheetName val="rek-pond"/>
      <sheetName val="1-4"/>
      <sheetName val="rek1-4"/>
      <sheetName val="SAT"/>
      <sheetName val="landscp"/>
      <sheetName val="rek-landscp"/>
      <sheetName val="REK PRINT"/>
      <sheetName val="RAB PRINT"/>
      <sheetName val="RAB CIMAHI"/>
      <sheetName val="8LT 12"/>
      <sheetName val="8LT PAK"/>
      <sheetName val="8LT SAR"/>
      <sheetName val="8LT TATA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HRG (2)"/>
      <sheetName val="A4 (2)"/>
      <sheetName val="A4add"/>
      <sheetName val="COVTM3"/>
      <sheetName val="baop"/>
      <sheetName val="lap (2)"/>
      <sheetName val="lap 10"/>
      <sheetName val="lap 11"/>
      <sheetName val="lap 12"/>
      <sheetName val="lap 13"/>
      <sheetName val="lap 14"/>
      <sheetName val="lap 15"/>
      <sheetName val="Gal-ABC"/>
      <sheetName val="vol"/>
      <sheetName val="BEKP"/>
      <sheetName val="gbr"/>
      <sheetName val="LK-BPh"/>
      <sheetName val="NO-LK"/>
      <sheetName val="Kell_Dind_"/>
      <sheetName val="Pintu Jendela"/>
      <sheetName val="RAB GENDUT"/>
      <sheetName val="bobot"/>
      <sheetName val="Harga UPAH"/>
      <sheetName val="Harga Material "/>
      <sheetName val="ADD Harga"/>
      <sheetName val="bi-pp"/>
      <sheetName val="Fin-Report (2)"/>
      <sheetName val="faktur"/>
      <sheetName val="Fin-Report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RST"/>
      <sheetName val="Rek RAB"/>
      <sheetName val="STRUtm"/>
      <sheetName val="STRPjg"/>
      <sheetName val="ARSUtM "/>
      <sheetName val="Tbh-01"/>
      <sheetName val="Tbh-2"/>
      <sheetName val="Marktng"/>
      <sheetName val="Ev-MU"/>
      <sheetName val="pegawai"/>
      <sheetName val="struktur(BQ)"/>
      <sheetName val="Arsitektur ( BQ )"/>
      <sheetName val="RekapBTL"/>
      <sheetName val="Rupa"/>
      <sheetName val="DaftSub"/>
      <sheetName val="Daftmat"/>
      <sheetName val="dash"/>
      <sheetName val="BILL OF QU-ARS"/>
      <sheetName val="BILL OF QU-STR"/>
      <sheetName val="RAP-STR"/>
      <sheetName val="RAP-ARS"/>
      <sheetName val="krifikasi gambar &amp; bq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LT&amp;Plafond"/>
      <sheetName val="Dinding"/>
      <sheetName val="Sanitair"/>
      <sheetName val="ANKusen"/>
      <sheetName val="Sch-Kusen"/>
      <sheetName val="QTY-Kusen"/>
      <sheetName val="Pilecaps"/>
      <sheetName val="Tie Beam"/>
      <sheetName val="Balok"/>
      <sheetName val="Plat"/>
      <sheetName val="Tangga"/>
      <sheetName val="ANPrelim"/>
      <sheetName val="Lain-2"/>
      <sheetName val="BOQ KJ-D &amp; KJ-E"/>
      <sheetName val="HARGA BAHAN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Home"/>
      <sheetName val="Analisa -Baku"/>
      <sheetName val="An-tampil"/>
      <sheetName val="An-Grnd"/>
      <sheetName val="Bill of Qty"/>
      <sheetName val="Rekap Prelim"/>
      <sheetName val="Rekap Direct Cost"/>
      <sheetName val="Pivot-tabel-Isi Data"/>
      <sheetName val="Pivot-tabel-Analisa"/>
      <sheetName val="Pivot-tabel-Copy Database"/>
      <sheetName val="DAFTAR HARGA MATERIAL PU"/>
      <sheetName val="HARGA SATUAN UPAH PEKERJA"/>
      <sheetName val="ANALISA HARGA SATUAN"/>
      <sheetName val="ANALISA HARGA TERPASANG"/>
      <sheetName val="FORM ANALISA"/>
      <sheetName val="FORM ANALISA DDG"/>
      <sheetName val="ANALISA VOLUME Lantai"/>
      <sheetName val="ANALISA VOLUME Plafond"/>
      <sheetName val="Man Power-Rev-lam"/>
      <sheetName val="BU-rev-lam"/>
      <sheetName val="kon-final"/>
      <sheetName val="prs"/>
      <sheetName val="ars-vol"/>
      <sheetName val="FH-UNPADSTR2"/>
      <sheetName val="FH-UNPADSTR"/>
      <sheetName val="anl-rc"/>
      <sheetName val="An. Beton"/>
      <sheetName val="FH-konven"/>
      <sheetName val="anl-prelim"/>
      <sheetName val="Cover.1"/>
      <sheetName val="Cover-2"/>
      <sheetName val="Cover-3"/>
      <sheetName val="Cover-4"/>
      <sheetName val="Cover5"/>
      <sheetName val="Cover-6"/>
      <sheetName val="RC-ANL"/>
      <sheetName val="PROPOSAL"/>
      <sheetName val="SUB K"/>
      <sheetName val="STUGAS"/>
      <sheetName val="PROCESSPLAN"/>
      <sheetName val="TELUSUR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RKP (2)"/>
      <sheetName val="Tunjang"/>
      <sheetName val="RABT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1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MALL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hsat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.1"/>
      <sheetName val="Cover 11.2"/>
      <sheetName val="Cover 11.3"/>
      <sheetName val="Cover 11.4"/>
      <sheetName val="COV.PLN"/>
      <sheetName val="Cover 12.1"/>
      <sheetName val="Cover 12.2"/>
      <sheetName val="Cover 12.3"/>
      <sheetName val="Cover 12.4"/>
      <sheetName val="Cover 13.1 "/>
      <sheetName val="Cover 13.2 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M.E."/>
      <sheetName val="analisa el"/>
      <sheetName val="analisa mek"/>
      <sheetName val="MEK"/>
      <sheetName val="Elek.List"/>
      <sheetName val="BQ_Listrik"/>
      <sheetName val="Daftar Material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MASTER SCADULLE "/>
      <sheetName val="NSC( KOORDINASI)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Fill this out first___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Condotel"/>
      <sheetName val="Recap"/>
      <sheetName val="F0"/>
      <sheetName val="F6"/>
      <sheetName val="F7"/>
      <sheetName val="F8"/>
      <sheetName val="F9"/>
      <sheetName val="F10"/>
      <sheetName val="F11"/>
      <sheetName val="SC"/>
      <sheetName val="Upah_Bahan"/>
      <sheetName val="UMM2"/>
      <sheetName val="BASC"/>
      <sheetName val="HSPK DINAS"/>
      <sheetName val="HRG ALT PU"/>
      <sheetName val="ANLS PU 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lis Kusen Kosongan"/>
      <sheetName val="Form Back up STR K.UTM"/>
      <sheetName val="Form Back up ARS K.UTM"/>
      <sheetName val="BU_PLB_KANTOR &amp;R. TUNGGU"/>
      <sheetName val="BU_STR_R.TGG KBRNGKTN _ANGDES"/>
      <sheetName val="PileCap"/>
      <sheetName val="Harsat Bahan"/>
      <sheetName val="Harsat Upah"/>
      <sheetName val="Mark-up"/>
      <sheetName val="Bill of Qty MEP"/>
      <sheetName val="Analisa Upah &amp; Bahan Plum"/>
      <sheetName val="BAG_2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[BQ-PS&amp;A.xlsÝCAT_HRG"/>
      <sheetName val="Week (2)"/>
      <sheetName val="304-06"/>
      <sheetName val="304_06"/>
      <sheetName val="data grafik"/>
      <sheetName val="PAD-F"/>
      <sheetName val="SAT-BHN"/>
      <sheetName val="_BQ-PS&amp;A.xlsÝCAT_HRG"/>
      <sheetName val="DivVII"/>
      <sheetName val="rab - persiapan &amp; lantai-1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SUMMARY IN"/>
      <sheetName val="PROGRAM"/>
      <sheetName val="INDIRECT COST"/>
      <sheetName val="LAMP_AB "/>
      <sheetName val="KESIMP"/>
      <sheetName val="EVAHS"/>
      <sheetName val="nilai"/>
      <sheetName val="Kron"/>
      <sheetName val="monpekme"/>
      <sheetName val="perencanaan"/>
      <sheetName val="INDUK-A"/>
      <sheetName val="SAYAP-A"/>
      <sheetName val="c-sayap"/>
      <sheetName val="IBS-B"/>
      <sheetName val="SAYAP -STR-A"/>
      <sheetName val="SAYAP-ARS&amp;ATP-A"/>
      <sheetName val="VIP-J"/>
      <sheetName val="c-vip"/>
      <sheetName val="IRNA1-G"/>
      <sheetName val="c-irna1"/>
      <sheetName val="IRNA2-H"/>
      <sheetName val="c-irna2"/>
      <sheetName val="IRNA3-I"/>
      <sheetName val="c-irna3"/>
      <sheetName val="c-gizi"/>
      <sheetName val="GIZI-K"/>
      <sheetName val="JNASAH-M"/>
      <sheetName val="c-jnasah"/>
      <sheetName val="UTD"/>
      <sheetName val="c-pmi"/>
      <sheetName val="ICU-F"/>
      <sheetName val="c-icu"/>
      <sheetName val="c-ibs"/>
      <sheetName val="FARMASI-C"/>
      <sheetName val="BIDAN-D"/>
      <sheetName val="C-bidan"/>
      <sheetName val="FISIO-E"/>
      <sheetName val="c-fisio"/>
      <sheetName val="MASJID-Q"/>
      <sheetName val="c-masjid"/>
      <sheetName val="ASRM-O"/>
      <sheetName val="c-asrm"/>
      <sheetName val="RMH-R"/>
      <sheetName val="c-rmh"/>
      <sheetName val="KAFE-L"/>
      <sheetName val="c-kafe"/>
      <sheetName val="GENSET-N"/>
      <sheetName val="c-genst"/>
      <sheetName val="TPS-T"/>
      <sheetName val="ME HALAMAN"/>
      <sheetName val="TWR-V"/>
      <sheetName val="c-twr"/>
      <sheetName val="SELASAR-W"/>
      <sheetName val="ANALISA CTFLL"/>
      <sheetName val="CUT-FILL-A3"/>
      <sheetName val="INFRA-X"/>
      <sheetName val="b-vip"/>
      <sheetName val="b-farm"/>
      <sheetName val="br.land"/>
      <sheetName val="br induk"/>
      <sheetName val="ANALISA INFRA"/>
      <sheetName val="ANALISA KOSEN"/>
      <sheetName val="PROLOSS"/>
      <sheetName val="CAFL "/>
      <sheetName val="IT related"/>
      <sheetName val="Work Program"/>
      <sheetName val="N1 List of AP Trade"/>
      <sheetName val="N1.1 AP list"/>
      <sheetName val="N4 SUREL"/>
      <sheetName val="TradeName"/>
      <sheetName val="Unpatented"/>
      <sheetName val="Customer Base"/>
      <sheetName val="Non-Compete"/>
      <sheetName val="Workforce"/>
      <sheetName val="||"/>
      <sheetName val="Drivers"/>
      <sheetName val="Rate of return"/>
      <sheetName val="WPL (ina)"/>
      <sheetName val="WPL sorted"/>
      <sheetName val="PPh29 "/>
      <sheetName val="Final Mapping P&amp;L per SPT"/>
      <sheetName val="Summary Fiscal Corrections"/>
      <sheetName val="Allocation"/>
      <sheetName val="Projections"/>
      <sheetName val="Trademarks"/>
      <sheetName val="Technology"/>
      <sheetName val="Customers"/>
      <sheetName val="COC Recon"/>
      <sheetName val="DT#1"/>
      <sheetName val="DT#2"/>
      <sheetName val="DT#3"/>
      <sheetName val="DT#4"/>
      <sheetName val="DT#5"/>
      <sheetName val="IS FEDERA"/>
      <sheetName val="IS LCO"/>
      <sheetName val="IS Distribution"/>
      <sheetName val="Workforce "/>
      <sheetName val="BusinessEntValu"/>
      <sheetName val="InputVariables"/>
      <sheetName val="HZ Estimate"/>
      <sheetName val="WORKPAPERS"/>
      <sheetName val="Dist Trademarks-names"/>
      <sheetName val="CR#2 - Panera"/>
      <sheetName val="CR#3 - Other"/>
      <sheetName val="CR#1 - DIST"/>
      <sheetName val="Workforce - Federa"/>
      <sheetName val="Workforce - LCO"/>
      <sheetName val="Workforce - DIST"/>
      <sheetName val="IPT#6"/>
      <sheetName val="IPT#7"/>
      <sheetName val="IPT#8"/>
      <sheetName val="IPT#9"/>
      <sheetName val="IPT#10"/>
      <sheetName val="CustRel"/>
      <sheetName val="BS MARTIN"/>
      <sheetName val="BS FEDERA"/>
      <sheetName val="BS LCO"/>
      <sheetName val="BS DIST"/>
      <sheetName val="Non-Competes"/>
      <sheetName val="ContribAssets"/>
      <sheetName val="RevenuesDetail"/>
      <sheetName val="DevTechExp"/>
      <sheetName val="CoreTechExp"/>
      <sheetName val="InProcTechExp"/>
      <sheetName val="FutTechExp"/>
      <sheetName val="OthRevExp"/>
      <sheetName val="Core Technology"/>
      <sheetName val="Future Products"/>
      <sheetName val="CF Check"/>
      <sheetName val="XTRA SHEETS -&gt;"/>
      <sheetName val="DEV_TECH"/>
      <sheetName val="Internal Use Software"/>
      <sheetName val="CR#5"/>
      <sheetName val="IPT#1"/>
      <sheetName val="IPT#2"/>
      <sheetName val="IPT#3"/>
      <sheetName val="IPT#4"/>
      <sheetName val="IPT#5"/>
      <sheetName val="Copyrights"/>
      <sheetName val="PANELKAST"/>
      <sheetName val="SAT.PEK."/>
      <sheetName val="Daf Harga"/>
      <sheetName val="An_ Harga"/>
      <sheetName val="XXXXXXXXX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INDEKS"/>
      <sheetName val="JABATAN"/>
      <sheetName val="DPK-ANT"/>
      <sheetName val="PULAU"/>
      <sheetName val="GARDU"/>
      <sheetName val="ANSTRUK-1"/>
      <sheetName val="ANSTRUK-2"/>
      <sheetName val="platpracetak"/>
      <sheetName val="sal"/>
      <sheetName val="HS-1"/>
      <sheetName val="HS-2"/>
      <sheetName val="UM32"/>
      <sheetName val="Real(1)"/>
      <sheetName val="RKAP 2012 Per Sep R0"/>
      <sheetName val="RKAP 220"/>
      <sheetName val="Prog Per Maret"/>
      <sheetName val="Prog Per Juni"/>
      <sheetName val="Proy Per Sep"/>
      <sheetName val="RKAP 2013"/>
      <sheetName val="Proy Optimis"/>
      <sheetName val="Real(3)"/>
      <sheetName val="Real(4)"/>
      <sheetName val="Rek Renc Sisa"/>
      <sheetName val="Kont&gt;50"/>
      <sheetName val="Prog Per Sep"/>
      <sheetName val="Prog&gt;&lt;Prog"/>
      <sheetName val="LRSep"/>
      <sheetName val="LR2013"/>
      <sheetName val="Growth"/>
      <sheetName val="Renc Bul 2012"/>
      <sheetName val="Renc sd Bul 2012"/>
      <sheetName val="Rek CF Dir 1 Rev"/>
      <sheetName val="Rek CF Dir 2 Rev"/>
      <sheetName val="Rek CF Dir 3 Rev"/>
      <sheetName val="DK1"/>
      <sheetName val="DK2"/>
      <sheetName val="DK3"/>
      <sheetName val="DK4"/>
      <sheetName val="DK5"/>
      <sheetName val="DK6"/>
      <sheetName val="EPC"/>
      <sheetName val="DPH"/>
      <sheetName val="INTL"/>
      <sheetName val="APP"/>
      <sheetName val="Rek CF Dir 1 Asli"/>
      <sheetName val="Rek CF Dir 2 Asli"/>
      <sheetName val="Rek CF Dir 3 Asli"/>
      <sheetName val="CF Dir 1"/>
      <sheetName val="CF Dir 2"/>
      <sheetName val="CF Dir 3"/>
      <sheetName val="Schedule Add"/>
      <sheetName val="MONT.TAG.MK"/>
      <sheetName val="Chek List"/>
      <sheetName val="CABANGPPN"/>
      <sheetName val="CABANG21"/>
      <sheetName val="CABANG4(2)"/>
      <sheetName val="hargapokok"/>
      <sheetName val="pend_lain2"/>
      <sheetName val="bi_lain2"/>
      <sheetName val="CADANGAN"/>
      <sheetName val="indukPPH"/>
      <sheetName val="IndukPPN"/>
      <sheetName val="induk42"/>
      <sheetName val="induk21"/>
      <sheetName val="induk22-23-26-pbb"/>
      <sheetName val="rekap23"/>
      <sheetName val="EQUALISASI"/>
      <sheetName val="KEND_FIS"/>
      <sheetName val="kend_WP"/>
      <sheetName val="note_4_wiston"/>
      <sheetName val="LPP (3)"/>
      <sheetName val="LPP (4)"/>
      <sheetName val="MASa2326"/>
      <sheetName val="koreksi"/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  <sheetName val="DETAILBS"/>
      <sheetName val="DETAILGA"/>
      <sheetName val="PIUTANG-AGING"/>
      <sheetName val="INV-LAB"/>
      <sheetName val="BARANG JADI"/>
      <sheetName val="INV-PEMB-RESIN"/>
      <sheetName val="AcruedTax"/>
      <sheetName val="ACCOUNT-PAYABLE"/>
      <sheetName val="SPLIT9907"/>
      <sheetName val="SPLIT9906"/>
      <sheetName val="Resin in Tank"/>
      <sheetName val="OPsample"/>
      <sheetName val="TPsample"/>
      <sheetName val="AA.1"/>
      <sheetName val="AA.2"/>
      <sheetName val="AA.3"/>
      <sheetName val="AA.3.2"/>
      <sheetName val="AP ACCRUED"/>
      <sheetName val="OTHER ACCOUNT CLAIM"/>
      <sheetName val="BB.1"/>
      <sheetName val="BB.1.1"/>
      <sheetName val="BB.1.2"/>
      <sheetName val="BB.2"/>
      <sheetName val="BB-2.1"/>
      <sheetName val="BB.2.1.1"/>
      <sheetName val="BB.2.2"/>
      <sheetName val="BB.2.3"/>
      <sheetName val="BB.3"/>
      <sheetName val="EE-1"/>
      <sheetName val="invt_jun03 _2_"/>
      <sheetName val="COMPARATTIVE"/>
      <sheetName val="vendorjun04"/>
      <sheetName val="INVTJUN04"/>
      <sheetName val="invt_jun03 (2)"/>
      <sheetName val="Comperative_by_Vendor jan_may"/>
      <sheetName val="Dec04"/>
      <sheetName val="Dec07"/>
      <sheetName val="reconsile"/>
      <sheetName val="potensi loss"/>
      <sheetName val="Table of Content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RM_COST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OPEX "/>
      <sheetName val="LOAN&amp;INTEREST"/>
      <sheetName val="PRODUCTION SCHEDULE"/>
      <sheetName val="Details in Rp"/>
      <sheetName val="By Dept"/>
      <sheetName val="By Dept in Rp"/>
      <sheetName val="by_type in USD"/>
      <sheetName val="by_type in Rp"/>
      <sheetName val="Depr&amp;Amort"/>
      <sheetName val="62404"/>
      <sheetName val="EQ (2)"/>
      <sheetName val="Note's (3)"/>
      <sheetName val="PL-08"/>
      <sheetName val="BS-08"/>
      <sheetName val="CF-08"/>
      <sheetName val="Jrnl_Rstd"/>
      <sheetName val="TB-All Unit (3)"/>
      <sheetName val="NS (2)"/>
      <sheetName val="Rgks Operasi"/>
      <sheetName val="Note's (2)"/>
      <sheetName val="PAJE2009"/>
      <sheetName val="CAJE2008"/>
      <sheetName val="TB-KANDIR"/>
      <sheetName val="TB-PKS_LUWU1"/>
      <sheetName val="TB-BETELEME"/>
      <sheetName val="TB-CAMMING02"/>
      <sheetName val="TB-TAKALAR"/>
      <sheetName val="TB-MALILI"/>
      <sheetName val="TB-KEERA"/>
      <sheetName val="TB-ASERA(I)"/>
      <sheetName val="TB-BPPGnew"/>
      <sheetName val="TB.BONE"/>
      <sheetName val="TB-TOMATA(I)"/>
      <sheetName val="PTPN.X"/>
      <sheetName val="TB-KABARU"/>
      <sheetName val="TB-AWAYA"/>
      <sheetName val="TB-MAROANGIN"/>
      <sheetName val="KorTomata"/>
      <sheetName val="TB-JPONTO"/>
      <sheetName val="TB-ASERA(P)"/>
      <sheetName val="TB-TOMATA(P)"/>
      <sheetName val="TB-KOLAKA"/>
      <sheetName val="TB-MIRA"/>
      <sheetName val="TM-Tomata"/>
      <sheetName val="TesPB"/>
      <sheetName val="TesB-1"/>
      <sheetName val="TB-BPPG02"/>
      <sheetName val="Index KKP Manual"/>
      <sheetName val="pERK-N XIV"/>
      <sheetName val="AC033212"/>
      <sheetName val="RE.In Vs SC"/>
      <sheetName val="ANPmaro"/>
      <sheetName val="ANPkola"/>
      <sheetName val="KorLuwu"/>
      <sheetName val="KorMira"/>
      <sheetName val="Note's"/>
      <sheetName val="TB-All Unit"/>
      <sheetName val="Int.03"/>
      <sheetName val="YearEnd02"/>
      <sheetName val="FA Fcl 2006"/>
      <sheetName val="JE Mgr"/>
      <sheetName val="JE Kabag &amp; Pws Ut"/>
      <sheetName val="JE Below Pws Ut"/>
      <sheetName val="JE ALL LEVEL"/>
      <sheetName val="JE Matrix All by Dept"/>
      <sheetName val="Check #"/>
      <sheetName val="Hay Guide Charts Notes"/>
      <sheetName val="JE Result"/>
      <sheetName val="2005 - rev"/>
      <sheetName val="FACT  LOAN"/>
      <sheetName val="PBR"/>
      <sheetName val="USD-BAL"/>
      <sheetName val="RP-BAL"/>
      <sheetName val="A R"/>
      <sheetName val="PAID"/>
      <sheetName val="WP CF"/>
      <sheetName val="P-Tax 23-26"/>
      <sheetName val="Tax 23-26"/>
      <sheetName val="Tax 21-26"/>
      <sheetName val="FE_1770_P1"/>
      <sheetName val="FE-1770-IV"/>
      <sheetName val="FI-1770-IV"/>
      <sheetName val="TT Detail"/>
      <sheetName val="EstateAddTax'04"/>
      <sheetName val="OMAddnTax'04"/>
      <sheetName val="OMDisp2004 (2)"/>
      <sheetName val="EstateDisp2004"/>
      <sheetName val="OMDisp2004"/>
      <sheetName val="Trial"/>
      <sheetName val="VS"/>
      <sheetName val="NVS"/>
      <sheetName val="incentive"/>
      <sheetName val="B.4.1"/>
      <sheetName val="baikan"/>
      <sheetName val="21wp"/>
      <sheetName val="E1 (21)A"/>
      <sheetName val="E1 (21)B"/>
      <sheetName val="E2 (22)"/>
      <sheetName val="E3 (23)"/>
      <sheetName val="E4 (4(2))"/>
      <sheetName val="E5 (26)"/>
      <sheetName val="E6 (PPN&amp;BM)"/>
      <sheetName val="(STP PPN)"/>
      <sheetName val="E7 (PBB)"/>
      <sheetName val="Exx (BPHTB)"/>
      <sheetName val="E9 (Komp)"/>
      <sheetName val="硸硸en"/>
      <sheetName val="pilbtm"/>
      <sheetName val="Kodering"/>
      <sheetName val="jurnalbtm"/>
      <sheetName val="kori"/>
      <sheetName val="WS Jakarta"/>
      <sheetName val="kORBTM"/>
      <sheetName val="WS Btm"/>
      <sheetName val="WSGab"/>
      <sheetName val="pil"/>
      <sheetName val="shu"/>
      <sheetName val="akas"/>
      <sheetName val="Daf-Rek"/>
      <sheetName val="CashFlows"/>
      <sheetName val="Worksheet99"/>
      <sheetName val="Jurnal,Mutasi&amp;Saldo"/>
      <sheetName val="No.Rekening"/>
      <sheetName val="Installment"/>
      <sheetName val="Bubes"/>
      <sheetName val="CGM"/>
      <sheetName val="STATE"/>
      <sheetName val="BALSHEET"/>
      <sheetName val="Tab perkiraan"/>
      <sheetName val="NRC Saldo"/>
      <sheetName val="BB.AKT.LANCAR "/>
      <sheetName val="BB.KW.LANCAR"/>
      <sheetName val="BB.AKT.TETAP"/>
      <sheetName val="KW.JK.PJG"/>
      <sheetName val="BB.BIAYA"/>
      <sheetName val="BB.PENDAPATAN"/>
      <sheetName val="tabel perkiraan"/>
      <sheetName val="BB.AKTIVA LANCAR "/>
      <sheetName val="BB.KEWAJIBAN LANCAR"/>
      <sheetName val="BB.AKTIVA TETAP"/>
      <sheetName val="KEWAJIBAN JANGKA PANJANG"/>
      <sheetName val="Daftar Aktiva Tetap"/>
      <sheetName val="Laporan Laba Rugi"/>
      <sheetName val="KEWAJIBAN J.PANJANG"/>
      <sheetName val="Tab.Perkiraan"/>
      <sheetName val="KW.JK.PANJANG"/>
      <sheetName val="@INA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Attachments-2"/>
      <sheetName val="Lampiran-2"/>
      <sheetName val="Fiscal Depreciation"/>
      <sheetName val="Prepaid tax Art 23 (E)"/>
      <sheetName val="Prepaid tax Art 23"/>
      <sheetName val="entertainment (E)"/>
      <sheetName val="BIK"/>
      <sheetName val="1771-y (eng)"/>
      <sheetName val="Financial Statement"/>
      <sheetName val="P_001 "/>
      <sheetName val="P_100 "/>
      <sheetName val="P_200"/>
      <sheetName val="P_300"/>
      <sheetName val="P_400"/>
      <sheetName val="P_500 LO Other accrued"/>
      <sheetName val="P_600 Accr. EIP-SIP"/>
      <sheetName val="N - Lead"/>
      <sheetName val="SURL"/>
      <sheetName val="test of Average Interest"/>
      <sheetName val="fm13(Giro)"/>
      <sheetName val="fm14(Tabungan)"/>
      <sheetName val="Test of Witholding Tax"/>
      <sheetName val="Sum (2)"/>
      <sheetName val="Consol Trial"/>
      <sheetName val="REport Format"/>
      <sheetName val="Jurnal Reklas"/>
      <sheetName val="Consol eliminasi"/>
      <sheetName val="CF Parent FR"/>
      <sheetName val="CF Parent 2006 "/>
      <sheetName val="BS accounts"/>
      <sheetName val="PL accounts"/>
      <sheetName val="MarketPrice"/>
      <sheetName val=" Disk"/>
      <sheetName val="SUN"/>
      <sheetName val="SSB-Rp"/>
      <sheetName val="SSB-Vls"/>
      <sheetName val="SubDebt"/>
      <sheetName val="LRK"/>
      <sheetName val="PEND+BIAYA"/>
      <sheetName val="NONCAB"/>
      <sheetName val="lr treas"/>
      <sheetName val="Sandi laba rugi"/>
      <sheetName val="MS portfolio all"/>
      <sheetName val="ATMR"/>
      <sheetName val="trf tht"/>
      <sheetName val="trf 7 jht"/>
      <sheetName val="rkpttl"/>
      <sheetName val="rekap-pasif"/>
      <sheetName val="DAFT-PST-PASIF"/>
      <sheetName val="data-pasif-2004"/>
      <sheetName val="Daftr-pst-MHT"/>
      <sheetName val="Daftr-pst-JHT"/>
      <sheetName val="DT-HII-2004"/>
      <sheetName val="dtsblm"/>
      <sheetName val="hit-sblm"/>
      <sheetName val="rkp-sblm"/>
      <sheetName val="dtstlh"/>
      <sheetName val="hit-stlh"/>
      <sheetName val="rkp-slth"/>
      <sheetName val="hitmht"/>
      <sheetName val="rkpmht"/>
      <sheetName val="rekap-iuran"/>
      <sheetName val="DATAPASIF"/>
      <sheetName val="hit-311202"/>
      <sheetName val="tr-28202"/>
      <sheetName val="TRP"/>
      <sheetName val="Review Notes"/>
      <sheetName val="Tickmark Legend"/>
      <sheetName val="GL Memo"/>
      <sheetName val="Bank Only Movement"/>
      <sheetName val="Consolidation Movement"/>
      <sheetName val="Analytical Review Procedure"/>
      <sheetName val="Detail Issue 1"/>
      <sheetName val="Detail Issue 2"/>
      <sheetName val="lead update"/>
      <sheetName val="giro_bbl (2)"/>
      <sheetName val="dep_bbl"/>
      <sheetName val="dep_bbl (2)"/>
      <sheetName val="EXRA"/>
      <sheetName val="trf-d-w"/>
      <sheetName val="trf d-i"/>
      <sheetName val="p***"/>
      <sheetName val="Scen Formula"/>
      <sheetName val="ASBS"/>
      <sheetName val="ASIS"/>
      <sheetName val="ASOFF"/>
      <sheetName val="Scen Print"/>
      <sheetName val="BI_Ratios"/>
      <sheetName val="Soundness"/>
      <sheetName val="Gen Asum"/>
      <sheetName val="BS $"/>
      <sheetName val="OFF $"/>
      <sheetName val="GOI Bonds"/>
      <sheetName val="Securities"/>
      <sheetName val="COF"/>
      <sheetName val="Int Exp"/>
      <sheetName val="Loans"/>
      <sheetName val="OHC"/>
      <sheetName val="NPL"/>
      <sheetName val="Ec_Sec"/>
      <sheetName val="KUK"/>
      <sheetName val="Modal Saham4"/>
      <sheetName val="Modal Saham5"/>
      <sheetName val="Laba Saham"/>
      <sheetName val="RF ESOP"/>
      <sheetName val="T MEMO"/>
      <sheetName val="T LEAD 06"/>
      <sheetName val="D.2.1.1 (2)"/>
      <sheetName val="H.1.1 Penyertaan Dec'06"/>
      <sheetName val="T.3 EPS"/>
      <sheetName val="T.3.1EPS (PBC)."/>
      <sheetName val="T.3.2 EPS Dillution"/>
      <sheetName val="T.3.2.1BNII (PBC)"/>
      <sheetName val="T.3.2"/>
      <sheetName val="T.4.Modal Dasar"/>
      <sheetName val="T.5.AGIO SAHAM"/>
      <sheetName val="T.6.ESOP"/>
      <sheetName val="T.6.1.Rekap"/>
      <sheetName val="T.6.2"/>
      <sheetName val="T.6.3"/>
      <sheetName val="T.6.3.1"/>
      <sheetName val="T.6.3.2"/>
      <sheetName val="T.6.3.3"/>
      <sheetName val="T.6.3.4 AJE"/>
      <sheetName val="EY-BlackScholes"/>
      <sheetName val="U.4.4.BTK."/>
      <sheetName val="T.T.Conf Control"/>
      <sheetName val="P&amp;L98"/>
      <sheetName val="Tax Memo"/>
      <sheetName val="O.2 Report Format"/>
      <sheetName val="O.2 CITC"/>
      <sheetName val="O.2.1 CITC Detail"/>
      <sheetName val="Deferred Tax 31 Dec 2006"/>
      <sheetName val="O.3 - Tax art 21-HO"/>
      <sheetName val="O.4 - Tax art 23,26"/>
      <sheetName val="O.5 - Tax art 25"/>
      <sheetName val="Tax Assesment"/>
      <sheetName val="Tax Status"/>
      <sheetName val="Tax Assesment (2)"/>
      <sheetName val="Group_Samples_STEP1"/>
      <sheetName val="GroupDebtors_STEP2"/>
      <sheetName val="Exch.rate"/>
      <sheetName val="WTB"/>
      <sheetName val="Icome"/>
      <sheetName val="Aset"/>
      <sheetName val="RL Fiskal"/>
      <sheetName val="Note-fiscal"/>
      <sheetName val="Receiv"/>
      <sheetName val="AB"/>
      <sheetName val="J2"/>
      <sheetName val="Work Progress"/>
      <sheetName val="Final Work Progress"/>
      <sheetName val="Kurva-S Revisi "/>
      <sheetName val="Rekap Laporan"/>
      <sheetName val="Rekap Progress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Lantai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LAP-KEU-KONSOL"/>
      <sheetName val="Eliminasi Hutang_Piutang"/>
      <sheetName val="NOTES 8 Bulan"/>
      <sheetName val="MPI_8 bULAN"/>
      <sheetName val="Minoritas 8 BLN"/>
      <sheetName val="Wks Konsol_8 Bulan"/>
      <sheetName val="Report 8 Bulan"/>
      <sheetName val="MPI_ 1 Bulan"/>
      <sheetName val="Wks Konsol_1 Bulan"/>
      <sheetName val="Report 1 Bulan"/>
      <sheetName val="TO NOTES"/>
      <sheetName val="Minoritas"/>
      <sheetName val="gab"/>
      <sheetName val="Nilai pertanggungan"/>
      <sheetName val="STNK"/>
      <sheetName val="JENIS KEND"/>
      <sheetName val="KERJASAMA"/>
      <sheetName val="DATA ASLI"/>
      <sheetName val="GED.&amp;REKL"/>
      <sheetName val="DATA KENDARAAN"/>
      <sheetName val="CATAT"/>
      <sheetName val="DAF-PENJ PURI"/>
      <sheetName val="KAV RIVERSIDE"/>
      <sheetName val="daft-hpp PURI"/>
      <sheetName val="hpp KAV RIVERSIDE"/>
      <sheetName val="jelasnrc"/>
      <sheetName val="CET (2)"/>
      <sheetName val="lb-dthn"/>
      <sheetName val="b.adm"/>
      <sheetName val="POSLK"/>
      <sheetName val="NeracaSQL"/>
      <sheetName val="R-LabaSQL"/>
      <sheetName val="labathn"/>
      <sheetName val="Markt+Tenc"/>
      <sheetName val="By.Karyawan"/>
      <sheetName val="BI.ADM+UMUM"/>
      <sheetName val="ops"/>
      <sheetName val="Lampiran Penyusutan"/>
      <sheetName val="Lampiran Aging AP"/>
      <sheetName val="Lampiran Aging AR"/>
      <sheetName val="Piutang tak tertagih"/>
      <sheetName val="CUT OFF-MPI"/>
      <sheetName val="DPMK"/>
      <sheetName val="SPMK"/>
      <sheetName val="DKK"/>
      <sheetName val="PRL"/>
      <sheetName val="Lampiran Pendapatan"/>
      <sheetName val="SEWA CITIBANK"/>
      <sheetName val="Neraca Detail"/>
      <sheetName val="RL Detail"/>
      <sheetName val="Lampiran Aging AP (2)"/>
      <sheetName val="MPI_9 bULAN"/>
      <sheetName val="Minoritas 9 BLN"/>
      <sheetName val="Wks Konsol_ 9 Bulan"/>
      <sheetName val="Report September"/>
      <sheetName val="MPI"/>
      <sheetName val="Wks Konsol"/>
      <sheetName val="FORMAT KORAN"/>
      <sheetName val="WKS-KONSOL-MD"/>
      <sheetName val="COP-ags'11"/>
      <sheetName val="COP-JAN'11"/>
      <sheetName val="JAN'11"/>
      <sheetName val="agt'11"/>
      <sheetName val="ASURANSI-md)"/>
      <sheetName val="Minoritas 9 BLN TO CASH FLOW"/>
      <sheetName val="MPI_September_2010 tO cASH fLOW"/>
      <sheetName val="Wks_Sept_2010 To Cash Flow"/>
      <sheetName val="Report Sept 2010 To Cash flow"/>
      <sheetName val="MPI_September_2010"/>
      <sheetName val="Wks_September_2010"/>
      <sheetName val="Report September 2010"/>
      <sheetName val="Wks_Desember_2010"/>
      <sheetName val="Report Desember 2010"/>
      <sheetName val="Daf-isi-A-OK"/>
      <sheetName val="Ekuitas-10"/>
      <sheetName val="jelas-nrc-OK"/>
      <sheetName val="bi-adm"/>
      <sheetName val="L-R-BR"/>
      <sheetName val="Elim-penyertaan"/>
      <sheetName val="Nilai Penyertaan"/>
      <sheetName val="BSISCF"/>
      <sheetName val="Eku-baru"/>
      <sheetName val="New Eku"/>
      <sheetName val="Data RK"/>
      <sheetName val="Daftar RK"/>
      <sheetName val="Perubah ekuitas"/>
      <sheetName val="Mutasi PSAK 06"/>
      <sheetName val="KK-Lap.keu 2004"/>
      <sheetName val="Daf ekitas In-AP06"/>
      <sheetName val="MInor 04"/>
      <sheetName val="Per Anak"/>
      <sheetName val="Eku-br rev"/>
      <sheetName val="Nrc Unaudit-audit"/>
      <sheetName val="Perban Nrc 08-07"/>
      <sheetName val="eku-sma Tw207"/>
      <sheetName val="eku perban"/>
      <sheetName val="Rkap-NRC"/>
      <sheetName val="Rincian2"/>
      <sheetName val="Ekuitas AP"/>
      <sheetName val="Perub Eku Anak"/>
      <sheetName val="Rincian Rklas"/>
      <sheetName val="Daf kend-perabot"/>
      <sheetName val="Audit-Unaudit"/>
      <sheetName val="Rekap-NRC"/>
      <sheetName val="Perban Nrc 07-06"/>
      <sheetName val="Penjl"/>
      <sheetName val="Lap.kEU"/>
      <sheetName val="JURNAL JULI 09"/>
      <sheetName val="equity-baru"/>
      <sheetName val="pplk "/>
      <sheetName val="talangan"/>
      <sheetName val="LR RE"/>
      <sheetName val="RE Nrc"/>
      <sheetName val="RE LR"/>
      <sheetName val="Daf isi RE"/>
      <sheetName val="UM memo"/>
      <sheetName val="Hutang Gula Bulog RW I"/>
      <sheetName val="Hutang Gula Bulog RW II"/>
      <sheetName val="Hutang Gula Bulog CB"/>
      <sheetName val="Equity May 2009"/>
      <sheetName val="pendapatan yad"/>
      <sheetName val="Bunga MK"/>
      <sheetName val="WKS KEBUN"/>
      <sheetName val="WKS MITRA KERINCI"/>
      <sheetName val="LK 2009"/>
      <sheetName val="perhitungan bunga"/>
      <sheetName val="TAX MK INHOUSE"/>
      <sheetName val="lamp.kinerja"/>
      <sheetName val="lampiran2"/>
      <sheetName val="LK 2009 (2)"/>
      <sheetName val="KS"/>
      <sheetName val="JT "/>
      <sheetName val="SB"/>
      <sheetName val="PSA"/>
      <sheetName val="KD"/>
      <sheetName val="PUSLIT"/>
      <sheetName val="MCT"/>
      <sheetName val="IBP"/>
      <sheetName val="APOTIK"/>
      <sheetName val="RKAP 18-10'08"/>
      <sheetName val="KGA AJE Reviewed"/>
      <sheetName val="PGKB AJE - Reviewed"/>
      <sheetName val="PGRA AJE - Reviewed"/>
      <sheetName val="Kandir AJE-Reviewed"/>
      <sheetName val="KOR-TANTIEM"/>
      <sheetName val="KK-KONSOL"/>
      <sheetName val="LK-KGA"/>
      <sheetName val="LK-INDUK"/>
      <sheetName val="LK-KR"/>
      <sheetName val="LK-KANDIR"/>
      <sheetName val="LK-KONSOL"/>
      <sheetName val="LK-REJO-AGUNG"/>
      <sheetName val="LK-KREBET"/>
      <sheetName val="RATIO-KB"/>
      <sheetName val="RATIO-RA"/>
      <sheetName val="RATIO-KONS"/>
      <sheetName val="Per Grade"/>
      <sheetName val="Sortasi"/>
      <sheetName val="Rektivikasi"/>
      <sheetName val="Lokal"/>
      <sheetName val="K.KERJA"/>
      <sheetName val="Eks (2)"/>
      <sheetName val="Eks (3)"/>
      <sheetName val="Lokal (2)"/>
      <sheetName val="Nrc-Inap"/>
      <sheetName val="Unaudit-audit"/>
      <sheetName val="Dumtk"/>
      <sheetName val="1c"/>
      <sheetName val="Rincian Iuran"/>
      <sheetName val="PASTEK"/>
      <sheetName val="Data Rekon"/>
      <sheetName val="Premi Iuran"/>
      <sheetName val="INVS"/>
      <sheetName val="AAP (2)"/>
      <sheetName val="AAN"/>
      <sheetName val="AP-LR"/>
      <sheetName val="AProduksi"/>
      <sheetName val="RPenjualan"/>
      <sheetName val="AAHPP"/>
      <sheetName val="AABPG"/>
      <sheetName val="AABU"/>
      <sheetName val="ABProduksi"/>
      <sheetName val="HPP Per Ku"/>
      <sheetName val="HPP Per Ku (2)"/>
      <sheetName val="HPPGLTT"/>
      <sheetName val="AAI"/>
      <sheetName val="PSA-LTR"/>
      <sheetName val="SKOR"/>
      <sheetName val="BUMN"/>
      <sheetName val="BUMNL"/>
      <sheetName val="strategi"/>
      <sheetName val="KRITERIA"/>
      <sheetName val="KPI_konsol"/>
      <sheetName val="Per_PT"/>
      <sheetName val="grafikper-pt"/>
      <sheetName val="hasil_kpi"/>
      <sheetName val="Konsol (2)"/>
      <sheetName val="131"/>
      <sheetName val="rl_sl"/>
      <sheetName val="rl_ks"/>
      <sheetName val="rl_tb"/>
      <sheetName val="rl_jt"/>
      <sheetName val="rl_sb"/>
      <sheetName val="rl_psa"/>
      <sheetName val="rl_mct"/>
      <sheetName val="rl_pa"/>
      <sheetName val="rl_anf"/>
      <sheetName val="rl_ibp"/>
      <sheetName val="beda"/>
      <sheetName val="prod-ap"/>
      <sheetName val="kons-rl"/>
      <sheetName val="kon_shu"/>
      <sheetName val="sl-rl"/>
      <sheetName val="shu_sl"/>
      <sheetName val="ks-rl"/>
      <sheetName val="shu_ks"/>
      <sheetName val="tb-rl"/>
      <sheetName val="shu_tb"/>
      <sheetName val="jt-rl"/>
      <sheetName val="sb-rl"/>
      <sheetName val="psa-rl"/>
      <sheetName val="mct-rl"/>
      <sheetName val="pa-rl"/>
      <sheetName val="anf-rl"/>
      <sheetName val="ibp-rl"/>
      <sheetName val="mo"/>
      <sheetName val="cbb"/>
      <sheetName val="ph"/>
      <sheetName val="gieb"/>
      <sheetName val="rw1"/>
      <sheetName val="mrb"/>
      <sheetName val="rw2"/>
      <sheetName val="rcm"/>
      <sheetName val="mo1"/>
      <sheetName val="skor-kinerja"/>
      <sheetName val="tk_kshtan"/>
      <sheetName val="lain-lain"/>
      <sheetName val="rts"/>
      <sheetName val="laskar"/>
      <sheetName val="holding"/>
      <sheetName val="kk_nrc"/>
      <sheetName val="buku1"/>
      <sheetName val="buku2"/>
      <sheetName val="buku_nrc"/>
      <sheetName val="trovi"/>
      <sheetName val="lampirann"/>
      <sheetName val="SLED."/>
      <sheetName val="Bhn Rpt"/>
      <sheetName val="ap2011"/>
      <sheetName val="AP Investasi"/>
      <sheetName val="Kinerja-2010"/>
      <sheetName val="DATA KEBUN"/>
      <sheetName val="CAHFLOW"/>
      <sheetName val="smt2PROG"/>
      <sheetName val="rekap-3"/>
      <sheetName val="rek-lr"/>
      <sheetName val="kma"/>
      <sheetName val="jprod"/>
      <sheetName val="gdg"/>
      <sheetName val="513"/>
      <sheetName val="514"/>
      <sheetName val="515"/>
      <sheetName val="516"/>
      <sheetName val="517"/>
      <sheetName val="518"/>
      <sheetName val="519"/>
      <sheetName val="819"/>
      <sheetName val="usaha"/>
      <sheetName val="persd"/>
      <sheetName val="lok-incl"/>
      <sheetName val="hpp-incl"/>
      <sheetName val="lok-exl"/>
      <sheetName val="hpp-exl"/>
      <sheetName val="h-penj"/>
      <sheetName val="Asumsi.RKAP.2103"/>
      <sheetName val="SDM.1"/>
      <sheetName val="Investasi.1"/>
      <sheetName val="Hasil.Produksi.1"/>
      <sheetName val="Penjual.1"/>
      <sheetName val="BDP.PRODUKSI.1"/>
      <sheetName val="HPP_RCM"/>
      <sheetName val="By.Prod_RCM.1"/>
      <sheetName val="By.Usaha.1"/>
      <sheetName val="Laba-rugi.1"/>
      <sheetName val="Neraca.1"/>
      <sheetName val="CashFlow.1"/>
      <sheetName val=" PERHITUNGANKin-100"/>
      <sheetName val="fORM.iSIAN.rkap.2013"/>
      <sheetName val="NERACA REVISI"/>
      <sheetName val="Neraca SBLM REV"/>
      <sheetName val="PROYEKSI BUNGA"/>
      <sheetName val="REAL SD APRIL13"/>
      <sheetName val="KOM"/>
      <sheetName val="SEKORP"/>
      <sheetName val="SPI"/>
      <sheetName val="AKT&amp;KEU"/>
      <sheetName val="SDM,UMUM&amp;ASET"/>
      <sheetName val="PROD&amp;IT"/>
      <sheetName val="REN &amp; BANG"/>
      <sheetName val="400"/>
      <sheetName val="461"/>
      <sheetName val="483"/>
      <sheetName val="pmbl"/>
      <sheetName val="rinc investasi"/>
      <sheetName val="bhn rapat"/>
      <sheetName val="rinc neraca"/>
      <sheetName val="RKAP2013"/>
      <sheetName val="Prod "/>
      <sheetName val="mslh tan"/>
      <sheetName val="mslh pabrik"/>
      <sheetName val="Akumulasi MK"/>
      <sheetName val="Resume MK"/>
      <sheetName val="Peny"/>
      <sheetName val="By Umum Kandir"/>
      <sheetName val="By Umum kk"/>
      <sheetName val="Neranca bln"/>
      <sheetName val="LR blnan"/>
      <sheetName val="Penjualan (3)"/>
      <sheetName val="Bi Prod"/>
      <sheetName val="Bi prod.bln"/>
      <sheetName val="REKAP RKAP 13"/>
      <sheetName val="RKAP QC 13"/>
      <sheetName val="RKAP risbang 13"/>
      <sheetName val="Investasi Bulanan"/>
      <sheetName val="By Umum Kebun"/>
      <sheetName val="B Penjualan"/>
      <sheetName val="Biaya lain-lain"/>
      <sheetName val="For Karyawan"/>
      <sheetName val="Daf Isi (2)"/>
      <sheetName val="Areal 1"/>
      <sheetName val="Asumsi Penyusunan RKAP"/>
      <sheetName val="format ap.revisi"/>
      <sheetName val="Investasi2013"/>
      <sheetName val="cashflow2013"/>
      <sheetName val="hit_05"/>
      <sheetName val="hit-dapen06"/>
      <sheetName val="hit-dapen"/>
      <sheetName val="val-wanto"/>
      <sheetName val="Non_DP-DONE"/>
      <sheetName val="HIT-AKTIF-05"/>
      <sheetName val="HIT-AKTIF-05 (2)"/>
      <sheetName val="HIT-Dapen 06"/>
      <sheetName val="Pst_DP-DONE"/>
      <sheetName val="Pst_DP-HO"/>
      <sheetName val="Pst_DP-DS"/>
      <sheetName val="Pst_DP-DIM"/>
      <sheetName val="Pst_DP-DFU"/>
      <sheetName val="Pst_DP-DF"/>
      <sheetName val="06-HO"/>
      <sheetName val="06-DS"/>
      <sheetName val="06-DIM"/>
      <sheetName val="06-DFU"/>
      <sheetName val="06-DF"/>
      <sheetName val="hit_06-HO mtpl"/>
      <sheetName val="trf multiple dnrks"/>
      <sheetName val="PSAK-HO-w-selisih-mtd"/>
      <sheetName val="hit_06-DS mtpl"/>
      <sheetName val="KONCI"/>
      <sheetName val="RP"/>
      <sheetName val="UPAH BAHAN"/>
      <sheetName val="Methode"/>
      <sheetName val="HIT METH."/>
      <sheetName val="Str BT"/>
      <sheetName val="rinc tahap 1"/>
      <sheetName val="01.Master KANAN_1 (Cetak) 100%"/>
      <sheetName val="01.Master KANAN (Cetak) 29.44%"/>
      <sheetName val="01.Master"/>
      <sheetName val="01.Master (Cetak)"/>
      <sheetName val="angka1"/>
      <sheetName val="angka2"/>
      <sheetName val="Rekap Addendum"/>
      <sheetName val="awal"/>
      <sheetName val="Add-01"/>
      <sheetName val="Add-02"/>
      <sheetName val="Add-03"/>
      <sheetName val="Add-04"/>
      <sheetName val="Rek-Vol"/>
      <sheetName val="Rek-Vol (2)"/>
      <sheetName val="DATA PEELENGKAPAN"/>
      <sheetName val="DATA PERSONIL"/>
      <sheetName val="KURVA S"/>
      <sheetName val="RUPIAH"/>
      <sheetName val="Real"/>
      <sheetName val="REK_FISIK"/>
      <sheetName val="S_CURVE"/>
      <sheetName val="Sahh"/>
      <sheetName val="Kuantiti dan Harga Rev"/>
      <sheetName val="Sumber daya Rev"/>
      <sheetName val="RAB intern Rev"/>
      <sheetName val="Rekap Penawaran I"/>
      <sheetName val="BQ Penawaran I"/>
      <sheetName val="Rekap Penawaran Nego"/>
      <sheetName val="BQ Penawaran Nego"/>
      <sheetName val="BQ Penawaran Nego (2)"/>
      <sheetName val="BQ Penawaran I Vs  Nego Vs OE"/>
      <sheetName val="Rekap Harga Sipil"/>
      <sheetName val="Sat. Pek."/>
      <sheetName val="Pond Bangunan Utama"/>
      <sheetName val="Bangunan Utama A"/>
      <sheetName val="Bangunan Utama B "/>
      <sheetName val="Bangunan Utama C"/>
      <sheetName val=" Lantai Bangunan "/>
      <sheetName val="Dinding P. Tanah"/>
      <sheetName val="PAO, SCR &amp; MLR"/>
      <sheetName val="Transfer Carr"/>
      <sheetName val="L. Ramp"/>
      <sheetName val="Tippler"/>
      <sheetName val="Rel Track"/>
      <sheetName val="Capstan &amp; Bollard"/>
      <sheetName val="Threshing"/>
      <sheetName val="Kernel Recovery"/>
      <sheetName val=" Pondasi  KSB"/>
      <sheetName val=" Empty Bunch Area"/>
      <sheetName val="Clarification"/>
      <sheetName val="Fat Pit"/>
      <sheetName val="Power House"/>
      <sheetName val="Cable Trench &amp; Pond Panel"/>
      <sheetName val="Pondasi CPO Tank"/>
      <sheetName val="WTP"/>
      <sheetName val="J. Timbang "/>
      <sheetName val="Workshop"/>
      <sheetName val="G. Kimia"/>
      <sheetName val="Loading Sheed"/>
      <sheetName val="T. Parkir M &amp; S"/>
      <sheetName val="Pos Jaga-2"/>
      <sheetName val="Musholla"/>
      <sheetName val="Balai P. Karyawan"/>
      <sheetName val="Pos Grading"/>
      <sheetName val="Bak Fiber"/>
      <sheetName val="R. Pompa Diesel"/>
      <sheetName val="R. P. Oil Despath"/>
      <sheetName val="R. Pompa K. Limbah"/>
      <sheetName val="Power Pack"/>
      <sheetName val="Area Parkir Truk"/>
      <sheetName val="Jalan &amp; Saluran "/>
      <sheetName val="Turfing"/>
      <sheetName val="Sal Underflow"/>
      <sheetName val="Pagar &amp; Pintu Pabrik"/>
      <sheetName val=" Pagar Waduk"/>
      <sheetName val="Pagar Kolam Limbah"/>
      <sheetName val="Gudang Kernel"/>
      <sheetName val="Sat_ Pek_"/>
      <sheetName val="7.PEK-STRUKTUR"/>
      <sheetName val="Tailored Procedures"/>
      <sheetName val="Agree Listing AP 3rd party"/>
      <sheetName val="Agree Listing Rel. Par."/>
      <sheetName val="AP Reconciliation"/>
      <sheetName val="TestTranslation"/>
      <sheetName val="Aura Procedures"/>
      <sheetName val="Targeted Testing-Cut Off"/>
      <sheetName val="Targeted-DeliveryNotYetInvoiced"/>
      <sheetName val="Testing"/>
      <sheetName val="Sample 2011"/>
      <sheetName val="Sample 2012"/>
      <sheetName val="Sample Delivery not yet invoice"/>
      <sheetName val="S19A(1)(HP)"/>
      <sheetName val="SCH (2)"/>
      <sheetName val="Int working"/>
      <sheetName val="(1)B2"/>
      <sheetName val="(1)B2-1"/>
      <sheetName val="(1)B5.1"/>
      <sheetName val="(2)C1"/>
      <sheetName val="(2)C1-1"/>
      <sheetName val="(2)C3"/>
      <sheetName val="(2)C5"/>
      <sheetName val="(2)D1"/>
      <sheetName val="(2)D2"/>
      <sheetName val="(2)DA1"/>
      <sheetName val="(2)DA3"/>
      <sheetName val="(2)E1"/>
      <sheetName val="(2)E3"/>
      <sheetName val="(2)E3-1"/>
      <sheetName val="(2)EA3"/>
      <sheetName val="(2)EA4"/>
      <sheetName val="(2)EA4-1"/>
      <sheetName val="(2)EA4-2"/>
      <sheetName val="(2)F1"/>
      <sheetName val="(2)F3"/>
      <sheetName val="(2)F3-1"/>
      <sheetName val="(2)F3-2"/>
      <sheetName val="(2)F5"/>
      <sheetName val="(2)F6"/>
      <sheetName val="(2)G1"/>
      <sheetName val="(2)H1"/>
      <sheetName val="(2)H4"/>
      <sheetName val="(2)H5"/>
      <sheetName val="(2)I2"/>
      <sheetName val="(2)J1"/>
      <sheetName val="(2)J3"/>
      <sheetName val="(2)J3-1"/>
      <sheetName val="(2)J3-2"/>
      <sheetName val="(2)J6"/>
      <sheetName val="(2)J6-2"/>
      <sheetName val="(2)J8"/>
      <sheetName val="(2)J9"/>
      <sheetName val="(2)K1"/>
      <sheetName val="(2)K2"/>
      <sheetName val="(2)K101"/>
      <sheetName val="(2)L1"/>
      <sheetName val="(2)M1"/>
      <sheetName val="(2)M2"/>
      <sheetName val="(2)N1"/>
      <sheetName val="(2)N2"/>
      <sheetName val="(2)N3"/>
      <sheetName val="(2)N4"/>
      <sheetName val="(2)P1"/>
      <sheetName val="(2)P2"/>
      <sheetName val="(2)P3"/>
      <sheetName val="(2)P3-1"/>
      <sheetName val="(2)P3-2"/>
      <sheetName val="(2)P4"/>
      <sheetName val="(2)P4-1"/>
      <sheetName val="(2)P4-2"/>
      <sheetName val="(2)R1"/>
      <sheetName val="(2)R1-1"/>
      <sheetName val="(2)R2"/>
      <sheetName val="(2)R2-1"/>
      <sheetName val="(2)R3"/>
      <sheetName val="(2)R3-1"/>
      <sheetName val="(2)R3-2"/>
      <sheetName val="(2)R4"/>
      <sheetName val="(2)R4-1"/>
      <sheetName val="(2)R4-2"/>
      <sheetName val="(2)R5"/>
      <sheetName val="(2)R5-1"/>
      <sheetName val="(2)R5-2"/>
      <sheetName val="(2)R6"/>
      <sheetName val="(2)R6-1"/>
      <sheetName val="(2)R7"/>
      <sheetName val="(2)R8"/>
      <sheetName val="(2)R9"/>
      <sheetName val="(2)R10"/>
      <sheetName val="(2)R11"/>
      <sheetName val="(2)R12"/>
      <sheetName val="(2)R13"/>
      <sheetName val="(2)R14"/>
      <sheetName val="(2)R15"/>
      <sheetName val="(2)R16"/>
      <sheetName val="(2)R17"/>
      <sheetName val="(2)R18"/>
      <sheetName val="(2)R19"/>
      <sheetName val="(2)R20"/>
      <sheetName val="(2)R21"/>
      <sheetName val="(2)R22"/>
      <sheetName val="(2)R23"/>
      <sheetName val="(2)R24"/>
      <sheetName val="(2)R25"/>
      <sheetName val="(2)R26"/>
      <sheetName val="(2)R27"/>
      <sheetName val="(2)R28"/>
      <sheetName val="(2)R29"/>
      <sheetName val="(2)R30"/>
      <sheetName val="(2)R31"/>
      <sheetName val="(2)V1"/>
      <sheetName val="Chat"/>
      <sheetName val="Cycle"/>
      <sheetName val="K.2.7. Depr Disposal"/>
      <sheetName val="K.2.6. Fiskal deduction"/>
      <sheetName val="K.2.5. Depr fiskal"/>
      <sheetName val="K.2.4. Sheet1"/>
      <sheetName val="K.2.3. Addition harness"/>
      <sheetName val="K.2.2. Addition pusat"/>
      <sheetName val="K.2 Bangunan"/>
      <sheetName val="K.2.1 jual"/>
      <sheetName val="K1-total 2004"/>
      <sheetName val="TB_USD"/>
      <sheetName val="TB_IDR"/>
      <sheetName val="AJE-2011"/>
      <sheetName val="Input Stochastic"/>
      <sheetName val="Variable"/>
      <sheetName val="LPG Aramco"/>
      <sheetName val="ICP"/>
      <sheetName val="RNG"/>
      <sheetName val="Correlation ICP - CP Aramco"/>
      <sheetName val="13 thn (Stochastic)"/>
      <sheetName val="MC GABUNGAN"/>
      <sheetName val="MC IRR"/>
      <sheetName val="MC NPV"/>
      <sheetName val="PB JAN"/>
      <sheetName val="PTM-MART"/>
      <sheetName val="PTM-FEB"/>
      <sheetName val="sept-non ind"/>
      <sheetName val="okt (2)"/>
      <sheetName val="sept-ind"/>
      <sheetName val="apr (2)"/>
      <sheetName val="MARET (2)"/>
      <sheetName val="feb (3)"/>
      <sheetName val="feb (2)"/>
      <sheetName val="JAN (2)"/>
      <sheetName val="SUM-1"/>
      <sheetName val="SUM-2"/>
      <sheetName val="KM 2014"/>
      <sheetName val="KPI SVP FMD"/>
      <sheetName val="KPI VP RFM"/>
      <sheetName val="CRFM MANAGER"/>
      <sheetName val="Asst.Man BrandComm"/>
      <sheetName val="Asst.Brand Development"/>
      <sheetName val="Asst. Public Relation"/>
      <sheetName val="Asst.Man CRM"/>
      <sheetName val="ASST.DATA ANALYSIS"/>
      <sheetName val="Asst. Loyalti Program"/>
      <sheetName val="Asst. Partnership Program"/>
      <sheetName val="Asst.Man MarkDev&amp;Pricing"/>
      <sheetName val="Asst.Pricing"/>
      <sheetName val="Asst. Market Development"/>
      <sheetName val="VP SPBD"/>
      <sheetName val="BORM"/>
      <sheetName val="BORM (2)"/>
      <sheetName val="SA Ops Shipping"/>
      <sheetName val="SA Business Dev RIsk"/>
      <sheetName val="SA Ops Marketing"/>
      <sheetName val="SA Ops S&amp;D"/>
      <sheetName val="Analyst Risk Mgmt"/>
      <sheetName val="Template 2012"/>
      <sheetName val="Plan Angg 2012"/>
      <sheetName val="Program Kerja 2012"/>
      <sheetName val="Area Manager JBT"/>
      <sheetName val="ADS"/>
      <sheetName val="AMO"/>
      <sheetName val="A YANI"/>
      <sheetName val="Ast. OpServ"/>
      <sheetName val="Ast. Supply Chain"/>
      <sheetName val="Asistan SCO Region"/>
      <sheetName val="Asistan LO Region"/>
      <sheetName val="AME ABS"/>
      <sheetName val="AME AYR"/>
      <sheetName val="AME OYP"/>
      <sheetName val="Coding"/>
      <sheetName val="Data pengisian Coding "/>
      <sheetName val="sTATISTIK"/>
      <sheetName val="Rekap ABI 1"/>
      <sheetName val="Rekap ABI 1 kedirut"/>
      <sheetName val="Rekap ABI 2"/>
      <sheetName val="Dit Hulu &amp; AP terkait"/>
      <sheetName val="konsABI Non Bangus &amp; Bangus"/>
      <sheetName val="Rekap ABI CO"/>
      <sheetName val="Kons Rekap CO UB"/>
      <sheetName val="Kons Rekap CO UB Diats Otrs Dit"/>
      <sheetName val="Kons Rekap CO UB sd Otrs Dit"/>
      <sheetName val="Kons Rekap DIt Hulu CO UB  "/>
      <sheetName val="Kons Rekap DIt Hulu CO UB Rev"/>
      <sheetName val="DIt Hulu CO UB  Bangus"/>
      <sheetName val="DIt Hulu CO UB  Non Bangus"/>
      <sheetName val="ABInonAP"/>
      <sheetName val="ABIAP lainnya"/>
      <sheetName val="REKAP SKOP"/>
      <sheetName val="Thn Anggaran"/>
      <sheetName val="tabel rekap korporat"/>
      <sheetName val="tabel rekap ABI konsolidasi"/>
      <sheetName val="Tabel Bahan Buku"/>
      <sheetName val="REKAP Korporat"/>
      <sheetName val="Kantor Pusat Korporat"/>
      <sheetName val=" ABI Konsolidasi Dit. Hulu"/>
      <sheetName val="REKAP DIT HULU"/>
      <sheetName val="Kantor Pusat Hulu"/>
      <sheetName val="PT Pertamina EP"/>
      <sheetName val=" ABI Konsol PT Pertamina EP"/>
      <sheetName val="REKAP PT Pertamina EP"/>
      <sheetName val="PT PEP EKSPLORASI"/>
      <sheetName val="PT PEP Region Sumatera"/>
      <sheetName val="PT PEP Region Jawa"/>
      <sheetName val="PT PEP Region KTI"/>
      <sheetName val="PT PEP UBEP LIMAU"/>
      <sheetName val="PT PEP UBEP JAMBI"/>
      <sheetName val="PT PEP UBEP LIRIK"/>
      <sheetName val="PT PEP UBEP BENAKAT"/>
      <sheetName val="PT PEP UBEP TANJUNG"/>
      <sheetName val="PT PEP PONDOK TENGAH"/>
      <sheetName val="PT PEP PPGJ"/>
      <sheetName val="PT PEP PPGM"/>
      <sheetName val="PT PEP EOR SUMATERA"/>
      <sheetName val="PT PEP EOR JAWA"/>
      <sheetName val="PT PEP EOR KTI "/>
      <sheetName val="PT PEP Cepu"/>
      <sheetName val="PT PEP Randu Gunting"/>
      <sheetName val="PT PERTAGAS"/>
      <sheetName val="PT PHE"/>
      <sheetName val="PT PGE"/>
      <sheetName val="PT PDSI"/>
      <sheetName val="ABI Konsolidasi Dit. Hilir"/>
      <sheetName val="REKAP DIT PENGOLAHAN"/>
      <sheetName val="KP Pengolahan"/>
      <sheetName val="PenLab"/>
      <sheetName val="UP VII Sorong"/>
      <sheetName val="REKAP BID. PEMASARAN"/>
      <sheetName val="KP PEMASARAN"/>
      <sheetName val="UPMS I"/>
      <sheetName val="UPMS II"/>
      <sheetName val="UPMS III"/>
      <sheetName val="UPMS IV"/>
      <sheetName val="UPMS V"/>
      <sheetName val="UPMS VI"/>
      <sheetName val="UPMS VII"/>
      <sheetName val="UPMS VIII"/>
      <sheetName val="BID. PERKAPALAN"/>
      <sheetName val="DIT.UMUM"/>
      <sheetName val="PRA PROYEK (PP)"/>
      <sheetName val="WERK_x0005_"/>
      <sheetName val="N1 Lead"/>
      <sheetName val="resume AP"/>
      <sheetName val="Details AP per "/>
      <sheetName val="Vendoras30nov2003"/>
      <sheetName val="AP intercompany"/>
      <sheetName val="GRIR"/>
      <sheetName val="SUROL"/>
      <sheetName val="advancevendoras30nov2003"/>
      <sheetName val="APNov2003"/>
      <sheetName val="Trash"/>
      <sheetName val="Trash2"/>
      <sheetName val="Trash3"/>
      <sheetName val="START HERE"/>
      <sheetName val="Co. Profile &amp; Comp Practices"/>
      <sheetName val="CoProfile_table"/>
      <sheetName val="Corporate Benchmark"/>
      <sheetName val="StartPay_table"/>
      <sheetName val="Graduate Starting Salaries"/>
      <sheetName val="Pension Plan Details"/>
      <sheetName val="Indonesia"/>
      <sheetName val="JOB_CODE"/>
      <sheetName val="FAI-1"/>
      <sheetName val="EP 21-0"/>
      <sheetName val="Jr-01-Nop"/>
      <sheetName val="Jr-02-Nop"/>
      <sheetName val="Jr-01-Nop-Revisi"/>
      <sheetName val="Jr-02-Nop-Revisi"/>
      <sheetName val="Jr-01-Des"/>
      <sheetName val="Jr-02-Des"/>
      <sheetName val="EP 21-1"/>
      <sheetName val="EP21-2"/>
      <sheetName val="EP 21-3"/>
      <sheetName val="KDC 21-0"/>
      <sheetName val="KDC21-1"/>
      <sheetName val="KDC 21-3"/>
      <sheetName val="PERSTRUKTUR"/>
      <sheetName val="REV.PERSTRUKTUR"/>
      <sheetName val="ICP2007"/>
      <sheetName val="return-04"/>
      <sheetName val="LOGO"/>
      <sheetName val="Rekap_Usul_"/>
      <sheetName val="BD1 (bln)"/>
      <sheetName val="BD2 (bln)"/>
      <sheetName val="TAM SUMBAGUT"/>
      <sheetName val="TAM SUMBAGSEL"/>
      <sheetName val="REGION I"/>
      <sheetName val="TAM JBB"/>
      <sheetName val="TAM JBT"/>
      <sheetName val="REGION II"/>
      <sheetName val="REGION III"/>
      <sheetName val="TAM KALIMANTAN"/>
      <sheetName val="TAM SULAWESI"/>
      <sheetName val="TAM MAL PAP"/>
      <sheetName val="REGION IV"/>
      <sheetName val="MilestonesOnTimeOnBudget"/>
      <sheetName val="ADJ 2007"/>
      <sheetName val="ADJ2006"/>
      <sheetName val="ADJ2008"/>
      <sheetName val="PV"/>
      <sheetName val="classification"/>
      <sheetName val="pvadata adj"/>
      <sheetName val="PV CONSOL 2008"/>
      <sheetName val="PV CONSOL 2007"/>
      <sheetName val="2007-2008 STARCOM"/>
      <sheetName val="SC CAT"/>
      <sheetName val="CATEGORY"/>
      <sheetName val="145.60.003"/>
      <sheetName val="235.10.002"/>
      <sheetName val="235.10.003"/>
      <sheetName val="235.10.004"/>
      <sheetName val="235.10.005"/>
      <sheetName val="O2-Inc23"/>
      <sheetName val="O3-Inc25&amp;29"/>
      <sheetName val="O4-WHT21"/>
      <sheetName val="O5-WHT23,26,4(2)"/>
      <sheetName val="O5.1"/>
      <sheetName val="O7 TaxExpsr"/>
      <sheetName val="O6-STP"/>
      <sheetName val="Month"/>
      <sheetName val="coa-amps"/>
      <sheetName val="coahyp-pl"/>
      <sheetName val="coa sub"/>
      <sheetName val="coahyp-all"/>
      <sheetName val="OP111"/>
      <sheetName val="psi"/>
      <sheetName val="%psi"/>
      <sheetName val="PL-R"/>
      <sheetName val="hyp PL"/>
      <sheetName val="ID REPORT"/>
      <sheetName val="Detail Calc 05"/>
      <sheetName val="F.Adj"/>
      <sheetName val="Art.17"/>
      <sheetName val="F.Adj Allocation"/>
      <sheetName val="BIK update"/>
      <sheetName val="Fiscal Assets Summary"/>
      <sheetName val="2001s Calculation"/>
      <sheetName val="Disposal@fiscal"/>
      <sheetName val="add-2002"/>
      <sheetName val="XREF"/>
      <sheetName val="HF"/>
      <sheetName val="Prod Orig."/>
      <sheetName val="HF Orig."/>
      <sheetName val="Location_Details"/>
      <sheetName val="Account_Sets"/>
      <sheetName val="Accounts"/>
      <sheetName val="B9 Margin"/>
      <sheetName val="COGS1"/>
      <sheetName val="COGS2"/>
      <sheetName val="COGS3"/>
      <sheetName val="Std"/>
      <sheetName val="BS-Consol"/>
      <sheetName val="PL-Consol"/>
      <sheetName val="A3 LB Details 08"/>
      <sheetName val="AJE-SRI 08"/>
      <sheetName val="PV Data"/>
      <sheetName val="BS-SC "/>
      <sheetName val="PL-SC"/>
      <sheetName val="AJE-SC"/>
      <sheetName val="Journal"/>
      <sheetName val="Journal (2)"/>
      <sheetName val="AR-AP"/>
      <sheetName val="Posting"/>
      <sheetName val="COB"/>
      <sheetName val="Interco AR ID9080"/>
      <sheetName val="Interco AP ID9080"/>
      <sheetName val="Interco AR SG8152"/>
      <sheetName val="Interco AP SG8152"/>
      <sheetName val="IC AP"/>
      <sheetName val="Interco List"/>
      <sheetName val="F1771-IA"/>
      <sheetName val="Depreciation  schedule "/>
      <sheetName val="Attach"/>
      <sheetName val="fiscal depr(E)"/>
      <sheetName val="fiscal depr. (I)"/>
      <sheetName val="supervision"/>
      <sheetName val="Rounding off"/>
      <sheetName val="addition-assets"/>
      <sheetName val="Pre-Op"/>
      <sheetName val="2%donat"/>
      <sheetName val="details fiscal adjustments"/>
      <sheetName val="rekonFA"/>
      <sheetName val="Sum empcost"/>
      <sheetName val="Marshal 2"/>
      <sheetName val="Lampiran "/>
      <sheetName val="F!771-V"/>
      <sheetName val="SChDepr"/>
      <sheetName val="rINGKASANdEPRESIASI"/>
      <sheetName val="F1771- III"/>
      <sheetName val="F1771- V"/>
      <sheetName val="Gain FA"/>
      <sheetName val="WP- Lain"/>
      <sheetName val="sAL-REC"/>
      <sheetName val="F 1771-IV"/>
      <sheetName val="F 1771-V"/>
      <sheetName val="F 1771-VI"/>
      <sheetName val="Int-exp"/>
      <sheetName val="Art. 23 recons"/>
      <sheetName val="ppH25 &amp; PROVISION"/>
      <sheetName val="BIK-NDE"/>
      <sheetName val="F1771-II."/>
      <sheetName val="F1771-V."/>
      <sheetName val="PPh 21 Recon"/>
      <sheetName val="fiscal corr"/>
      <sheetName val="Depr-2002"/>
      <sheetName val="FA-gainloss (2)"/>
      <sheetName val="4th of 2001 (2)"/>
      <sheetName val="sum-korfisk"/>
      <sheetName val="list-1"/>
      <sheetName val="list-1 (2)"/>
      <sheetName val="withholding tax"/>
      <sheetName val="depr 2002"/>
      <sheetName val="additional (2)"/>
      <sheetName val="additional (3)"/>
      <sheetName val="additional (4)"/>
      <sheetName val="m-galant"/>
      <sheetName val="BS-Lampiran 1"/>
      <sheetName val="Summary of Fiscal Depreciations"/>
      <sheetName val="Penyusutan - E"/>
      <sheetName val="MArshall-E"/>
      <sheetName val="Lampiran2000"/>
      <sheetName val="Attachment2000"/>
      <sheetName val="PPH 17"/>
      <sheetName val="Art.25 Inst. (I)"/>
      <sheetName val="rekon-FA"/>
      <sheetName val="Recon 2007"/>
      <sheetName val="Cutoff bank"/>
      <sheetName val="E.1 Aging Receivable"/>
      <sheetName val="E.1a Recon AR 08"/>
      <sheetName val="E.1.14Detail AR Others"/>
      <sheetName val="E.1.1 Detail SMART telecom"/>
      <sheetName val="E.1.2 Detail TVS"/>
      <sheetName val="E.1.3 Detail P&amp;G"/>
      <sheetName val="E.1.4 Detail STB"/>
      <sheetName val="E.1.5 Detail Samsung"/>
      <sheetName val="E.1.6 Detail Bayer"/>
      <sheetName val="E.1.7 Detail PT Mead Johnson"/>
      <sheetName val="E.1.8 Detail Emirates"/>
      <sheetName val="E.1.9 Detail Richemont Lux"/>
      <sheetName val="E.1.10 Detail Western Union"/>
      <sheetName val="E.1.11 Detail Perfetti "/>
      <sheetName val="E.1.12 Detail UOB"/>
      <sheetName val="E.1.13 Detail Iniatiative,etc"/>
      <sheetName val="E.2 AR Billable"/>
      <sheetName val="wipdetail"/>
      <sheetName val="E.2.1 P&amp;G"/>
      <sheetName val="E.2.2 Smart Telecom"/>
      <sheetName val="E.2.3 Samsung"/>
      <sheetName val="E.2.4 Perfetti"/>
      <sheetName val="E.2.5 STB"/>
      <sheetName val="E.2.6 Mead Johnson"/>
      <sheetName val="E.2.7 Emirates"/>
      <sheetName val="E.2.8 PT Bayer"/>
      <sheetName val="E.2.9 TVS Motor"/>
      <sheetName val="E.2.10 SC Malaysia"/>
      <sheetName val="E.2.11 Richemont"/>
      <sheetName val="E.3 Client Prepayment"/>
      <sheetName val="E.4 WIP"/>
      <sheetName val="E.5 Cut off"/>
      <sheetName val="EE.Confirmation Control"/>
      <sheetName val="EE.2.1 Recon VanMelle"/>
      <sheetName val="EE.3.1 Recon PT Bayer"/>
      <sheetName val="E.3 - Client Prepayment"/>
      <sheetName val="CIT LB 08"/>
      <sheetName val="Mutation 2008"/>
      <sheetName val="BS-PL"/>
      <sheetName val="CONSOLIDATION"/>
      <sheetName val="CLA 2008"/>
      <sheetName val="CLA WIP 2008"/>
      <sheetName val="A3 2007 LB + Starcom "/>
      <sheetName val="A3 2007 Audited"/>
      <sheetName val="Audit Adj 2008"/>
      <sheetName val="Cover Reporting Package"/>
      <sheetName val="1-Cash"/>
      <sheetName val="2-Nostro"/>
      <sheetName val="2.1 Nostro Reconcilation"/>
      <sheetName val="3-Placement"/>
      <sheetName val="4-Marketable securities"/>
      <sheetName val="4.1 List of Sales - MS"/>
      <sheetName val="4.2-MS-maturity date"/>
      <sheetName val="5-Trade Document"/>
      <sheetName val="6-Reverse repo"/>
      <sheetName val="7-derivatives"/>
      <sheetName val="8-Loan"/>
      <sheetName val="8.1-loan detail"/>
      <sheetName val="9-acceptance receivable"/>
      <sheetName val="10-Shares investment"/>
      <sheetName val="11-Fixed assets"/>
      <sheetName val="12-Other assets"/>
      <sheetName val="12.1-Deferred tax"/>
      <sheetName val="12.2-Corp.inc.tax rec.-payable"/>
      <sheetName val="13-Deposit"/>
      <sheetName val="14-Placement &amp; fund borrowing"/>
      <sheetName val="15-Securities issued"/>
      <sheetName val="16-Repo"/>
      <sheetName val="17-acceptance liability"/>
      <sheetName val="18-Accrued exp"/>
      <sheetName val="19-Other liabilities"/>
      <sheetName val="20-Commitments"/>
      <sheetName val="21-Subord.loan"/>
      <sheetName val="22-Loan capital"/>
      <sheetName val="IS_Support"/>
      <sheetName val="Comm&amp; Cont.loss est."/>
      <sheetName val="SoC in Equity"/>
      <sheetName val="Cash Flows"/>
      <sheetName val="Addiional Info - Avg i rate"/>
      <sheetName val="Additional_info"/>
      <sheetName val="load"/>
      <sheetName val="Anuitet"/>
      <sheetName val="N.1 Aging AP"/>
      <sheetName val="N.1.1 Detail AP"/>
      <sheetName val="N.2 Accrued WIP"/>
      <sheetName val="N.3 PSI"/>
      <sheetName val="N.4 Cut Off"/>
      <sheetName val="N.4 SURL"/>
      <sheetName val="Supplier info"/>
      <sheetName val="Over 121 days"/>
      <sheetName val="ad"/>
      <sheetName val="D.1.8 Unrealized Gain-Equity"/>
      <sheetName val="D.1.8.1 Test of Unrealized Gain"/>
      <sheetName val="D.1.9 Real-Unreal Gain-P&amp;L"/>
      <sheetName val="D.1.9.1 test unreal MS-tra"/>
      <sheetName val="D.1.9.2 test unreal GB-tra"/>
      <sheetName val="D.1.9.3 PBC Unrealized"/>
      <sheetName val="D.1.9.4 Realized Gain MS"/>
      <sheetName val="D.1.9.3List SaleAFS &amp; MatureHTM"/>
      <sheetName val="D.19.4 List of Sale-SBI"/>
      <sheetName val="D.1.9.5 List of Sale-Trading"/>
      <sheetName val="D.1.9.6 List of Sale-Overseas"/>
      <sheetName val="D.1.9.5List SaleAFS &amp; MatureHTM"/>
      <sheetName val="D.1.9.6 List of Sale-SBI"/>
      <sheetName val="D.1.9.7 List of Sale-Trading"/>
      <sheetName val="D.1.9.8 List of Sale-Overseas"/>
      <sheetName val="D.1.9.4 List Sale-Pak Cecep"/>
      <sheetName val="D.1.9.5 List of Sale SBI"/>
      <sheetName val="D.1.9.6 List of Sale CIB"/>
      <sheetName val="2.1 Nostro Reconciliation"/>
      <sheetName val="4.1 List of Sale - MS"/>
      <sheetName val="4.1-MS-maturity date"/>
      <sheetName val="7.1 Additional Info"/>
      <sheetName val="NCL"/>
      <sheetName val="PPAP CALC"/>
      <sheetName val="D1 memo"/>
      <sheetName val="D1 a Lead Consol"/>
      <sheetName val="D1 b Portfolio Consol"/>
      <sheetName val="D1 b.1 Summary Portfolio"/>
      <sheetName val="D1 c Elimination"/>
      <sheetName val="D1 c.1 BMEL MS"/>
      <sheetName val="D1 c.2 Mandsek MS"/>
      <sheetName val="D1 c.3 BSM MS"/>
      <sheetName val="D1 c.4 PIM MS"/>
      <sheetName val="D1 c.5 UGBDN MS"/>
      <sheetName val="D1 d Lead Bank only"/>
      <sheetName val="D1 d.1-GL corr"/>
      <sheetName val="D1.0 ARPs Unaudited"/>
      <sheetName val="D1.0 ARPs Audited"/>
      <sheetName val="D1.1 Portfolio Bank Only"/>
      <sheetName val="D1.2 SBI portfolio"/>
      <sheetName val="D1.2.1 SBI S4"/>
      <sheetName val="D1.3 MS HO"/>
      <sheetName val="D1.4.1 MS HK"/>
      <sheetName val="D1.4.2 MS S'pore"/>
      <sheetName val="D1.4.3 MS CIB"/>
      <sheetName val="D1.5.1 HTM Movt-HO"/>
      <sheetName val="D1.5.2 HTM Movt-CIB"/>
      <sheetName val="D1.5.3 HTM Movt-Spore"/>
      <sheetName val="D.1.5.4 HTM Movt-HK"/>
      <sheetName val="D.1.5.5 HTM Movt-BMEL"/>
      <sheetName val="D1.6 Memo on PPAP"/>
      <sheetName val="D1.6a Lead PPAP"/>
      <sheetName val="D1.6b GL Cor PPAP"/>
      <sheetName val="D1.6.1 PPAP analysis scen1"/>
      <sheetName val="D1.6.1 PPAP analysis scen2"/>
      <sheetName val="PPAP Subs"/>
      <sheetName val="D1.6.7 Memo on Reksadana"/>
      <sheetName val="D1.6.8 PPAP Movt CONSOL"/>
      <sheetName val="D1.6.1 PPAP analysis"/>
      <sheetName val="D1 Report form 2005"/>
      <sheetName val="D1 Report form 2004"/>
      <sheetName val="D1 c.1-GL corr"/>
      <sheetName val="D1.6.1.1 PPAP Subs"/>
      <sheetName val="D1.6.8 Movement PPAP"/>
      <sheetName val="D1 c.4 PIM MS ok"/>
      <sheetName val="R11"/>
      <sheetName val="jv19"/>
      <sheetName val="jv18"/>
      <sheetName val="jv17"/>
      <sheetName val="jv1 -1"/>
      <sheetName val="R6-1"/>
      <sheetName val="R11-1"/>
      <sheetName val="jv18-1"/>
      <sheetName val="jv17-1"/>
      <sheetName val="jv16-1"/>
      <sheetName val="jv20-1"/>
      <sheetName val="JV23-1208"/>
      <sheetName val="jv16-1208"/>
      <sheetName val="JV27-1208"/>
      <sheetName val="JV11-0208"/>
      <sheetName val="JV17-1208"/>
      <sheetName val="JV16 Mar"/>
      <sheetName val="JV16 Feb"/>
      <sheetName val="jv02"/>
      <sheetName val="jv20"/>
      <sheetName val="PREPAID EXP 2"/>
      <sheetName val="GL Prepaid Exp feb09-2"/>
      <sheetName val="GL Prepaid Exp feb09-final"/>
      <sheetName val="EMP LIST"/>
      <sheetName val="PSI MEDICAL 2008"/>
      <sheetName val="GL 117010 Jan09"/>
      <sheetName val="GL Office Jan09"/>
      <sheetName val="GL Housing Feb09"/>
      <sheetName val="GL Office Feb09"/>
      <sheetName val="GL Housing 0309"/>
      <sheetName val="GL Office 0309"/>
      <sheetName val="HOUSING 2010"/>
      <sheetName val="JV1 HOUSING"/>
      <sheetName val="square m"/>
      <sheetName val="JV1OFFICE"/>
      <sheetName val="OFFICE 2010"/>
      <sheetName val="JV1 PREPAID EXP 2"/>
      <sheetName val="JV1 PREPAID EXP 3"/>
      <sheetName val="DPKK"/>
      <sheetName val="JV-Goodwill"/>
      <sheetName val="COA NEW"/>
      <sheetName val="JV1PREPAID EXP 2010"/>
      <sheetName val="revisionLB"/>
      <sheetName val="January 2010"/>
      <sheetName val="January 2010a"/>
      <sheetName val="PV PREPAID UTK BCC"/>
      <sheetName val="DATA UTK DIV"/>
      <sheetName val="CIT2009"/>
      <sheetName val="TBMetroSep06"/>
      <sheetName val="TBPMOct07"/>
      <sheetName val="SAD PM"/>
      <sheetName val="SAD IME"/>
      <sheetName val="BS-PM"/>
      <sheetName val="PL-PM"/>
      <sheetName val="Corp Tax Publicis"/>
      <sheetName val="AJE-PM"/>
      <sheetName val="TBIMEOct07"/>
      <sheetName val="TBPM09"/>
      <sheetName val="BS-OP"/>
      <sheetName val="PL-OP"/>
      <sheetName val="Corp Tax OPTI"/>
      <sheetName val="AJE-OPT"/>
      <sheetName val="TB Opti Sep"/>
      <sheetName val="TBSeptDialog06"/>
      <sheetName val="TBIME09"/>
      <sheetName val="BS-PD"/>
      <sheetName val="PL-PD"/>
      <sheetName val="Corp Tax Dialog"/>
      <sheetName val="AJE-PD"/>
      <sheetName val="Rounding"/>
      <sheetName val="MAT USD"/>
      <sheetName val="Report New"/>
      <sheetName val="Combined FS053 &amp; FS156"/>
      <sheetName val="FS053"/>
      <sheetName val="FS156"/>
      <sheetName val="For LLD"/>
      <sheetName val="Orig. Yulius"/>
      <sheetName val="RM1"/>
      <sheetName val="RM2"/>
      <sheetName val="SM3"/>
      <sheetName val="Others Out"/>
      <sheetName val="Accpac1"/>
      <sheetName val="Location_Details (2)"/>
      <sheetName val="Profit &amp; Loss (3)"/>
      <sheetName val="BS-PL Indo 2006"/>
      <sheetName val="L.MAR08"/>
      <sheetName val="L.JAN09"/>
      <sheetName val="L.FEB09"/>
      <sheetName val="L.Mar09"/>
      <sheetName val="PL 2008"/>
      <sheetName val="PL Movement"/>
      <sheetName val="PL RF"/>
      <sheetName val="Memo POL"/>
      <sheetName val="Interest-FR"/>
      <sheetName val="POL-FR"/>
      <sheetName val="UC-POL"/>
      <sheetName val="UC4"/>
      <sheetName val="UC5"/>
      <sheetName val="UC6"/>
      <sheetName val="UC7"/>
      <sheetName val="UC8"/>
      <sheetName val="UC8.1.1"/>
      <sheetName val="BOL-FR"/>
      <sheetName val="VE-BOL"/>
      <sheetName val="VE1"/>
      <sheetName val="VE2"/>
      <sheetName val="VE3"/>
      <sheetName val="VE4"/>
      <sheetName val="VE5"/>
      <sheetName val="VE6"/>
      <sheetName val="VE6.1"/>
      <sheetName val="VE7"/>
      <sheetName val="VE8"/>
      <sheetName val="VE9"/>
      <sheetName val="VE10"/>
      <sheetName val="VE11"/>
      <sheetName val="VE12"/>
      <sheetName val="VE13"/>
      <sheetName val="VE14"/>
      <sheetName val="VE15"/>
      <sheetName val="VE16"/>
      <sheetName val="VE17"/>
      <sheetName val="VE18"/>
      <sheetName val="VE19"/>
      <sheetName val="VE20"/>
      <sheetName val="VE21"/>
      <sheetName val="VE22"/>
      <sheetName val="914134"/>
      <sheetName val="912215"/>
      <sheetName val="914603"/>
      <sheetName val="FR-NOIE"/>
      <sheetName val="UE-NOIE"/>
      <sheetName val="UE1"/>
      <sheetName val="UE2"/>
      <sheetName val="UE4"/>
      <sheetName val="UE3"/>
      <sheetName val="UE5"/>
      <sheetName val="UE6"/>
      <sheetName val="UE7"/>
      <sheetName val="UE8"/>
      <sheetName val="CIT2007"/>
      <sheetName val="Cash flow Consol"/>
      <sheetName val="CorpPM"/>
      <sheetName val="TBPM07"/>
      <sheetName val="CorpOpti"/>
      <sheetName val="TBOP07"/>
      <sheetName val="AJE-OP"/>
      <sheetName val="Corp-PD"/>
      <sheetName val="TBPD07"/>
      <sheetName val="E.7.7.1 Memo"/>
      <sheetName val="E.7.7.1 Summary"/>
      <sheetName val="E.7.7.1"/>
      <sheetName val="1. Batik Danar Hadi"/>
      <sheetName val="2. Kusumahadi Santosa"/>
      <sheetName val="3. Kusumaputra Santosa"/>
      <sheetName val="4. Filamindo"/>
      <sheetName val="5.DuRen 6.MelTim 20.AbaGen "/>
      <sheetName val="7.a PII"/>
      <sheetName val="7.b PII"/>
      <sheetName val="7.c PII"/>
      <sheetName val="7.d PII"/>
      <sheetName val="8.b CAK (KI-1)"/>
      <sheetName val="8.c CAK (KI-3)"/>
      <sheetName val="8.d CAK (KI-1)"/>
      <sheetName val="8.e CAK (KI-IDC)"/>
      <sheetName val="8.f CAK (KMK)"/>
      <sheetName val="9. Manguni Garden Hotel"/>
      <sheetName val="10. Zeus"/>
      <sheetName val="11. RAPP and 12.RAK"/>
      <sheetName val="13. PIM"/>
      <sheetName val="13.PIM not update"/>
      <sheetName val="13.a PIM KMK not update"/>
      <sheetName val="14.d KDI-KI"/>
      <sheetName val="14.f KDI (KI-IDC)"/>
      <sheetName val="14.g KDI (KI-1)"/>
      <sheetName val="15. Indogas Raya Utama"/>
      <sheetName val="16.b Krakatau Wajatama (KI)"/>
      <sheetName val="16.c Krakatau Wajatama (KI IDC)"/>
      <sheetName val="17.a Bhineka Cipta Manunggal"/>
      <sheetName val="17.b Bhineka Cipta Manunggal"/>
      <sheetName val="17.c Bhineka Cipta Manunggal"/>
      <sheetName val="17.d Bhineka Cipta Manunggal"/>
      <sheetName val="17.e Bhineka Cipta Manunggal"/>
      <sheetName val="17.f Bhineka Cipta Manunggal"/>
      <sheetName val="18. a Gunatex-IDR"/>
      <sheetName val="18. b Gunatex - USD"/>
      <sheetName val="19.a World Yamatex"/>
      <sheetName val="19.b World Yamatex"/>
      <sheetName val="19.c World Yamatex"/>
      <sheetName val="19.d World Yamatex"/>
      <sheetName val="19.e World Yamatex"/>
      <sheetName val="21. Sambu Sakti Sawmill"/>
      <sheetName val="22. Surya Bumi Agrolangeng"/>
      <sheetName val="23BuktPalg,24WirBh,30BMF,31BBM"/>
      <sheetName val="25. Jakaranatama"/>
      <sheetName val="26. Hasnur Coal Terminal"/>
      <sheetName val="28.a Griya Pesona Mandiri"/>
      <sheetName val="28.b Griya Pesona Mandiri"/>
      <sheetName val="29. Pandega Citra Niaga"/>
      <sheetName val="32.Star Cosmos"/>
      <sheetName val="33. Shamrock Manufacturing Corp"/>
      <sheetName val="34. Fajar Sun Master"/>
      <sheetName val="35. Semen Bosowa Maros"/>
      <sheetName val="36.Riau Sakti United Pl - IDR"/>
      <sheetName val="36. Riau Sakti United Pl - USD"/>
      <sheetName val="37. Haloni Jane"/>
      <sheetName val="HJ"/>
      <sheetName val="bjd"/>
      <sheetName val="List of Debtor not incld in MAR"/>
      <sheetName val="Middle UMN"/>
      <sheetName val="Queries"/>
      <sheetName val="Summary based on outstanding"/>
      <sheetName val="E.7.7.1 Summary OLD"/>
      <sheetName val="Resume AR"/>
      <sheetName val="Pivot Tabel"/>
      <sheetName val="bs-idr"/>
      <sheetName val="BS-U$"/>
      <sheetName val="PL-U$"/>
      <sheetName val="DIFF ON CONV"/>
      <sheetName val="CF 2006_for_report"/>
      <sheetName val="A3 Jambi + Mandoge"/>
      <sheetName val="SRM-BS"/>
      <sheetName val="SRM - WPL"/>
      <sheetName val="PL-JBI"/>
      <sheetName val="PLN-MDG"/>
      <sheetName val="TB Jambi"/>
      <sheetName val="TB Mandoge"/>
      <sheetName val="A3 Jun06"/>
      <sheetName val="RM"/>
      <sheetName val="OB'05-PM"/>
      <sheetName val="CKG-TRF04"/>
      <sheetName val="BDG-TRF04"/>
      <sheetName val="Purchase Detail"/>
      <sheetName val="Vol SFR'04(CKG)"/>
      <sheetName val="Vol SRF '04 (BDG)"/>
      <sheetName val="Price OB'04-CKG"/>
      <sheetName val="OB 04RM"/>
      <sheetName val="SRF04"/>
      <sheetName val="TRF04"/>
      <sheetName val="Packmat"/>
      <sheetName val="MRP SRF04 vol"/>
      <sheetName val="PSP"/>
      <sheetName val="E ARPs"/>
      <sheetName val="E.1.1 Subsequent Received AR"/>
      <sheetName val="E.1.2 Unbilled Media"/>
      <sheetName val="E.1.3 Accrued Revenue"/>
      <sheetName val="E.2 Others"/>
      <sheetName val="E.3 AR Related Parties"/>
      <sheetName val="E.4 AR Cut Off"/>
      <sheetName val="E.5 Inv 2010 were inv in 2011"/>
      <sheetName val="EE.3"/>
      <sheetName val="Project Dec tp invoice 2011"/>
      <sheetName val="RECKITT"/>
      <sheetName val="GOODYEAR"/>
      <sheetName val="BNI'46"/>
      <sheetName val="BRI SYARIAH"/>
      <sheetName val="PASEO"/>
      <sheetName val="WYETH"/>
      <sheetName val="HYUNDAI"/>
      <sheetName val="PANASONIC"/>
      <sheetName val="URC"/>
      <sheetName val="DOPOD"/>
      <sheetName val="APPLE RESELLER"/>
      <sheetName val="PERTAMINA-PASTI PAS"/>
      <sheetName val="PERTAMINA-CORPORATE"/>
      <sheetName val="PERTAMINA-PELUMAS"/>
      <sheetName val="ESIA"/>
      <sheetName val="Standard Chartered"/>
      <sheetName val="HP-IPG"/>
      <sheetName val="HP-PSG"/>
      <sheetName val="HP-TSG"/>
      <sheetName val="HBO ASIA"/>
      <sheetName val="PUMA"/>
      <sheetName val="GAGA MIE"/>
      <sheetName val="MACRO KIOS"/>
      <sheetName val="HOLCIM"/>
      <sheetName val="ACTAVIS"/>
      <sheetName val="SONY"/>
      <sheetName val="VITACIMIN"/>
      <sheetName val="TOYOTA (AVANZA)"/>
      <sheetName val="TOYOTA (LEXUS)"/>
      <sheetName val="PSB"/>
      <sheetName val="MSIG"/>
      <sheetName val="BioCalci-72"/>
      <sheetName val="AXIS"/>
      <sheetName val="CBD BSD"/>
      <sheetName val="X MILD"/>
      <sheetName val="STARMILD"/>
      <sheetName val="SEJATI"/>
      <sheetName val="BIRU"/>
      <sheetName val="RAWIT"/>
      <sheetName val="CORPORATE"/>
      <sheetName val="NEO MILD"/>
      <sheetName val="TIKI"/>
      <sheetName val="TV MART"/>
      <sheetName val="VELVET"/>
      <sheetName val="Nature"/>
      <sheetName val="Lead Consol FA"/>
      <sheetName val="ARPs"/>
      <sheetName val="cost-biijkt"/>
      <sheetName val="accum-biijkt"/>
      <sheetName val="COST-BIIFCJKT"/>
      <sheetName val="ACC-BIIFCJKT"/>
      <sheetName val="Cost-WOM"/>
      <sheetName val="Accum-WOM"/>
      <sheetName val="Consol Movement FA"/>
      <sheetName val="Map WP"/>
      <sheetName val="ACC.DEPR"/>
      <sheetName val="COST-BIIFCHK"/>
      <sheetName val="ACC-BIIFCHK"/>
      <sheetName val="Ass Dec2007"/>
      <sheetName val="FCJ"/>
      <sheetName val="WOM"/>
      <sheetName val="AK.TTP"/>
      <sheetName val="AK.TTP2"/>
      <sheetName val="Premi 2009-2010"/>
      <sheetName val="Exch_rate"/>
      <sheetName val="I_BS"/>
      <sheetName val="1_Cash"/>
      <sheetName val="2_Current accounts with BI"/>
      <sheetName val="3_Current accounts w other bank"/>
      <sheetName val="4_Placement"/>
      <sheetName val="4_cont_d"/>
      <sheetName val="5_Marketable securities"/>
      <sheetName val="5_MS_maturity date _cont_d_"/>
      <sheetName val="6_Government bonds"/>
      <sheetName val="6_Gov bonds _cont_d_"/>
      <sheetName val="7_Reverse repo"/>
      <sheetName val="8_derivatives"/>
      <sheetName val="9_Loan"/>
      <sheetName val="9_1_loan detail"/>
      <sheetName val="10_Consumer Finance"/>
      <sheetName val="10_1_ _ Cons Fin Details"/>
      <sheetName val="11_acceptance receivable"/>
      <sheetName val="12_Investments in Share"/>
      <sheetName val="13_Deferred tax"/>
      <sheetName val="14_Fixed assets"/>
      <sheetName val="15_Accrued Income"/>
      <sheetName val="16_Prepayments"/>
      <sheetName val="17_Other assets"/>
      <sheetName val="18_Corp_inc_tax rec__payable"/>
      <sheetName val="19_ Obligations due immediately"/>
      <sheetName val="20_Deposits from customers"/>
      <sheetName val="21_Deposits from Other Banks"/>
      <sheetName val="22_Repo"/>
      <sheetName val="23_acceptance liabilities"/>
      <sheetName val="24_Securities Issued"/>
      <sheetName val="25_Fund borrowing"/>
      <sheetName val="26_Est_Comm__Cont"/>
      <sheetName val="27_Accrued exp"/>
      <sheetName val="28_Lease Payable"/>
      <sheetName val="29_Other liabilities"/>
      <sheetName val="30_Subordinated loans"/>
      <sheetName val="II_IS"/>
      <sheetName val="II_1_IS_Support"/>
      <sheetName val="III_SoC in Equity"/>
      <sheetName val="IV_Cash Flows"/>
      <sheetName val="V_a_Com__ Con"/>
      <sheetName val="V_c_NOP"/>
      <sheetName val="V_b_Employee Benefits"/>
      <sheetName val="V_d_Foreign Ccy Transaction"/>
      <sheetName val="V_e_Related Parties"/>
      <sheetName val="V_f_Maturity Profile"/>
      <sheetName val="V_g_ Add Info_Avg i rate"/>
      <sheetName val="VI_a_Loan _By type_"/>
      <sheetName val="VI_b_Loans by Int _ Profit rate"/>
      <sheetName val="VI_c_NPL Movement"/>
      <sheetName val="VI_d_Derivatives"/>
      <sheetName val="VI_e_FA Movement"/>
      <sheetName val="VI_g_Prepaid lease movt"/>
      <sheetName val="VI_h_Inv Property movt"/>
      <sheetName val="VI_i_1_Deferred tax 1"/>
      <sheetName val="VI_i_2_Deferred tax 2"/>
      <sheetName val="VI_j_ All on loan and fin"/>
      <sheetName val="VI_k_ Key mgmt personnel comp"/>
      <sheetName val="VI_l_1_ Directors remuneration1"/>
      <sheetName val="VI_l_2_ Directors remuneration2"/>
      <sheetName val="VI_m_ Taxation"/>
      <sheetName val="VI.n. Interest rate risks"/>
      <sheetName val="VI_o_1_ FX Risk 1"/>
      <sheetName val="VI_o_2_ FX Risk 2"/>
      <sheetName val="VI.p. PRR"/>
      <sheetName val="VI.q. Fair value BS"/>
      <sheetName val="2-Current accounts with BI"/>
      <sheetName val="3-Current accounts w other bank"/>
      <sheetName val="4-Placement"/>
      <sheetName val="4-cont'd"/>
      <sheetName val="5-Marketable securities"/>
      <sheetName val="5-MS-maturity date (cont'd)"/>
      <sheetName val="6-Government bonds"/>
      <sheetName val="6-Gov bonds (cont'd)"/>
      <sheetName val="7-Reverse repo"/>
      <sheetName val="8-derivatives"/>
      <sheetName val="9-Loan"/>
      <sheetName val="9.1-loan detail"/>
      <sheetName val="10-Consumer Finance"/>
      <sheetName val="10.1. - Cons Fin Details"/>
      <sheetName val="11-acceptance receivable"/>
      <sheetName val="12-Investments in Share"/>
      <sheetName val="13-Deferred tax"/>
      <sheetName val="14-Fixed assets"/>
      <sheetName val="15-Accrued Income"/>
      <sheetName val="16-Prepayments"/>
      <sheetName val="17-Other assets"/>
      <sheetName val="18-Corp.inc.tax rec.-payable"/>
      <sheetName val="19- Obligations due immediately"/>
      <sheetName val="20-Deposits from customers"/>
      <sheetName val="21-Deposits from Other Banks"/>
      <sheetName val="22-Repo"/>
      <sheetName val="23-acceptance liabilities"/>
      <sheetName val="24-Securities Issued"/>
      <sheetName val="25-Fund borrowing"/>
      <sheetName val="26-Est.Comm.&amp;Cont"/>
      <sheetName val="27-Accrued exp"/>
      <sheetName val="28-Lease Payable"/>
      <sheetName val="29-Other liabilities"/>
      <sheetName val="30-Subordinated loans"/>
      <sheetName val="II.IS"/>
      <sheetName val="II.1.IS_Support"/>
      <sheetName val="III.SoC in Equity"/>
      <sheetName val="IV.Cash Flows"/>
      <sheetName val="V.a.Com.&amp; Con"/>
      <sheetName val="V.b.Employee Benefits"/>
      <sheetName val="V.c.NOP"/>
      <sheetName val="V.d.Foreign Ccy Transaction"/>
      <sheetName val="V.e.Related Parties"/>
      <sheetName val="V.g. Add Info-Avg i rate"/>
      <sheetName val="VI.a.Loan (By type)"/>
      <sheetName val="VI.b.Loans by Int &amp; Profit rate"/>
      <sheetName val="I.BS"/>
      <sheetName val="BII &amp; Bapepam"/>
      <sheetName val="V.f.Maturity Profile"/>
      <sheetName val="VI.c.NPL Movement"/>
      <sheetName val="VI.d.Derivatives"/>
      <sheetName val="VI.e.FA Movement"/>
      <sheetName val="VI.f.Computer software movt"/>
      <sheetName val="VI.g.Prepaid lease movt"/>
      <sheetName val="VI.h.Inv Property movt"/>
      <sheetName val="VI.i.1.Deferred tax 1"/>
      <sheetName val="VI.i.2.Deferred tax 2"/>
      <sheetName val="Sale of Fixed Assets"/>
      <sheetName val="VI.j. All on loan and fin"/>
      <sheetName val="VI.k. Key mgmt personnel comp"/>
      <sheetName val="VI.l.1. Directors remuneration1"/>
      <sheetName val="VI.l.2. Directors remuneration2"/>
      <sheetName val="VI.m. Taxation"/>
      <sheetName val="VI.o.1. FX Risk 1"/>
      <sheetName val="VI.o.2. FX Risk 2"/>
      <sheetName val="Flow rate1(start Okt07)"/>
      <sheetName val="Flow rate 2 (incl data error)"/>
      <sheetName val=" WO jan 09 Backdated"/>
      <sheetName val="recovery"/>
      <sheetName val=" WO Sept 09"/>
      <sheetName val="Penambahan AYDA"/>
      <sheetName val="Pengurangan AYDA"/>
      <sheetName val="ROLLRATE SD SEP09 ORI"/>
      <sheetName val="7.1 Derivatives Details"/>
      <sheetName val="WP- Reporting"/>
      <sheetName val="WP5"/>
      <sheetName val="Repo - Reverse repo"/>
      <sheetName val="PwC"/>
      <sheetName val="SBI"/>
      <sheetName val="Syariah"/>
      <sheetName val="Other Approved Sec"/>
      <sheetName val="Securities-Nonbank"/>
      <sheetName val="REPO"/>
      <sheetName val="REPO 2"/>
      <sheetName val="status all docs (Sept)"/>
      <sheetName val="Sampel Konfirmasi"/>
      <sheetName val="Sheet5 (2)"/>
      <sheetName val="SAMPLE FINAL"/>
      <sheetName val="LOAN REVIEW DATA"/>
      <sheetName val="LOAN CONFIRMATION"/>
      <sheetName val="Pending "/>
      <sheetName val="GL --&gt; Interim"/>
      <sheetName val="Top Summary"/>
      <sheetName val="GL Input Validations"/>
      <sheetName val="Scratchpad"/>
      <sheetName val="P&amp;L1 "/>
      <sheetName val="P&amp;L GHD"/>
      <sheetName val="OPEX1"/>
      <sheetName val="Cashflow1"/>
      <sheetName val="BSheet"/>
      <sheetName val="BSheet1"/>
      <sheetName val="p&amp;l 0304"/>
      <sheetName val="p&amp;l 0405"/>
      <sheetName val="p&amp;l 0506"/>
      <sheetName val="3 P&amp;L - 3A Op.Exp"/>
      <sheetName val="4 Analysis"/>
      <sheetName val="F-1l F-2"/>
      <sheetName val="AppA1-1"/>
      <sheetName val="AppA1-2"/>
      <sheetName val="AppA2-1"/>
      <sheetName val="AppA2-2"/>
      <sheetName val="AppA3"/>
      <sheetName val="AppA4"/>
      <sheetName val="July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k-Discl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LABOUR,SUB-CON,LEASE"/>
      <sheetName val="ADM&amp; OHH INCOME"/>
      <sheetName val="S.OH"/>
      <sheetName val="F-4l5"/>
      <sheetName val="stmt of equity"/>
      <sheetName val="auditors' report"/>
      <sheetName val="Sales Cutoff"/>
      <sheetName val="Credit Note Cutoff"/>
      <sheetName val="Liabilities"/>
      <sheetName val="GroupCo"/>
      <sheetName val="fiscal rekon"/>
      <sheetName val="FIXED asset updated"/>
      <sheetName val="fa FEb 06"/>
      <sheetName val="REkap PAjak"/>
      <sheetName val="HEADER-NEW"/>
      <sheetName val="HEADER"/>
      <sheetName val="IndJan-Mar"/>
      <sheetName val="IndApr-Juni (2)"/>
      <sheetName val="IndJuly-Des"/>
      <sheetName val="Pemb Induk"/>
      <sheetName val="CONT-ALL"/>
      <sheetName val="CONT-OPR"/>
      <sheetName val="COMB. BO-NP"/>
      <sheetName val="PAR-BO"/>
      <sheetName val="COMP. PAR-BO"/>
      <sheetName val="PAR-BO in PCS"/>
      <sheetName val="BGTPL98 (BO)"/>
      <sheetName val="PAR-NP"/>
      <sheetName val="BGTPL98 (NP)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DetailCOGSNP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SELLEXP"/>
      <sheetName val="8 ADM"/>
      <sheetName val="2 NS&amp;GP(NP)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Sep-Des "/>
      <sheetName val="Flushing Feb02"/>
      <sheetName val="Flushing Mar02"/>
      <sheetName val="10 FA"/>
      <sheetName val="11 CIP"/>
      <sheetName val="12 JAPG"/>
      <sheetName val="13 BRDSTK"/>
      <sheetName val="Boxes-Monodon"/>
      <sheetName val="Boxes-Vannamei"/>
      <sheetName val="HARVEST02_Vennamei"/>
      <sheetName val="HARVEST02"/>
      <sheetName val="H3"/>
      <sheetName val="CYCLUS"/>
      <sheetName val="P_WEEK"/>
      <sheetName val="AREA_LIST"/>
      <sheetName val="HIII"/>
      <sheetName val="H4"/>
      <sheetName val="prop_price_van (2)"/>
      <sheetName val="Locas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nde "/>
      <sheetName val="C-2.1"/>
      <sheetName val="Raw"/>
      <sheetName val="FG &amp; WIP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1721-A1 (2)"/>
      <sheetName val="1721-A2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 (2)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PAJE PRJE March"/>
      <sheetName val="PAJE PRJE Feb'07"/>
      <sheetName val="Test Reval March "/>
      <sheetName val="FiscComp"/>
      <sheetName val="O.1 "/>
      <sheetName val="U1-1"/>
      <sheetName val="U1-3"/>
      <sheetName val="U2-2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2.1"/>
      <sheetName val="U3.1.1"/>
      <sheetName val="Sheet permintaan vouching"/>
      <sheetName val="140801"/>
      <sheetName val="SAT_STAFF_ACC4_DC4"/>
      <sheetName val="E-1-1 subs AR-conf. only"/>
      <sheetName val="subs. AP"/>
      <sheetName val="vat&amp;pph21"/>
      <sheetName val="App 3"/>
      <sheetName val="avg_rate"/>
      <sheetName val="Form A-Input-Current"/>
      <sheetName val="Interdata"/>
      <sheetName val="COGSan"/>
      <sheetName val="COGS &amp; SELLING"/>
      <sheetName val="PPE (2)"/>
      <sheetName val="PREPAID TAX"/>
      <sheetName val="AR 2"/>
      <sheetName val="PREMI"/>
      <sheetName val="E15"/>
      <sheetName val="E14"/>
      <sheetName val="E13"/>
      <sheetName val="E09"/>
      <sheetName val="E08"/>
      <sheetName val="E07"/>
      <sheetName val="E06"/>
      <sheetName val="E05"/>
      <sheetName val="E04"/>
      <sheetName val="E03"/>
      <sheetName val="E02"/>
      <sheetName val="E01"/>
      <sheetName val="Sales Recon"/>
      <sheetName val="salaryrecon"/>
      <sheetName val="Lead (2)"/>
      <sheetName val="PL indo"/>
      <sheetName val="PPh 25 indo"/>
      <sheetName val="COGS-02"/>
      <sheetName val="net allocation out"/>
      <sheetName val="10000000"/>
      <sheetName val="20000000"/>
      <sheetName val="TP business FC-5%"/>
      <sheetName val="TP by Business"/>
      <sheetName val="TRADING PROFIT"/>
      <sheetName val="RM Analysis (per value)2005"/>
      <sheetName val="RM Analysis (per value)2004"/>
      <sheetName val="Sch 1"/>
      <sheetName val="Sch 2"/>
      <sheetName val="gm before VSDE"/>
      <sheetName val="Sch 3"/>
      <sheetName val="Sch 4 (TL 0)"/>
      <sheetName val="Sch 4 (TL 1)"/>
      <sheetName val="Sch 4 (TL 2)"/>
      <sheetName val="fc -5% lv"/>
      <sheetName val="fc -5% bud"/>
      <sheetName val="Sch 5"/>
      <sheetName val="Supp 5.1"/>
      <sheetName val="Sch 6"/>
      <sheetName val="Supp 6.1"/>
      <sheetName val="RM Price Analysis"/>
      <sheetName val="Sch 4 (TL 0)-OLD"/>
      <sheetName val="Sch 4 (TL 1)-OLD"/>
      <sheetName val="Sch 4 (TL 2)-OLD"/>
      <sheetName val="Sch 4 (TL 3)-OLD"/>
      <sheetName val="RM Price Increase"/>
      <sheetName val="ASP Analysis"/>
      <sheetName val="RM Analysis"/>
      <sheetName val="GM Analysis"/>
      <sheetName val="Price vs Cost Incr Analysis"/>
      <sheetName val="rm-pack"/>
      <sheetName val="sales qtr"/>
      <sheetName val="sls summary qtr"/>
      <sheetName val=" deco "/>
      <sheetName val=" technical"/>
      <sheetName val="expenses 2004"/>
      <sheetName val="deco exp analysis"/>
      <sheetName val="Important Notes"/>
      <sheetName val="BPCS"/>
      <sheetName val="DC"/>
      <sheetName val="DC-ASE"/>
      <sheetName val="Hal Wajib"/>
      <sheetName val="Journal Code"/>
      <sheetName val="Advance A-Z"/>
      <sheetName val="DC Account"/>
      <sheetName val="Cash Advance"/>
      <sheetName val="FE-1771$.P1(E)"/>
      <sheetName val="FE-1771$.P2(E)"/>
      <sheetName val="FE-1771-I$(E)"/>
      <sheetName val="FE-1771-II$(E)"/>
      <sheetName val="FE-1771-III$(E)"/>
      <sheetName val="FI-1771-IV$"/>
      <sheetName val="FE-1771-IV(E)"/>
      <sheetName val="FI-1771-V$"/>
      <sheetName val="FE-1771-V(E)"/>
      <sheetName val="FI-1771-VI$"/>
      <sheetName val="FE-1771-VI$(E)"/>
      <sheetName val="UK MGMT FEES"/>
      <sheetName val="uk allocation"/>
      <sheetName val="INVOICES"/>
      <sheetName val="misc inv"/>
      <sheetName val="CAI"/>
      <sheetName val="UK"/>
      <sheetName val="uk cr memo"/>
      <sheetName val="AUS"/>
      <sheetName val="JAPAN"/>
      <sheetName val="CAN SOL"/>
      <sheetName val="CANADA"/>
      <sheetName val="Can Mgmt Alloc"/>
      <sheetName val="data_benefit(1)"/>
      <sheetName val="data_val"/>
      <sheetName val="data_ee_&lt;nra(1)"/>
      <sheetName val="data_ee_&gt;nra(1)"/>
      <sheetName val="output_&gt;nra(1)"/>
      <sheetName val="output_&lt;nra(1)"/>
      <sheetName val="calcu"/>
      <sheetName val="gain_loss_aft_curr"/>
      <sheetName val="gain_loss"/>
      <sheetName val="output2"/>
      <sheetName val="schedule_restate"/>
      <sheetName val="disc_e"/>
      <sheetName val="disc_i"/>
      <sheetName val="input_report"/>
      <sheetName val="report_A"/>
      <sheetName val="Provision summary"/>
      <sheetName val="CREDIT GRANTED BI 3"/>
      <sheetName val="CREDIT GRANTED BI 4"/>
      <sheetName val="CREDIT GRANTED BI 5"/>
      <sheetName val="Depreciation (2)"/>
      <sheetName val="Asset 98"/>
      <sheetName val="Entetr-Eng"/>
      <sheetName val="Entetr-Ind"/>
      <sheetName val="Loss"/>
      <sheetName val="Entetr-01 (2)"/>
      <sheetName val="Prov from client"/>
      <sheetName val="Prov from client (2)"/>
      <sheetName val="sblm edit rb"/>
      <sheetName val="for e01"/>
      <sheetName val="members"/>
      <sheetName val="TANPA RB"/>
      <sheetName val="E23"/>
      <sheetName val="E22"/>
      <sheetName val="E21"/>
      <sheetName val="E20"/>
      <sheetName val="E19"/>
      <sheetName val="E18"/>
      <sheetName val="E17"/>
      <sheetName val="E16"/>
      <sheetName val="E27"/>
      <sheetName val="E26"/>
      <sheetName val="E25"/>
      <sheetName val="E24"/>
      <sheetName val="E30"/>
      <sheetName val="E29"/>
      <sheetName val="E28"/>
      <sheetName val="E32"/>
      <sheetName val="E31"/>
      <sheetName val="E34"/>
      <sheetName val="E33"/>
      <sheetName val="E39"/>
      <sheetName val="E38"/>
      <sheetName val="E37"/>
      <sheetName val="E36"/>
      <sheetName val="E35"/>
      <sheetName val="E41"/>
      <sheetName val="E40"/>
      <sheetName val="E48"/>
      <sheetName val="E47"/>
      <sheetName val="E46"/>
      <sheetName val="E45"/>
      <sheetName val="E44"/>
      <sheetName val="E43"/>
      <sheetName val="E42"/>
      <sheetName val="Other Exp "/>
      <sheetName val="Classification Rev Prov Bonus"/>
      <sheetName val="Classification of prov bonus"/>
      <sheetName val="P&amp;L FCT 8.1"/>
      <sheetName val="BS FCT 8.1"/>
      <sheetName val="Bal.Sheet"/>
      <sheetName val="P &amp; L Report"/>
      <sheetName val="Exp.detail"/>
      <sheetName val="A&amp;G"/>
      <sheetName val="AR AI"/>
      <sheetName val="Bank Chg"/>
      <sheetName val="Interest Exp"/>
      <sheetName val="Interest Income"/>
      <sheetName val="Forex Asset"/>
      <sheetName val="Oth Income"/>
      <sheetName val="Adj.Fixed Asset"/>
      <sheetName val="Exp.Log"/>
      <sheetName val="Summary Finding"/>
      <sheetName val="Summary SKP"/>
      <sheetName val="Tax Audit Status"/>
      <sheetName val="Tax Loss"/>
      <sheetName val="Summary TB"/>
      <sheetName val="KF 2003"/>
      <sheetName val="KF 2004"/>
      <sheetName val="KF 2005"/>
      <sheetName val="REC 2003"/>
      <sheetName val="REC 2004"/>
      <sheetName val="REC 2005"/>
      <sheetName val="COGS 2003"/>
      <sheetName val="COGS 2004"/>
      <sheetName val="COGS 2005"/>
      <sheetName val="REC 2006"/>
      <sheetName val="Movement ProvisionAccrued"/>
      <sheetName val="SE-46"/>
      <sheetName val="Note for Next engagement"/>
      <sheetName val="Rekonsiliasi RE BEg"/>
      <sheetName val="Analytical IBS Jkt "/>
      <sheetName val="Monetary assets"/>
      <sheetName val="Subsequent"/>
      <sheetName val="LiabilitiesEquity"/>
      <sheetName val="Profitloss"/>
      <sheetName val="CARJE"/>
      <sheetName val="Elimination2002"/>
      <sheetName val="Repleter"/>
      <sheetName val="C-Cash"/>
      <sheetName val="D-Short Term Investment"/>
      <sheetName val="F-InventoriesFeb03"/>
      <sheetName val="F-Inventories"/>
      <sheetName val="G-Prepaid Expense"/>
      <sheetName val="I-Dueto ISM"/>
      <sheetName val="J - 3 Project Adv"/>
      <sheetName val="J-4 Def Loss"/>
      <sheetName val="K(incl elim)"/>
      <sheetName val="K-PPE1"/>
      <sheetName val="M-STL"/>
      <sheetName val="O-Fiscal"/>
      <sheetName val="P-Def Charges"/>
      <sheetName val="Q1-OUCL"/>
      <sheetName val="R-DIT"/>
      <sheetName val="T-Shareholders"/>
      <sheetName val="Combine Jkt Sby"/>
      <sheetName val="U1-Sales"/>
      <sheetName val="U3-Opex"/>
      <sheetName val="U4-2 Interest expense"/>
      <sheetName val="V-Related Party Transactions"/>
      <sheetName val="X-Tax Return"/>
      <sheetName val="List HGB Jkt Sby"/>
      <sheetName val="Note for 2004 Engagement"/>
      <sheetName val="Standard Tickmark"/>
      <sheetName val="Analytical-Comb"/>
      <sheetName val="Analytical IBSJkt"/>
      <sheetName val="Cashflow-Jkt"/>
      <sheetName val="U-3 OPEX"/>
      <sheetName val="V-Related Party Trans"/>
      <sheetName val="Reclassification account2002"/>
      <sheetName val="Combine Jkt-Sby"/>
      <sheetName val="Naturenotes"/>
      <sheetName val="E-Receivables"/>
      <sheetName val="Subsequent AR"/>
      <sheetName val="AR Non-Trade"/>
      <sheetName val="F-Test Pricing"/>
      <sheetName val="G-PrepaidExp"/>
      <sheetName val="G-Prepaid Taxes"/>
      <sheetName val="J-ProjectAdv"/>
      <sheetName val="K-Pred"/>
      <sheetName val="N-Payables"/>
      <sheetName val="O-Tax payable PPh 21"/>
      <sheetName val="O-Tax payable PPh23,26"/>
      <sheetName val="Fiscal - DIT"/>
      <sheetName val="Q-OUCL"/>
      <sheetName val="T-Capstock"/>
      <sheetName val="Salescut"/>
      <sheetName val="U-1 SalesAnalytical"/>
      <sheetName val="Monthly-Sales"/>
      <sheetName val="Productivity"/>
      <sheetName val="U.2-Purchase"/>
      <sheetName val="Purcutoff"/>
      <sheetName val="OpexAnalytic"/>
      <sheetName val="X-Claim for Income Tax"/>
      <sheetName val="List HGB Jkt - Sby"/>
      <sheetName val="PM, TE  &amp; SAD"/>
      <sheetName val="Request Data"/>
      <sheetName val="Herlina"/>
      <sheetName val="Miscell-details"/>
      <sheetName val="Rent Inc"/>
      <sheetName val="Provision bank"/>
      <sheetName val="F-PricingTest"/>
      <sheetName val="G-Prepaid Tax"/>
      <sheetName val="I-Due from related"/>
      <sheetName val="K-PPE Vouch"/>
      <sheetName val="O-1 Tax Pay. art 21"/>
      <sheetName val="O-2 Tax Pay, 23&amp;26"/>
      <sheetName val="List Vouch"/>
      <sheetName val="U-5-Int Inc"/>
      <sheetName val="AR Subledger"/>
      <sheetName val="Sales+Tooling"/>
      <sheetName val="U-2 Puchase"/>
      <sheetName val="Rekon fiskal dgn klien"/>
      <sheetName val="Rekap remittence"/>
      <sheetName val="Sales Analysis "/>
      <sheetName val="GP Margin"/>
      <sheetName val="CARJE - Refinery"/>
      <sheetName val="Elimination - Refinery"/>
      <sheetName val="Elimination - Plant &amp; Ref"/>
      <sheetName val="V-Related party transaction Ref"/>
      <sheetName val="Rekap remittance"/>
      <sheetName val="GP Margin Dec"/>
      <sheetName val="Anlytical"/>
      <sheetName val="PM, TE, SAD"/>
      <sheetName val="Audit Issue"/>
      <sheetName val="Actual VS Budget"/>
      <sheetName val="PARJE"/>
      <sheetName val="N.1-AP Trade"/>
      <sheetName val="N.1.1.1 Predictive AP"/>
      <sheetName val="N.1.2SubsequentChemprox"/>
      <sheetName val="N.2 Other Payable"/>
      <sheetName val="N2.1Cons-Finance"/>
      <sheetName val="NN.2-APMonagrro"/>
      <sheetName val="P.Accrued Exp"/>
      <sheetName val="P.2-AccruedOthers"/>
      <sheetName val="Q.1longterm advance "/>
      <sheetName val="Q.2Stockholders loan"/>
      <sheetName val="Q.3Longtermloan"/>
      <sheetName val="Q.3.2SubsequentSHLoan"/>
      <sheetName val="Analy IBS-Jkt Dec05Oct05"/>
      <sheetName val="Analy-Combine (Des05-04)"/>
      <sheetName val="Cash-flow - Jakarta"/>
      <sheetName val="Analytical IBSJkt-Dec05-04"/>
      <sheetName val="Combine Jkt, Sby &amp; Mdn"/>
      <sheetName val="Recon RE Journal"/>
      <sheetName val="BS IBS"/>
      <sheetName val="PL IBS"/>
      <sheetName val="I-Due From RP"/>
      <sheetName val="Consolpack"/>
      <sheetName val="T-Cap-stock"/>
      <sheetName val="Analy-RM purchase"/>
      <sheetName val="E-Receivables combined"/>
      <sheetName val="F-Inventories combined"/>
      <sheetName val="Q1 - OUCL"/>
      <sheetName val="U-3&amp;4 Procedures"/>
      <sheetName val="Inventory Analysis"/>
      <sheetName val="Penjualan Bimoli"/>
      <sheetName val="Sales Cutoff - Export"/>
      <sheetName val="Sales Cutoff (Product) - Local "/>
      <sheetName val="Sales Cutoff (Customer)-Local "/>
      <sheetName val="Recap - Franco Sales IBS 2006"/>
      <sheetName val="IBSRC200606"/>
      <sheetName val="RC Jun 06 - Per Product"/>
      <sheetName val="RC Jun 06 - Per Customer"/>
      <sheetName val="Reversal Journal RC 2005"/>
      <sheetName val="Journal RC 2006"/>
      <sheetName val="Flow RC - PBC Client"/>
      <sheetName val="RC IBS 2005 JK01-Customer"/>
      <sheetName val="RC IBS - SB04 Product"/>
      <sheetName val="IBSCN2006"/>
      <sheetName val="Barang Titipan to RP"/>
      <sheetName val="Tukar Barang"/>
      <sheetName val="Sales Packaging"/>
      <sheetName val="Sales analysis"/>
      <sheetName val="Gross profit analysis"/>
      <sheetName val="Point to Do - Dec'06"/>
      <sheetName val="Analytical IBSSby"/>
      <sheetName val="PAJE-Dec 31, 2006"/>
      <sheetName val="PAJE-Oct 31, 2006"/>
      <sheetName val="PRJE-Oct 31, 2006"/>
      <sheetName val="PRJE-Dec 31, 2006"/>
      <sheetName val="CARJE-Dec 31, 2006"/>
      <sheetName val="Reconciliastion RE beg"/>
      <sheetName val="A - Building"/>
      <sheetName val="B - Non Building"/>
      <sheetName val="B (FA fiscal - sold)"/>
      <sheetName val="Laba rugi fiscal"/>
      <sheetName val="Laba rugi komersial"/>
      <sheetName val="RUCC - FA from SOG"/>
      <sheetName val="Reasonable Test audit"/>
      <sheetName val="FA Mutation audited"/>
      <sheetName val="O7.1 - Penyusutan Fiskal 2006"/>
      <sheetName val="FA fiskal truck"/>
      <sheetName val="Listing FA from SOG-PBC"/>
      <sheetName val="Assets Not used in operation"/>
      <sheetName val="Listing FA Truk"/>
      <sheetName val="Impairment Value"/>
      <sheetName val="Penyusutan Fiskal 2005"/>
      <sheetName val="Penyusutan Fiskal"/>
      <sheetName val="Gain(Loss)"/>
      <sheetName val="Listing FA BLW(ex SOG)"/>
      <sheetName val="Listing PRIOK(ex SOG)"/>
      <sheetName val="FA Commercial vs Fiscal"/>
      <sheetName val="Inventory Turnover - Jkt"/>
      <sheetName val="Inventory Turnover - Medan"/>
      <sheetName val="NRV"/>
      <sheetName val="Idle - Cooking - Jkt"/>
      <sheetName val="Idle - Cooking - Sby"/>
      <sheetName val="Ref, Frac &amp; Marg - Idle-Jakarta"/>
      <sheetName val="Ref, Frac &amp; Marg - Idle-Mdn"/>
      <sheetName val="Ref, Frac &amp; Marg. Idle Cap - Sb"/>
      <sheetName val="Ref, Frac &amp; Marg - Idle-Medan"/>
      <sheetName val="Sls"/>
      <sheetName val="Des'08"/>
      <sheetName val="Dismantling"/>
      <sheetName val="Machinery"/>
      <sheetName val="Discount Rate"/>
      <sheetName val="K_2_1"/>
      <sheetName val="U.2.7"/>
      <sheetName val="Other charges _income_"/>
      <sheetName val="PM Calculation"/>
      <sheetName val="recon RE Beg"/>
      <sheetName val="Analytical Sby"/>
      <sheetName val="Analytical Jkt"/>
      <sheetName val="Analytical Combine"/>
      <sheetName val="Elimination(update)"/>
      <sheetName val="Provision for income tax"/>
      <sheetName val="Purchase RM"/>
      <sheetName val="recon plantation"/>
      <sheetName val="AR Turnover"/>
      <sheetName val="AP Turnover"/>
      <sheetName val="BS SIMP"/>
      <sheetName val="PL SIMP"/>
      <sheetName val="Notes-B"/>
      <sheetName val="K.1 - Mutasi FA"/>
      <sheetName val="K.2 - Pred-Depre"/>
      <sheetName val="K.3 - Construction In Progress"/>
      <sheetName val="K.3.2 - Project advances"/>
      <sheetName val="List of HGB"/>
      <sheetName val="PSAK 47 - Definisi"/>
      <sheetName val="J-project adv"/>
      <sheetName val="K.4-impairment issue - PSAK 48"/>
      <sheetName val="List HGB - JKT &amp; SBY (cek)"/>
      <sheetName val="Def Charges - HGB On HPL(cek)"/>
      <sheetName val="Sales Return to RP"/>
      <sheetName val="Elimination MBP"/>
      <sheetName val="C2H4"/>
      <sheetName val="REKAPSP"/>
      <sheetName val="summary komersial"/>
      <sheetName val="Elim June 30, 2006"/>
      <sheetName val="YTD June 30, 2006"/>
      <sheetName val="SFRS June06"/>
      <sheetName val="Restatement"/>
      <sheetName val="Other Income(Charges)"/>
      <sheetName val="2003 Cash Flow"/>
      <sheetName val="Before Elim"/>
      <sheetName val="New SIMP Cash Flow"/>
      <sheetName val="New SIMP"/>
      <sheetName val="PSAK 24 SIMP"/>
      <sheetName val="PSAK 24 SIMP rev"/>
      <sheetName val="PSAK 24 Bimoli"/>
      <sheetName val="summary ytd"/>
      <sheetName val="summary-cm"/>
      <sheetName val="diluar bangunan"/>
      <sheetName val="laba(rugi)"/>
      <sheetName val="6&amp;7"/>
      <sheetName val="11&amp;12"/>
      <sheetName val="14&amp;15"/>
      <sheetName val="Rekon RE"/>
      <sheetName val="18&amp;19"/>
      <sheetName val="20&amp;21"/>
      <sheetName val="InvoiceList"/>
      <sheetName val="A201"/>
      <sheetName val="A601"/>
      <sheetName val="A602"/>
      <sheetName val="H101"/>
      <sheetName val="I101"/>
      <sheetName val="I102"/>
      <sheetName val="T101"/>
      <sheetName val="T201"/>
      <sheetName val="A6.100"/>
      <sheetName val="A801"/>
      <sheetName val="C101"/>
      <sheetName val="C201"/>
      <sheetName val="C202"/>
      <sheetName val="C301"/>
      <sheetName val="G101"/>
      <sheetName val="G201"/>
      <sheetName val="I201"/>
      <sheetName val="N101"/>
      <sheetName val="O101"/>
      <sheetName val="O201"/>
      <sheetName val="U101"/>
      <sheetName val="U201"/>
      <sheetName val="U301"/>
      <sheetName val="A6.4"/>
      <sheetName val="F4 "/>
      <sheetName val="F51"/>
      <sheetName val="H "/>
      <sheetName val="N "/>
      <sheetName val="P3.1"/>
      <sheetName val="P3.2"/>
      <sheetName val="U1.1"/>
      <sheetName val="U200"/>
      <sheetName val="U202"/>
      <sheetName val="U2.2a"/>
      <sheetName val="U2.3 "/>
      <sheetName val="U3 "/>
      <sheetName val="U400cutofp"/>
      <sheetName val="U401cutofs"/>
      <sheetName val="C101-Cash"/>
      <sheetName val="C201-cashbook review"/>
      <sheetName val="C301-bank recon review"/>
      <sheetName val="TAX COM"/>
      <sheetName val="TAX SCH"/>
      <sheetName val="SIN DIVIDEND"/>
      <sheetName val="HK DIVIDEND "/>
      <sheetName val="WT"/>
      <sheetName val="Dialog1"/>
      <sheetName val="W &amp; T"/>
      <sheetName val="Journals"/>
      <sheetName val="Schedules"/>
      <sheetName val="Grp Jrl"/>
      <sheetName val="Draft bill"/>
      <sheetName val="CAF Index"/>
      <sheetName val="Audit Plan"/>
      <sheetName val="Risk Asses"/>
      <sheetName val="D1-MBB"/>
      <sheetName val="D2-ICB"/>
      <sheetName val="O2 - Cir1"/>
      <sheetName val="O2 - Cir2"/>
      <sheetName val="O2-3"/>
      <sheetName val="O5"/>
      <sheetName val="O6"/>
      <sheetName val="W1"/>
      <sheetName val="W3"/>
      <sheetName val="W4,5,6,8,9"/>
      <sheetName val="X1"/>
      <sheetName val="X2"/>
      <sheetName val="X3"/>
      <sheetName val="X4"/>
      <sheetName val="X5"/>
      <sheetName val="X6"/>
      <sheetName val="Y1-1"/>
      <sheetName val="Y1-2"/>
      <sheetName val="X7"/>
      <sheetName val="X8"/>
      <sheetName val="X9"/>
      <sheetName val="X10"/>
      <sheetName val="Audit Ticks"/>
      <sheetName val="Gs"/>
      <sheetName val="Ms"/>
      <sheetName val="Qs"/>
      <sheetName val="Us"/>
      <sheetName val="PAF &amp; CAF Index"/>
      <sheetName val="Sampling-AR"/>
      <sheetName val="Shldr hist &amp; Chgs"/>
      <sheetName val="TAX SCHEDULE"/>
      <sheetName val="APM"/>
      <sheetName val="Materiality &amp; Sampling"/>
      <sheetName val="ES Taxation"/>
      <sheetName val="TAXCOMP"/>
      <sheetName val="SCH 1-4"/>
      <sheetName val="SCH 5-6"/>
      <sheetName val="MISC SCH"/>
      <sheetName val="Open"/>
      <sheetName val="JA"/>
      <sheetName val="W2"/>
      <sheetName val="Fs (2)"/>
      <sheetName val="Gs (2)"/>
      <sheetName val="Js (2)"/>
      <sheetName val="Os (2)"/>
      <sheetName val="Qs (2)"/>
      <sheetName val="Us (2)"/>
      <sheetName val="Final notes"/>
      <sheetName val="DPL"/>
      <sheetName val="Effect"/>
      <sheetName val="G4"/>
      <sheetName val="Q "/>
      <sheetName val="W6"/>
      <sheetName val="Sampling-TC"/>
      <sheetName val="Sampling-TD"/>
      <sheetName val="F (2)"/>
      <sheetName val="D1 (3)"/>
      <sheetName val="D1 (2)"/>
      <sheetName val="1.1"/>
      <sheetName val="G5"/>
      <sheetName val="G - Cir2"/>
      <sheetName val="N0"/>
      <sheetName val="G - Cir1"/>
      <sheetName val="O - Cir1"/>
      <sheetName val="O - Cir2"/>
      <sheetName val="Cap allw"/>
      <sheetName val="sum-JantoJun'03"/>
      <sheetName val="I1"/>
      <sheetName val="I1-1"/>
      <sheetName val="I1-2"/>
      <sheetName val="I2"/>
      <sheetName val="I2-1"/>
      <sheetName val="I3"/>
      <sheetName val="I4"/>
      <sheetName val="A2.4 RJE"/>
      <sheetName val="A3 Accounts Distri "/>
      <sheetName val="A6-1"/>
      <sheetName val="A6.2"/>
      <sheetName val="A6-3"/>
      <sheetName val="A6-4"/>
      <sheetName val="A7 memo"/>
      <sheetName val="C2-Cashbk"/>
      <sheetName val="C3-Bank rec"/>
      <sheetName val="E1-1"/>
      <sheetName val="E2 AR Aging"/>
      <sheetName val="E4-1"/>
      <sheetName val="EE memo"/>
      <sheetName val="M3-1"/>
      <sheetName val="MM memo"/>
      <sheetName val="NN Memo"/>
      <sheetName val="A2.1 AJE"/>
      <sheetName val="T1"/>
      <sheetName val="T1-FYI"/>
      <sheetName val="U memo"/>
      <sheetName val="Imemo"/>
      <sheetName val="I1-2 ARPS"/>
      <sheetName val="I2 Interco review"/>
      <sheetName val="I1 (2)"/>
      <sheetName val="Oo1"/>
      <sheetName val="Oo2"/>
      <sheetName val="ORC-AR"/>
      <sheetName val="ORC-TB"/>
      <sheetName val="Disclosure P&amp;L"/>
      <sheetName val="Arthur1- JE"/>
      <sheetName val="Arthur2- opening bal"/>
      <sheetName val="ON"/>
      <sheetName val="Draft bill &amp; Audit Ticks"/>
      <sheetName val="Shldg history"/>
      <sheetName val=" Charges"/>
      <sheetName val="Perm Index"/>
      <sheetName val="Master Sch"/>
      <sheetName val="G-Cir"/>
      <sheetName val="G-Cir1"/>
      <sheetName val="G-Cir2"/>
      <sheetName val="O-Cir"/>
      <sheetName val="O-Cir1"/>
      <sheetName val="O-Cir2"/>
      <sheetName val="Qs1.4"/>
      <sheetName val="X,Y"/>
      <sheetName val="A6.401"/>
      <sheetName val="C100"/>
      <sheetName val="E300"/>
      <sheetName val="E301"/>
      <sheetName val="F501"/>
      <sheetName val="G100"/>
      <sheetName val="H100"/>
      <sheetName val="I100"/>
      <sheetName val="I200"/>
      <sheetName val="K300"/>
      <sheetName val="M100"/>
      <sheetName val="M400"/>
      <sheetName val="Scope"/>
      <sheetName val="A2.201 AJE"/>
      <sheetName val="A2.202. RJE"/>
      <sheetName val="A2.203 CLA"/>
      <sheetName val="A2.204 SAD"/>
      <sheetName val="A6.301"/>
      <sheetName val="B101"/>
      <sheetName val="B201"/>
      <sheetName val="E101"/>
      <sheetName val="E201"/>
      <sheetName val="EE101"/>
      <sheetName val="K101"/>
      <sheetName val="K201"/>
      <sheetName val="K301"/>
      <sheetName val="K401"/>
      <sheetName val="M101"/>
      <sheetName val="M201"/>
      <sheetName val="M301"/>
      <sheetName val="M302"/>
      <sheetName val="MM100"/>
      <sheetName val="N201"/>
      <sheetName val="N301"/>
      <sheetName val="S101"/>
      <sheetName val="S201"/>
      <sheetName val="TTmemo"/>
      <sheetName val="O101 (revised)"/>
      <sheetName val="Sch 8 - IAS Adj"/>
      <sheetName val="Sch 1.0 PL"/>
      <sheetName val="Sch 8"/>
      <sheetName val="June2002-Value (Filter)"/>
      <sheetName val="E401"/>
      <sheetName val="E402"/>
      <sheetName val="E403"/>
      <sheetName val="Prepayment1"/>
      <sheetName val="G201 Prepayment"/>
      <sheetName val="G301 GST"/>
      <sheetName val="G401 Rental Deposit"/>
      <sheetName val="G501 Deposit"/>
      <sheetName val="P.CTN"/>
      <sheetName val="Total PL"/>
      <sheetName val="Profit anal"/>
      <sheetName val="TB-gl"/>
      <sheetName val="cashflowcomp"/>
      <sheetName val="cashflowcomp (2)"/>
      <sheetName val="Consol adjustments"/>
      <sheetName val="Financial stats"/>
      <sheetName val="Segment - 2002 (new)"/>
      <sheetName val="Segment - 2002"/>
      <sheetName val="Changes in equity"/>
      <sheetName val="Inter-co"/>
      <sheetName val="Inter-co(subsidiary)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Share capital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Bank Rec review"/>
      <sheetName val="F-2 (2)"/>
      <sheetName val="CF-IS"/>
      <sheetName val="CF-SCE"/>
      <sheetName val="DIVIDENDS"/>
      <sheetName val="Statement of Equity"/>
      <sheetName val="FSL"/>
      <sheetName val="F-7B"/>
      <sheetName val="B-1."/>
      <sheetName val="20-2"/>
      <sheetName val="30-2"/>
      <sheetName val="30(old)"/>
      <sheetName val="F-8-20-1"/>
      <sheetName val="AWPs Template"/>
      <sheetName val="A2-1 CLA"/>
      <sheetName val="A2-2 RJE"/>
      <sheetName val="A2-3 SAD"/>
      <sheetName val="Review Recon"/>
      <sheetName val="Review Cash book"/>
      <sheetName val="E3 Recoverability"/>
      <sheetName val="E-1_Recoverability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O-1_Prov.Tax-2004"/>
      <sheetName val="Capital allowance"/>
      <sheetName val="P2A"/>
      <sheetName val="P2B"/>
      <sheetName val="P3A"/>
      <sheetName val="P3B"/>
      <sheetName val="P3C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MCMD95"/>
      <sheetName val="A2l2"/>
      <sheetName val="OS list"/>
      <sheetName val="A3l1"/>
      <sheetName val="A3l1-1"/>
      <sheetName val="A2l1-RJE"/>
      <sheetName val="A2l2-CLA"/>
      <sheetName val="A2l3-SAD"/>
      <sheetName val="EC"/>
      <sheetName val="E1l1"/>
      <sheetName val="K3l1"/>
      <sheetName val="N8"/>
      <sheetName val="N9"/>
      <sheetName val="OA"/>
      <sheetName val="O2-CA"/>
      <sheetName val="O3-Disposal"/>
      <sheetName val="P1l2"/>
      <sheetName val="R1-Sch I"/>
      <sheetName val="R2-Sch IIa"/>
      <sheetName val="R3-Sch IIb"/>
      <sheetName val="R4-Sch III"/>
      <sheetName val="R5-NQA04"/>
      <sheetName val="R6-NQA03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Provision DD"/>
      <sheetName val="A8-5"/>
      <sheetName val="Form EYP 1"/>
      <sheetName val="FS - 1"/>
      <sheetName val="FS - 2"/>
      <sheetName val="FS - 3"/>
      <sheetName val="C2 FD"/>
      <sheetName val="G2-1 "/>
      <sheetName val="K1-2 Policy"/>
      <sheetName val="N7Accrual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M, MM"/>
      <sheetName val=" BB-2"/>
      <sheetName val="CC-3-1"/>
      <sheetName val="PP-2"/>
      <sheetName val="RCD 5- (APPENDIX 1)"/>
      <sheetName val="VA101 COS"/>
      <sheetName val="VA102 Review of COS exp"/>
      <sheetName val="VC101"/>
      <sheetName val="VC102 Bonus reasonableness"/>
      <sheetName val="VD101"/>
      <sheetName val="VD102 Review of admin exp"/>
      <sheetName val="VE101"/>
      <sheetName val="Title"/>
      <sheetName val="Datastream"/>
      <sheetName val="AA Hanson"/>
      <sheetName val="Base data Bidder"/>
      <sheetName val="AA Heidelberg"/>
      <sheetName val="Base data Target"/>
      <sheetName val="Base data Target CALENDAR"/>
      <sheetName val="TH slide1"/>
      <sheetName val="TH slide2"/>
      <sheetName val="TH slide3"/>
      <sheetName val="TH slide4"/>
      <sheetName val="Synergies"/>
      <sheetName val="Market data"/>
      <sheetName val="P&amp;L1"/>
      <sheetName val="P&amp;L2"/>
      <sheetName val="P&amp;L3"/>
      <sheetName val="P&amp;L overview"/>
      <sheetName val="Proforma BS"/>
      <sheetName val="Forecasts"/>
      <sheetName val="Funding"/>
      <sheetName val="Impacts"/>
      <sheetName val="Graphs"/>
      <sheetName val="PresOffer"/>
      <sheetName val="PresImpacts"/>
      <sheetName val="Dialog5"/>
      <sheetName val="PresMerger1"/>
      <sheetName val="PresMerger2"/>
      <sheetName val="Graph contribution analysis"/>
      <sheetName val="Standard page"/>
      <sheetName val="Guidelines"/>
      <sheetName val="Rights issue"/>
      <sheetName val="OLD"/>
      <sheetName val="JUNI10"/>
      <sheetName val="JobDetails"/>
      <sheetName val="Penerimaan Jan 2012"/>
      <sheetName val="Penerimaan Feb 2012"/>
      <sheetName val="Penerimaan Mar 12"/>
      <sheetName val="Penerimaan Apr 12"/>
      <sheetName val="Penerimaan Mei 12"/>
      <sheetName val="Penerimaan Juni 12"/>
      <sheetName val="C - Reporting"/>
      <sheetName val="Discusion"/>
      <sheetName val="Multialocation"/>
      <sheetName val="PM,TE,SAD"/>
      <sheetName val="A310"/>
      <sheetName val="A320"/>
      <sheetName val="A330"/>
      <sheetName val="C001"/>
      <sheetName val="C007"/>
      <sheetName val="C008"/>
      <sheetName val="C810"/>
      <sheetName val="C820"/>
      <sheetName val="C009"/>
      <sheetName val="C010"/>
      <sheetName val="E002"/>
      <sheetName val="E110"/>
      <sheetName val="E210-Aging-Summary"/>
      <sheetName val="E220"/>
      <sheetName val="E210.11"/>
      <sheetName val="E003"/>
      <sheetName val="Account Recon"/>
      <sheetName val="F "/>
      <sheetName val="F001"/>
      <sheetName val="F002"/>
      <sheetName val="F003"/>
      <sheetName val="F004"/>
      <sheetName val="F005"/>
      <sheetName val="G "/>
      <sheetName val="G001"/>
      <sheetName val="G110"/>
      <sheetName val="G120"/>
      <sheetName val="PM TE SAD_Sept"/>
      <sheetName val="TE Allocation"/>
      <sheetName val="BS-Client"/>
      <sheetName val="IS-Client"/>
      <sheetName val="FS-C"/>
      <sheetName val="A3 WBS-1"/>
      <sheetName val="A3 WBS-2"/>
      <sheetName val="A3 WPL"/>
      <sheetName val="US GAAP Adj and AJE"/>
      <sheetName val="Taccount PAJE CAJE"/>
      <sheetName val="PM TE SAD_Dec"/>
      <sheetName val="Konsumen Umum Apr'08"/>
      <sheetName val="KS Grup DES'07"/>
      <sheetName val="NON KS_UMUM"/>
      <sheetName val="KS GROUP Apr'08"/>
      <sheetName val="KSG Apr'08 final"/>
      <sheetName val="Umum Apr'08 final"/>
      <sheetName val="KSG Mei'08 "/>
      <sheetName val="Umum Mei'08"/>
      <sheetName val="KSG Jun'08"/>
      <sheetName val="Umum Jun'08 "/>
      <sheetName val="KSG Jul'08"/>
      <sheetName val="Umum Jul'08"/>
      <sheetName val="Suku Cadang"/>
      <sheetName val="Konsumable"/>
      <sheetName val="PAK EKO"/>
      <sheetName val="PAK ADING"/>
      <sheetName val="Worksheet(99)"/>
      <sheetName val="Cash Flows(99)"/>
      <sheetName val="NCAprojects"/>
      <sheetName val="Adj'99"/>
      <sheetName val="Adj'98A"/>
      <sheetName val="Adj'98B"/>
      <sheetName val="Adj'98C"/>
      <sheetName val="C&amp;LAdj'97"/>
      <sheetName val="Worksheet(98)"/>
      <sheetName val="Cash Flows(98)"/>
      <sheetName val="C&amp;L Adj 97(98)"/>
      <sheetName val="UGI Adj 97(98)"/>
      <sheetName val="Phasing by Month"/>
      <sheetName val="CIIL Overheads VOWP"/>
      <sheetName val="List_Opex_Prj (2004 0&amp;12)"/>
      <sheetName val="List_Opex_Prj (2004 LRP)"/>
      <sheetName val="South Sumatera"/>
      <sheetName val="List_Opex_Prj (not used)"/>
      <sheetName val="Prodn_jan"/>
      <sheetName val="Local Mgmt Productn"/>
      <sheetName val="Comparison"/>
      <sheetName val="Local Mgmt- Explor"/>
      <sheetName val="Local Mgmt- Growth"/>
      <sheetName val="comprod"/>
      <sheetName val="comexpl"/>
      <sheetName val="comgrow"/>
      <sheetName val="2000 Act"/>
      <sheetName val="PIP comm"/>
      <sheetName val="Crude Variance"/>
      <sheetName val="New Crude Variance (2)"/>
      <sheetName val="Crude 1999 Act"/>
      <sheetName val="Crude 2000 Act"/>
      <sheetName val="Crude 2000 Bud"/>
      <sheetName val="PIP Act"/>
      <sheetName val="PIP Bud"/>
      <sheetName val="Gas Variance"/>
      <sheetName val="Gas Variance (2)"/>
      <sheetName val="Gas 1999 Act"/>
      <sheetName val="Gas 2000 Act"/>
      <sheetName val="Gas 2000 Bud"/>
      <sheetName val="2000 Bud"/>
      <sheetName val="1999 Act"/>
      <sheetName val="Gas 1998 Act"/>
      <sheetName val="Crude 1998 Act"/>
      <sheetName val="Flash Results"/>
      <sheetName val="old NGL"/>
      <sheetName val="Other Revenue"/>
      <sheetName val="NGL Variance "/>
      <sheetName val="NGL 2000 Bud"/>
      <sheetName val="NGL 2000 Act"/>
      <sheetName val="NGL 1999 Act"/>
      <sheetName val="Prodn"/>
      <sheetName val="Prod Variance"/>
      <sheetName val="Prod 2000 Bud"/>
      <sheetName val="Prod 2000 Act"/>
      <sheetName val="Prod 1999 Act"/>
      <sheetName val="Prod Variance (2)"/>
      <sheetName val="New Crude Variance (3)"/>
      <sheetName val="Crude_inv_analysis"/>
      <sheetName val="0011figs"/>
      <sheetName val="f&amp;o"/>
      <sheetName val="statistics"/>
      <sheetName val="tariff"/>
      <sheetName val="operating costs"/>
      <sheetName val="gas contract"/>
      <sheetName val="contract year"/>
      <sheetName val="g&amp;g"/>
      <sheetName val="narrative"/>
      <sheetName val="CE Sum_BDGT"/>
      <sheetName val="Cost Input Sheet"/>
      <sheetName val="ReadMe"/>
      <sheetName val="Criterias"/>
      <sheetName val="LK-Bilingual (2)"/>
      <sheetName val="O-Lead-report"/>
      <sheetName val="pph23_05"/>
      <sheetName val="PPh21_jkt05"/>
      <sheetName val="PPh21_clg05"/>
      <sheetName val="TB 06"/>
      <sheetName val="PIVOT TB BY CC 06"/>
      <sheetName val="TB BY COST CENTRE 06"/>
      <sheetName val="Transaksi Affiliasi"/>
      <sheetName val="Kanaka 2005"/>
      <sheetName val="CLK-Ind"/>
      <sheetName val="LK Ind"/>
      <sheetName val="Equitas05"/>
      <sheetName val="LK-Bilingual"/>
      <sheetName val="Ekuitasbiling"/>
      <sheetName val="aruskas biling"/>
      <sheetName val="CLK-Bilingual"/>
      <sheetName val="AnalRev BS"/>
      <sheetName val="AnalRev PL"/>
      <sheetName val="P-2.Employee Data"/>
      <sheetName val="P-2.1 (count check)"/>
      <sheetName val="Fak_aktif"/>
      <sheetName val="aktif"/>
      <sheetName val="Fak_Pasif"/>
      <sheetName val="pensiunan"/>
      <sheetName val="asset and liab in foreign curr"/>
      <sheetName val="Controls"/>
      <sheetName val="TAXATION FOR REPORTING"/>
      <sheetName val="WBSPL Report"/>
      <sheetName val="E-1.3 Aging"/>
      <sheetName val="E-1.3.1"/>
      <sheetName val="E-1.4"/>
      <sheetName val="E-2.3.3"/>
      <sheetName val="N -2&amp;3 for consol"/>
      <sheetName val="N-Memo"/>
      <sheetName val="N-sub"/>
      <sheetName val="Q-2.1 Subs Pay"/>
      <sheetName val="Q-4.1.3&amp;4 Subs Pay LC"/>
      <sheetName val="Q-covenant"/>
      <sheetName val="U-1.6"/>
      <sheetName val="U-1.8 Cut off"/>
      <sheetName val="U.1.10"/>
      <sheetName val="U-2 Memo"/>
      <sheetName val="U-2.1.1"/>
      <sheetName val="U-2.1.2"/>
      <sheetName val="U-2.2.1"/>
      <sheetName val="U-2.3.1"/>
      <sheetName val="U-2.3.2"/>
      <sheetName val="U-2.3.3"/>
      <sheetName val="O-1.attch"/>
      <sheetName val="U-3.1.2"/>
      <sheetName val="U-3.1.3"/>
      <sheetName val="U-3.2.1"/>
      <sheetName val="U-3.2.2"/>
      <sheetName val="U-3.2.3"/>
      <sheetName val="U-3.3.1"/>
      <sheetName val="U-3.3.2"/>
      <sheetName val="U-3.4.1"/>
      <sheetName val="U-4.1.1"/>
      <sheetName val="U-4.1.2"/>
      <sheetName val="U-4.2.1"/>
      <sheetName val="U-4.2.2"/>
      <sheetName val="Pending 070207"/>
      <sheetName val="C-6.1"/>
      <sheetName val="C-6.2"/>
      <sheetName val="Exp Sheet"/>
      <sheetName val="JV-4"/>
      <sheetName val="JV-5"/>
      <sheetName val="JV-6"/>
      <sheetName val="JV-61"/>
      <sheetName val="JV-9 (2)"/>
      <sheetName val="Journal 2 (3)"/>
      <sheetName val="Journal 2 (2)"/>
      <sheetName val="Secondee Fees"/>
      <sheetName val="Intl Tax-Common Costs"/>
      <sheetName val="Intl Tax"/>
      <sheetName val="Intl Tax-Common Costs(S)"/>
      <sheetName val="G.1.2.1"/>
      <sheetName val="G.1.2.2 "/>
      <sheetName val="G.1.2.3"/>
      <sheetName val="G 2.4"/>
      <sheetName val="G.2.1.1"/>
      <sheetName val="TOC revenue"/>
      <sheetName val="summ AP 2005"/>
      <sheetName val="Aging AP Jatis"/>
      <sheetName val="U-3.1.1 telephone"/>
      <sheetName val="U-3.1.2 mot veh"/>
      <sheetName val="U-3.1.3 travel"/>
      <sheetName val="U-3.1.4 pension"/>
      <sheetName val="U-3.1.5 freight"/>
      <sheetName val="Predictive for Freight"/>
      <sheetName val="C-1.1.1"/>
      <sheetName val="C-1.1.2"/>
      <sheetName val="TB (2)"/>
      <sheetName val="TB (asli)"/>
      <sheetName val="Poss"/>
      <sheetName val="S-BP"/>
      <sheetName val="S-SC"/>
      <sheetName val="AgeBP"/>
      <sheetName val="AgeSC"/>
      <sheetName val="Graf-BP"/>
      <sheetName val="GrafSC="/>
      <sheetName val="Est"/>
      <sheetName val="1998"/>
      <sheetName val="F-5.1.1"/>
      <sheetName val="F-5.2.1"/>
      <sheetName val="F-5.3.1"/>
      <sheetName val="F-5.4.1"/>
      <sheetName val="TPS(asli)"/>
      <sheetName val="TPS Phk 3 (asli)"/>
      <sheetName val="TPC(asli)"/>
      <sheetName val="TPC Phk 3 (asli)"/>
      <sheetName val="C-a"/>
      <sheetName val="C-15"/>
      <sheetName val="C - 16 (RF)"/>
      <sheetName val="C - 17 (RF)"/>
      <sheetName val="C-30 cash cut-off Hosbu"/>
      <sheetName val="C-31 Bank cut-off Hosbu"/>
      <sheetName val="C-32 Cash cut 0ff - Medan"/>
      <sheetName val="C- 33 Bank Cut off - Medan"/>
      <sheetName val="C- 34 cash cut off-pku"/>
      <sheetName val="C-35 Bank cut off - pku"/>
      <sheetName val="C-36 Cash cut off - Batam"/>
      <sheetName val="C-37 Bank Cut off - Batam"/>
      <sheetName val="Vouching Procedures"/>
      <sheetName val="E-1.1.1"/>
      <sheetName val="E-1.1.2"/>
      <sheetName val="E-1.1.3"/>
      <sheetName val="E-1.3."/>
      <sheetName val="E-1.5"/>
      <sheetName val="E-1.6 (RF)"/>
      <sheetName val="E-1.7 (RF)"/>
      <sheetName val="E-1.8 (RF)"/>
      <sheetName val="E-1.9 List Piutang - Medan"/>
      <sheetName val="E-1.10 Daftar Piutang Batam"/>
      <sheetName val="E-1.11 Daftar Piutang PKU"/>
      <sheetName val="E-1.12 (Susbsequent)"/>
      <sheetName val="E-2.5"/>
      <sheetName val="E-2.6 (RF)"/>
      <sheetName val="E-2.6.1"/>
      <sheetName val="E-2.6.2"/>
      <sheetName val="E-2.6.3"/>
      <sheetName val="E-2.6.4"/>
      <sheetName val="E-2.7 (Subsequent)"/>
      <sheetName val="E-2.7.1"/>
      <sheetName val="E-2.7.2"/>
      <sheetName val="E-2.7.3"/>
      <sheetName val="E-2.7.4"/>
      <sheetName val="K-1.1 Addition FA"/>
      <sheetName val="K-1.3"/>
      <sheetName val="K-1.4"/>
      <sheetName val="K-1.5"/>
      <sheetName val="K-1.6"/>
      <sheetName val="K-1.7"/>
      <sheetName val="K-2.1"/>
      <sheetName val="K-2.2."/>
      <sheetName val="K-2.3"/>
      <sheetName val="Rekap FA - SBU 3"/>
      <sheetName val="K-3 (RF)"/>
      <sheetName val="K-3.1 (RF)"/>
      <sheetName val="K-3.1.1 For Reporting"/>
      <sheetName val="K-3.3 Addition FA (Des)"/>
      <sheetName val="K-4 (RF)"/>
      <sheetName val="K-4.1 (RF)"/>
      <sheetName val="K-4.2 (RF)"/>
      <sheetName val="K-4.3 (RF)"/>
      <sheetName val="J-2.1 (Predictive Test)"/>
      <sheetName val="J-2.1.1 MRI - Medan"/>
      <sheetName val="J-2.1.2 MRO to MRI - Medan"/>
      <sheetName val="J-2.2"/>
      <sheetName val="J-2.2.1 MRI - Pekanbaru"/>
      <sheetName val="J-2.3"/>
      <sheetName val="J-2.3.1 MRI - Batam"/>
      <sheetName val="J-2.3.2 MRO to MRI - Batam"/>
      <sheetName val="J-2.4 (RF)"/>
      <sheetName val="J-2.4.1 (RF)"/>
      <sheetName val="J-2.5 Predictive - Medan"/>
      <sheetName val="J-2.5.1 MRI - Medan"/>
      <sheetName val="J-2.5.2 MRO to MRI - Medan"/>
      <sheetName val="J-2.6"/>
      <sheetName val="J-2.6.1 MRO - Pku"/>
      <sheetName val="J-2.7 Predictive - Batam"/>
      <sheetName val="J-2.7.1 MRI - Batam"/>
      <sheetName val="J-2.7.2 MRO to MRI - Batam"/>
      <sheetName val="Mapping Nov"/>
      <sheetName val="Mapping Roll Fwd"/>
      <sheetName val="SAIT"/>
      <sheetName val="AJE-RJE"/>
      <sheetName val="Vouching Roll Forward"/>
      <sheetName val="December 2010 SummaryIndividual"/>
      <sheetName val="Calsindo"/>
      <sheetName val="Winner"/>
      <sheetName val="Raja Keramik"/>
      <sheetName val="Putera Dharma"/>
      <sheetName val="Petros Rawa"/>
      <sheetName val="Petros"/>
      <sheetName val="Panca Mega"/>
      <sheetName val="Opal"/>
      <sheetName val="Kertas Leces"/>
      <sheetName val="Merdeka"/>
      <sheetName val="Padil"/>
      <sheetName val="Abbergumi"/>
      <sheetName val="Dalle"/>
      <sheetName val="Darisa"/>
      <sheetName val="PLN Batam"/>
      <sheetName val="Iglass 73"/>
      <sheetName val="Iglass 95"/>
      <sheetName val="Ikage"/>
      <sheetName val="Indah Jaya Tekstil"/>
      <sheetName val="Indo Kabil 2"/>
      <sheetName val="Indo"/>
      <sheetName val="Internusa"/>
      <sheetName val="Jembo"/>
      <sheetName val="Jetware"/>
      <sheetName val="Kedaung"/>
      <sheetName val="Individual SBU 2"/>
      <sheetName val="Trade Doc"/>
      <sheetName val="ATMR-SBLC"/>
      <sheetName val="ATMR BG-Credit"/>
      <sheetName val="Irrevoc. LC"/>
      <sheetName val="ATMR BG-Non CR"/>
      <sheetName val="LANDBEK"/>
      <sheetName val="LANDBKS2"/>
      <sheetName val="gdgbks"/>
      <sheetName val="LSIBEK"/>
      <sheetName val="ISTBKS"/>
      <sheetName val="ISTVIT"/>
      <sheetName val="ISTIKO"/>
      <sheetName val="MIBPC"/>
      <sheetName val="MC"/>
      <sheetName val="PMBKS2"/>
      <sheetName val="PMBEK86"/>
      <sheetName val="PMB2"/>
      <sheetName val="PMEXBCL"/>
      <sheetName val="PMB1"/>
      <sheetName val="TDMBEK96"/>
      <sheetName val="TDMVIT"/>
      <sheetName val="TDMIKO"/>
      <sheetName val="TDMBEKAS"/>
      <sheetName val="TDMBEK"/>
      <sheetName val="MVKPS"/>
      <sheetName val="MVDTSBK"/>
      <sheetName val="MVCNG2"/>
      <sheetName val="MVBKS"/>
      <sheetName val="MVBEK"/>
      <sheetName val="MVPLSSD"/>
      <sheetName val="MVPLS"/>
      <sheetName val="FFAMJKT"/>
      <sheetName val="FFBKS"/>
      <sheetName val="FFATT"/>
      <sheetName val="FFDM"/>
      <sheetName val="FFBEKAS"/>
      <sheetName val="FFBKSGA"/>
      <sheetName val="FFBKS3"/>
      <sheetName val="FFBKS2"/>
      <sheetName val="FIKO"/>
      <sheetName val="FFEXBCL"/>
      <sheetName val="FFEDPGA"/>
      <sheetName val="FFT2ND"/>
      <sheetName val="FFT2FL"/>
      <sheetName val="FFSD"/>
      <sheetName val="FFPURCH"/>
      <sheetName val="FFLABBCR"/>
      <sheetName val="FFLAB"/>
      <sheetName val="FFT3FL"/>
      <sheetName val="FFWHBKS"/>
      <sheetName val="FFVIT"/>
      <sheetName val="FFTJLT"/>
      <sheetName val="FVITA"/>
      <sheetName val="FFTBANG"/>
      <sheetName val="ppbks"/>
      <sheetName val="PMBEK"/>
      <sheetName val="ppbks2"/>
      <sheetName val="EDPACCBK ok"/>
      <sheetName val="edpbks2 ok"/>
      <sheetName val="EDPPURC"/>
      <sheetName val="EDPLT3"/>
      <sheetName val="EDPGA"/>
      <sheetName val="EDPBKSWH"/>
      <sheetName val="edp2001"/>
      <sheetName val="4000"/>
      <sheetName val="total moh "/>
      <sheetName val="TB asli"/>
      <sheetName val="TB-2 JAN"/>
      <sheetName val="TB-2"/>
      <sheetName val="Intagible Asset"/>
      <sheetName val="PAJE 06"/>
      <sheetName val="PARE (06)"/>
      <sheetName val="PAJE (05)"/>
      <sheetName val="Corporate Income Tax 2006"/>
      <sheetName val="PAJE-PARE-CAJE 2009"/>
      <sheetName val="PAJE-PARE-CAJE 2008"/>
      <sheetName val="PAJE-PARE-CAJE 2007"/>
      <sheetName val="C.1.3"/>
      <sheetName val="C.1.4"/>
      <sheetName val="C.1.5"/>
      <sheetName val="CRAM C"/>
      <sheetName val="W B S"/>
      <sheetName val="W P L"/>
      <sheetName val="Komersial VS Fiskal"/>
      <sheetName val="Common Size"/>
      <sheetName val="Financial Analysis"/>
      <sheetName val="PBC-WBS1"/>
      <sheetName val="PBC-WBS2"/>
      <sheetName val="PBC-wpl"/>
      <sheetName val="Cashflow Direct"/>
      <sheetName val="Ori Cry"/>
      <sheetName val="9U1.3"/>
      <sheetName val="PI"/>
      <sheetName val="PM-TE"/>
      <sheetName val="PTD 06"/>
      <sheetName val="C1.1"/>
      <sheetName val="C1.2 Cash Opname"/>
      <sheetName val="C1.2.1- Voucher"/>
      <sheetName val="C1.2.2-Bon Sementara"/>
      <sheetName val="EE2"/>
      <sheetName val="E3.1"/>
      <sheetName val="EE3"/>
      <sheetName val="EE4"/>
      <sheetName val="E4.1a"/>
      <sheetName val="E4.1b"/>
      <sheetName val="E4.1c"/>
      <sheetName val="E4.1d"/>
      <sheetName val="PM_SM"/>
      <sheetName val="RM_SM"/>
      <sheetName val="RM Move"/>
      <sheetName val="PM Move "/>
      <sheetName val="Calculation FG"/>
      <sheetName val="RoFo"/>
      <sheetName val="G3.1"/>
      <sheetName val="K - Lead"/>
      <sheetName val="K1.1"/>
      <sheetName val="List SGU, Predictive test"/>
      <sheetName val="K3.1"/>
      <sheetName val="FS _ US_"/>
      <sheetName val="Advance Payment"/>
      <sheetName val="F.1.1 UM-import"/>
      <sheetName val="F.1.2 UM-importvalas"/>
      <sheetName val="Prepaid Expenses &amp; Taxes"/>
      <sheetName val="F.2.1 - PPh 22"/>
      <sheetName val="F.2.1.1 - VAT IN PPh 22"/>
      <sheetName val="F.2.2 - PPh 25"/>
      <sheetName val="G.1.4"/>
      <sheetName val="O.3"/>
      <sheetName val="P.1.1"/>
      <sheetName val="U1.2"/>
      <sheetName val="U4.1"/>
      <sheetName val="U5"/>
      <sheetName val="U6"/>
      <sheetName val="U7"/>
      <sheetName val="INTEREST-PBC"/>
      <sheetName val="Purchases-PBC"/>
      <sheetName val="SALES-PBC"/>
      <sheetName val="wpl-PBC"/>
      <sheetName val="WBS1-PBC"/>
      <sheetName val="WBS2-PBC"/>
      <sheetName val="cashflow-PBC"/>
      <sheetName val="Fiskal 2008"/>
      <sheetName val="FA-Fiskal 2007"/>
      <sheetName val="BS SRM"/>
      <sheetName val="PNL SRM"/>
      <sheetName val="Perhitungan Timing Depre"/>
      <sheetName val="PK02 add"/>
      <sheetName val="PK02 (2)"/>
      <sheetName val="LIST-ASET"/>
      <sheetName val="TB-asli"/>
      <sheetName val="TB -2"/>
      <sheetName val="MOH 2006"/>
      <sheetName val="GL0107"/>
      <sheetName val="Pembantu"/>
      <sheetName val="PLR"/>
      <sheetName val="PLC"/>
      <sheetName val="PLSE"/>
      <sheetName val="PLGA"/>
      <sheetName val="PLOEI"/>
      <sheetName val="A (Cash Top Schedule)"/>
      <sheetName val="A.1 (Cash On Hand)"/>
      <sheetName val="A.1.3 TF"/>
      <sheetName val="A.1.4 TF"/>
      <sheetName val="A.1.5 TF"/>
      <sheetName val="A.2 (Cash in Bank)"/>
      <sheetName val="A.TT"/>
      <sheetName val="A.2.CO"/>
      <sheetName val="A.3 (Time Deposit)"/>
      <sheetName val="A.3 TEST"/>
      <sheetName val="A.CRAM"/>
      <sheetName val="Liability"/>
      <sheetName val="COVER PAGE"/>
      <sheetName val="PROFIT AND LOSS ACCOUNT"/>
      <sheetName val="NOTES "/>
      <sheetName val="Reclass"/>
      <sheetName val="Other AR"/>
      <sheetName val="Othercurrentasset"/>
      <sheetName val="PP&amp;E"/>
      <sheetName val="PP&amp;E (2)"/>
      <sheetName val="Othernoncurrentasset"/>
      <sheetName val="Trade payable"/>
      <sheetName val="Otherpayable"/>
      <sheetName val="Non Opex"/>
      <sheetName val="Entertainment (Eng)"/>
      <sheetName val="Additional FA "/>
      <sheetName val="Gain-Loss"/>
      <sheetName val="Prepaid tax Art 22"/>
      <sheetName val="Fully Depreciated Assets"/>
      <sheetName val="Reconciliation (2)"/>
      <sheetName val="B7"/>
      <sheetName val="ACT"/>
      <sheetName val="MFG"/>
      <sheetName val="IHT"/>
      <sheetName val="ACT vs FCT"/>
      <sheetName val="BUDN"/>
      <sheetName val="Daftaris"/>
      <sheetName val="LHU"/>
      <sheetName val="CashF"/>
      <sheetName val="Bukubesar"/>
      <sheetName val="L1-Penyertaan"/>
      <sheetName val="L2-AT2001"/>
      <sheetName val="L4-Limbah"/>
      <sheetName val="L5-BantuanYBDKPLN"/>
      <sheetName val="L6-Santunan"/>
      <sheetName val="L7-RekapByPend"/>
      <sheetName val="L8-BiayaAdmLain"/>
      <sheetName val="L9-Sumb.Pensiunan"/>
      <sheetName val="L3-BiayaYMHDibayar"/>
      <sheetName val="Art_22"/>
      <sheetName val="Art_23"/>
      <sheetName val="Art_25"/>
      <sheetName val="Fiskal_LN"/>
      <sheetName val="Attch eng"/>
      <sheetName val="PPh 22 01"/>
      <sheetName val="PPh Fiskal"/>
      <sheetName val="PPH2501"/>
      <sheetName val=" PPh 23 01 fr Eva"/>
      <sheetName val="PPh 22 treasurer 01 fr Eva"/>
      <sheetName val="Entert list01"/>
      <sheetName val="Disp cal"/>
      <sheetName val="Perhit disp"/>
      <sheetName val="UNIT-UNIT"/>
      <sheetName val="Eliminasi Subs"/>
      <sheetName val="KONSOL UNIT"/>
      <sheetName val="KIJANG"/>
      <sheetName val="LOGAM MULIA"/>
      <sheetName val="GEOMIN"/>
      <sheetName val="PONGKOR"/>
      <sheetName val="REK_jual"/>
      <sheetName val="sederhana_05"/>
      <sheetName val="REK_SDH_JUL"/>
      <sheetName val="jual_sdh05"/>
      <sheetName val="JUAL_STD"/>
      <sheetName val="rek_jual_jul"/>
      <sheetName val="DAT_PIUT1"/>
      <sheetName val="T-B"/>
      <sheetName val="Mashalling98"/>
      <sheetName val="gol I"/>
      <sheetName val="gol II"/>
      <sheetName val="Art. 25"/>
      <sheetName val="Regroup FA"/>
      <sheetName val="EXP0905"/>
      <sheetName val="Fixset-MHU"/>
      <sheetName val="Pre-Operating"/>
      <sheetName val="C of P Proj"/>
      <sheetName val="C of S Proj"/>
      <sheetName val="Sales Proj"/>
      <sheetName val="Assump"/>
      <sheetName val="IS Proj"/>
      <sheetName val="CF Proj"/>
      <sheetName val="Fixset-CPW"/>
      <sheetName val="IS-CPW"/>
      <sheetName val="CF-CPW"/>
      <sheetName val="BS-CPW"/>
      <sheetName val="C-8.1"/>
      <sheetName val="Att. E-1.2 (Subseq. Rcpt.)"/>
      <sheetName val="G-4"/>
      <sheetName val="O-1-1 (PPh 21-Jkt)"/>
      <sheetName val="O-1.2 (PPh 21-Smg)"/>
      <sheetName val="PYJE '03"/>
      <sheetName val="PAJE '03"/>
      <sheetName val="PRJE '03"/>
      <sheetName val="CAJE-03"/>
      <sheetName val="CRJE-03"/>
      <sheetName val="Wil"/>
      <sheetName val="EXP1205"/>
      <sheetName val="EXP1105"/>
      <sheetName val="EXP1005"/>
      <sheetName val="EXP0805"/>
      <sheetName val="EXP0705"/>
      <sheetName val="EXP0605"/>
      <sheetName val="EXP0505"/>
      <sheetName val="EXP0405"/>
      <sheetName val="EXP0305"/>
      <sheetName val="EXP0205"/>
      <sheetName val="EXP0105 (2)"/>
      <sheetName val="EXP0105"/>
      <sheetName val="REK_EKS_JUL"/>
      <sheetName val="APPENDIX C"/>
      <sheetName val="DFS"/>
      <sheetName val="APPENDIX B"/>
      <sheetName val="APPENDIX A"/>
      <sheetName val="BS DETAIL"/>
      <sheetName val="Kas Kecil"/>
      <sheetName val="Bank Victoria"/>
      <sheetName val="Bank Mandiri"/>
      <sheetName val="Bank Panin"/>
      <sheetName val="Bank UOB -3868"/>
      <sheetName val="Bank UOB -3876"/>
      <sheetName val="Bank UOB -3884"/>
      <sheetName val="Deposito UOB"/>
      <sheetName val="Deposito Victoria"/>
      <sheetName val="Deposito Mandiri"/>
      <sheetName val="Deposito BII"/>
      <sheetName val="Deposito Mega"/>
      <sheetName val="Deposito Artha Graha"/>
      <sheetName val="Deposito Panin"/>
      <sheetName val="Piutang Pemegang Saham"/>
      <sheetName val="Akumulasi Penyusutan "/>
      <sheetName val="Uang muka investasi"/>
      <sheetName val="Utang lain-lain"/>
      <sheetName val="Accrual audit"/>
      <sheetName val="Utang Pemegang Saham"/>
      <sheetName val="SMDM"/>
      <sheetName val="Uang Muka Setoran Modal"/>
      <sheetName val="Biaya Pendirian"/>
      <sheetName val="Biaya Sewa"/>
      <sheetName val="Biaya Penyusutan"/>
      <sheetName val="Biaya jasa prof"/>
      <sheetName val="Bag. laba bersih asosiasi"/>
      <sheetName val="Pendapatan bunga deposito"/>
      <sheetName val="B. amortisasi goodwil"/>
      <sheetName val="Pendapatan Jasa Giro"/>
      <sheetName val="By. Adm Bank"/>
      <sheetName val="Pendpt. (biaya) lain-lain"/>
      <sheetName val="JV 01-06 Pengakuan laba asosias"/>
      <sheetName val="JV 02-02 Pengakuan laba asosias"/>
      <sheetName val="JV 02-09 Pengakuan laba aso"/>
      <sheetName val="JV 02-09 Pengakuan rugi aso"/>
      <sheetName val="JV 01 Penyusutan aktiva tetap"/>
      <sheetName val="JV 03-02 amortisasi goodwill"/>
      <sheetName val="JV 02-06 amortisasi goodwill"/>
      <sheetName val="JV 02-09 amortisasi goodwil"/>
      <sheetName val="JV 02-10 amortisasi goodwil"/>
      <sheetName val="JV 09 Offset utang lain-lain"/>
      <sheetName val="JV PAJE Auditor"/>
      <sheetName val="JV 02 Accrual audit"/>
      <sheetName val="JV 03A Penurunan Saham"/>
      <sheetName val="JV 03C Reverse Kas Kecil"/>
      <sheetName val="JV 03B Konversi Utang"/>
      <sheetName val="JV 04 Pencairan dep. Victoria"/>
      <sheetName val="JV 05 Pencairan Deposito BII"/>
      <sheetName val="JV 06 Tambahan modal disetor"/>
      <sheetName val="Divisions"/>
      <sheetName val="Offices"/>
      <sheetName val="WP SUMUT Y3 07 rev"/>
      <sheetName val="16.Revisi wp3 ntt"/>
      <sheetName val="17.Papua Timika WP Y3 "/>
      <sheetName val="18. Irjabar POA Q12 Y3"/>
      <sheetName val="19.WP year 4 Kepri R4"/>
      <sheetName val="20.WP year 4 Riau R4"/>
      <sheetName val="21.WP year 4 Bali R4"/>
      <sheetName val="22.WP year 4 Papua R4"/>
      <sheetName val="12.MOMT WP Y3"/>
      <sheetName val="BUDGET SUMMARY GF Q"/>
      <sheetName val="SDAs"/>
      <sheetName val="Attachment 3 &amp; 4"/>
      <sheetName val="Attachment 3 &amp; 4 (2)"/>
      <sheetName val="Performance Framework 1&amp;2"/>
      <sheetName val="SDA cons"/>
      <sheetName val="HIV"/>
      <sheetName val="Malaria"/>
      <sheetName val="HSS"/>
      <sheetName val="Time frame"/>
      <sheetName val="HIV AIDS_Financial Data"/>
      <sheetName val="Annex 1-Master Budget"/>
      <sheetName val="Annex 2-List of SDA"/>
      <sheetName val="Annex 3-Summary Calculation"/>
      <sheetName val="Annex 3-Summary Calculation (2)"/>
      <sheetName val="CHEK LIST UANG MUKA "/>
      <sheetName val="Bayar"/>
      <sheetName val="Terima"/>
      <sheetName val="PUM Sarjito"/>
      <sheetName val="PUM PKBI"/>
      <sheetName val="PUM DIU"/>
      <sheetName val="PUM JOY"/>
      <sheetName val="PUM PIU"/>
      <sheetName val="PUK"/>
      <sheetName val="BP-PUM PIU"/>
      <sheetName val="BP-PUM PKBI"/>
      <sheetName val="IK &amp; HK"/>
      <sheetName val="PO"/>
      <sheetName val="Buku Jurnal"/>
      <sheetName val="buku kas lap Biaya yg sdh klr"/>
      <sheetName val="kas Opname"/>
      <sheetName val="Buku Bank Lap Biaya yg sdh klr"/>
      <sheetName val="Daftar uang muka Q13"/>
      <sheetName val="daftar hutang"/>
      <sheetName val="daftar asset Tetap"/>
      <sheetName val="Ending Ballance"/>
      <sheetName val="budget "/>
      <sheetName val="SUF SSR NEW 2 "/>
      <sheetName val="Rin.bank Q13"/>
      <sheetName val="Rin.bank sem.7"/>
      <sheetName val="Rin.bank th. ke-2"/>
      <sheetName val="Budget summary GF"/>
      <sheetName val="Daftar uang muka Q8"/>
      <sheetName val="Summary Q9"/>
      <sheetName val="Management Q9"/>
      <sheetName val="M&amp;E Q9"/>
      <sheetName val="TA Q9"/>
      <sheetName val="SDA Q9"/>
      <sheetName val="Ending Balance"/>
      <sheetName val="SUF SR NEW"/>
      <sheetName val="SUF SSR NEW"/>
      <sheetName val="SUF Konsol New"/>
      <sheetName val="Buku Bank Jan 12"/>
      <sheetName val="Daftar uang muka"/>
      <sheetName val="Budget Actua(SDA)l"/>
      <sheetName val="Daftar bunga bank 2011"/>
      <sheetName val="Daftar bunga bank 2012"/>
      <sheetName val="Komposisi Staff"/>
      <sheetName val="Buku Bank Juli '12"/>
      <sheetName val="SUF SSR"/>
      <sheetName val="SUF REKAP"/>
      <sheetName val="Rincian Bank Th. 1"/>
      <sheetName val="Rincian Bank Semester 6"/>
      <sheetName val="Rincian Bank Semester 7"/>
      <sheetName val="Rincian Bank Semester 5"/>
      <sheetName val="Komp Staff Yang Lama"/>
      <sheetName val="Komp. Staff Baru bln feb12"/>
      <sheetName val="Komp. Staff bln Mar '12"/>
      <sheetName val="Daftar uang muka Q12"/>
      <sheetName val="SUF SSR NEW "/>
      <sheetName val="Rincian bunga bank"/>
      <sheetName val="Summary2"/>
      <sheetName val="Detail Budget"/>
      <sheetName val="PF"/>
      <sheetName val="Budget per tahun (3 tahun)"/>
      <sheetName val="1100000"/>
      <sheetName val="1100000-1"/>
      <sheetName val="1290000"/>
      <sheetName val="Budget per tahun (3 thn)modi 14"/>
      <sheetName val="Asumsi tmbh 13 buddies"/>
      <sheetName val="Perbedaan phase 1&amp;2 Management"/>
      <sheetName val="Perbedaan Phase 1&amp;2 M-E"/>
      <sheetName val="Perbedaan Phase 1&amp;2 TA"/>
      <sheetName val="Perbedaan Phase 1&amp;2 SDA"/>
      <sheetName val="Persentase anggaran"/>
      <sheetName val="Budget SR"/>
      <sheetName val="Budget SSR"/>
      <sheetName val="Budget SSR 1 &amp; IU"/>
      <sheetName val="Budget SSR 1"/>
      <sheetName val="Budget IU Timur"/>
      <sheetName val="Budget IU Pusat"/>
      <sheetName val="Budget SSR 2 &amp; IU"/>
      <sheetName val="Budget SSR 2"/>
      <sheetName val="Budget IU Selatan"/>
      <sheetName val="Budget SSR 3 &amp; IU"/>
      <sheetName val="Budget SSR 3"/>
      <sheetName val="Budget IU Utara"/>
      <sheetName val="Budget IU Barat"/>
      <sheetName val="Buku Bank Mar '12"/>
      <sheetName val="Buku Bank Mei '12"/>
      <sheetName val="Buku Bank Agustus '12"/>
      <sheetName val="Rincian Bank Q13"/>
      <sheetName val="Komp. Staff bln Agustus '12"/>
      <sheetName val="Budget vs Realisasi"/>
      <sheetName val="semester 7"/>
      <sheetName val="Q 14"/>
      <sheetName val="Q 13"/>
      <sheetName val="Rincian bunga bank p'thn"/>
      <sheetName val="Rin bunga &amp; adm bank semester 6"/>
      <sheetName val="semester 5"/>
      <sheetName val="Susunan"/>
      <sheetName val="MoH"/>
      <sheetName val="SDA 51b"/>
      <sheetName val="SUM.BUDGET (TA tersendiri)"/>
      <sheetName val="SUM.BUDGET (TA dalam SDA)"/>
      <sheetName val="CostCat 51b"/>
      <sheetName val="MacCat 51b"/>
      <sheetName val="SDA 51c"/>
      <sheetName val="per Prov per Q"/>
      <sheetName val="PR_51"/>
      <sheetName val="SDA - 111215 PR"/>
      <sheetName val="SDA - 111214 pahe"/>
      <sheetName val="SDA - 111212"/>
      <sheetName val="Clinic"/>
      <sheetName val="Unitcost"/>
      <sheetName val="Kalkulasi Finance"/>
      <sheetName val="Keb CD4"/>
      <sheetName val="List Laporan SR "/>
      <sheetName val="rekonsiliasi bank_31"/>
      <sheetName val="BB Bank_31"/>
      <sheetName val="cash opname_rvs ok"/>
      <sheetName val="BB KAS_rvs PR"/>
      <sheetName val="DFT UM"/>
      <sheetName val="SUF SR_31"/>
      <sheetName val="SUF KONSOL_31"/>
      <sheetName val="ket var_rvs PR"/>
      <sheetName val="VAR_setting print"/>
      <sheetName val="cth reason variance"/>
      <sheetName val="BGT EXP_COA up date PR"/>
      <sheetName val="PHLN_RVS"/>
      <sheetName val="PHLN"/>
      <sheetName val="PA_rvs ok"/>
      <sheetName val="REKAP BGT EXP_rvs PR"/>
      <sheetName val="EFR_tahunan"/>
      <sheetName val="PA up date rms PR"/>
      <sheetName val="KAT SALES (TAP)"/>
      <sheetName val="Purchase-xxx (USD)"/>
      <sheetName val="Purchase-xxx (IDR)"/>
      <sheetName val="Sources _ Uses"/>
      <sheetName val="Incom"/>
      <sheetName val="Opera"/>
      <sheetName val="Sourc"/>
      <sheetName val="REVENUE BPT "/>
      <sheetName val="REVENUE DKMK"/>
      <sheetName val="PL Konsolidasi Telkom"/>
      <sheetName val="BADDEBT &amp; DEPRESIASI"/>
      <sheetName val="BEBAN KARYAWAN"/>
      <sheetName val="OPERASI &amp; PEMELIHARAAN"/>
      <sheetName val="UMUM &amp; ADMINISTRASI"/>
      <sheetName val="BEBAN PEMASARAN"/>
      <sheetName val="Breakdown biaya"/>
      <sheetName val="komparasi 2007 VS 2008"/>
      <sheetName val="OPEX ADMIN"/>
      <sheetName val="TOTAL CE"/>
      <sheetName val="PRINTING COST - bpt"/>
      <sheetName val="DISTRIBUTION COST - bpt"/>
      <sheetName val="Printing Cost - DKMK"/>
      <sheetName val="Distribusi Cost - DKMK"/>
      <sheetName val="FA &amp; depresiasi"/>
      <sheetName val="DIP COGS SALES'08"/>
      <sheetName val="DIP COGS PUBLISHING'08"/>
      <sheetName val="Div. Penjualan"/>
      <sheetName val="SSM Barat"/>
      <sheetName val="Jkt Utara"/>
      <sheetName val="Jkt Barat"/>
      <sheetName val="Jkt Pussel"/>
      <sheetName val="Jkt Timur"/>
      <sheetName val="SSM Timur"/>
      <sheetName val="Sby Utara"/>
      <sheetName val="Sby Selatan"/>
      <sheetName val="Kalimantan"/>
      <sheetName val="Bali &amp; NT"/>
      <sheetName val="Supama"/>
      <sheetName val="Penagihan Jkt"/>
      <sheetName val="Penagihan Sby"/>
      <sheetName val="BEBAN KARYAWAN SUPPORT"/>
      <sheetName val="Dir Dty"/>
      <sheetName val="Div Perencanaan &amp; Pemasaran"/>
      <sheetName val="Pengembangan &amp; Perenc Prod"/>
      <sheetName val="Promosi &amp; CS"/>
      <sheetName val="Divisi Operasi"/>
      <sheetName val="Performansi Dty"/>
      <sheetName val="Produksi PIB Jkt"/>
      <sheetName val="Produksi PIB grafis Sby"/>
      <sheetName val="Produksi DKMK (rev 30 Oct'07)"/>
      <sheetName val="Y-1"/>
      <sheetName val="DataEntry"/>
      <sheetName val="Data Graph"/>
      <sheetName val="preBud"/>
      <sheetName val="HFM"/>
      <sheetName val="ST144"/>
      <sheetName val="RKM"/>
      <sheetName val="RKM Dty"/>
      <sheetName val="RKM Multimedia"/>
      <sheetName val="RKM Konten"/>
      <sheetName val="FA pilar I (ziordplan-up)"/>
      <sheetName val="FA pilar II"/>
      <sheetName val="IO_CC (08)"/>
      <sheetName val="dpt In-House feb'02"/>
      <sheetName val="dpt In-House feb'03"/>
      <sheetName val="dpt In-House Feb '03"/>
      <sheetName val="In-direct"/>
      <sheetName val="Perangkat"/>
      <sheetName val="Perangkat (2)"/>
      <sheetName val="Lap. Biaya Kas"/>
      <sheetName val="Lap.Biaya Kas_SB"/>
      <sheetName val="Lap.Biaya Kas_LN"/>
      <sheetName val="Lap.Biaya Kas_KP"/>
      <sheetName val="Daftar UM_Juli"/>
      <sheetName val="PKBIQ2"/>
      <sheetName val="PKBIQ3"/>
      <sheetName val="UM_SB"/>
      <sheetName val="UM_LN"/>
      <sheetName val="UM_KP"/>
      <sheetName val="Summary Budget Activities"/>
      <sheetName val="budget SSR 1 BATAM"/>
      <sheetName val="Budget SSR 3 Tanjungpinang"/>
      <sheetName val="budget SSR 2 Karimun "/>
      <sheetName val="Portofolio Trading"/>
      <sheetName val="Top-TOC"/>
      <sheetName val="Sample List"/>
      <sheetName val="Execution-B1.1"/>
      <sheetName val="GBKI-B1.2"/>
      <sheetName val="Documentation-B1.3"/>
      <sheetName val="Gain (Loss)-B1.4"/>
      <sheetName val="Reasonableness-B1.5"/>
      <sheetName val="Recording Method-B1.6"/>
      <sheetName val="Quantitative1-B1.7"/>
      <sheetName val="Quantitative2-B1.8"/>
      <sheetName val="Quantitative3-B1.9"/>
      <sheetName val="Quantitative4-B1.10"/>
      <sheetName val="Approval-B1.11"/>
      <sheetName val="Recording-B1.12"/>
      <sheetName val="Top-Analytical"/>
      <sheetName val="Year End"/>
      <sheetName val="Retquest-Dayat"/>
      <sheetName val="Request-Wolter"/>
      <sheetName val="Entry  HTM"/>
      <sheetName val="Daftar Lamp."/>
      <sheetName val="TOTALP&amp;L"/>
      <sheetName val="Matahari"/>
      <sheetName val="BS MTP (1)"/>
      <sheetName val="NOTES (4-8)"/>
      <sheetName val="Attachment (9-14) "/>
      <sheetName val="ANTM"/>
      <sheetName val="N-INDF"/>
      <sheetName val="N-HMSP"/>
      <sheetName val="N-GGRM"/>
      <sheetName val="N-ASII"/>
      <sheetName val="N-AALI"/>
      <sheetName val="N-UNTR"/>
      <sheetName val="TRIM"/>
      <sheetName val="N-SMGR"/>
      <sheetName val="SAHAM"/>
      <sheetName val="N-INKP"/>
      <sheetName val="IDSR"/>
      <sheetName val="INTP"/>
      <sheetName val="N-CTRS"/>
      <sheetName val="N-BBNI"/>
      <sheetName val="AUTO"/>
      <sheetName val="N-LTLS"/>
      <sheetName val="N-LPLI"/>
      <sheetName val="N-KLBF"/>
      <sheetName val="J-JIHD"/>
      <sheetName val="N-JIHD"/>
      <sheetName val="SMAR"/>
      <sheetName val="N-UNVR"/>
      <sheetName val="RMBA"/>
      <sheetName val="N-TSPC"/>
      <sheetName val="N-TKIM"/>
      <sheetName val="PTBA"/>
      <sheetName val="SONA"/>
      <sheetName val="SMCB"/>
      <sheetName val="N-RALS"/>
      <sheetName val="N-PNBN"/>
      <sheetName val="BELI-NJHT-AFS"/>
      <sheetName val="JUAL-NJHT-FS"/>
      <sheetName val="JUAL-NJHT-FT"/>
      <sheetName val="Penurunan Efek"/>
      <sheetName val="Cost 1 Jan"/>
      <sheetName val="ANTM-N"/>
      <sheetName val="INAF-N"/>
      <sheetName val="INDF"/>
      <sheetName val="J-ASII "/>
      <sheetName val="AALI-J"/>
      <sheetName val="Hut-Pit"/>
      <sheetName val="disposal assets"/>
      <sheetName val="provision (3)"/>
      <sheetName val="Recon-Art.21"/>
      <sheetName val="Peny-2002"/>
      <sheetName val="Marshal-2"/>
      <sheetName val="Marshal-3"/>
      <sheetName val="recon-21"/>
      <sheetName val="Depr-Comp"/>
      <sheetName val="Depr-Comp (2)"/>
      <sheetName val="provision (2)"/>
      <sheetName val="fiscal corr (3)"/>
      <sheetName val="fiscal corr (2)"/>
      <sheetName val="FA Fiscal vs Comm"/>
      <sheetName val="oblig Trad&amp;AFS"/>
      <sheetName val="COGS98"/>
      <sheetName val="RL98"/>
      <sheetName val="Neraca98"/>
      <sheetName val="DEPR98"/>
      <sheetName val="assets98"/>
      <sheetName val="Art2598"/>
      <sheetName val="HERO-N"/>
      <sheetName val="HERO"/>
      <sheetName val="BHIT"/>
      <sheetName val="MPPA"/>
      <sheetName val="DSUC"/>
      <sheetName val="MEDCN"/>
      <sheetName val="Disposal (2)"/>
      <sheetName val="Drop Down List"/>
      <sheetName val="Depreciation RBW (2)"/>
      <sheetName val="PAJE12"/>
      <sheetName val="AUC BANG"/>
      <sheetName val="AUC PROYEK"/>
      <sheetName val="PIUS"/>
      <sheetName val="UTANG"/>
      <sheetName val="NOTE KONS"/>
      <sheetName val="J.ELIM 2013"/>
      <sheetName val="SAP NOP13-NOP12"/>
      <sheetName val="SAP NOP13"/>
      <sheetName val="SAP NOP-DES"/>
      <sheetName val="KK SAP NOPEMBER"/>
      <sheetName val="KK NOPEMBER"/>
      <sheetName val="BEBAN"/>
      <sheetName val="Bs kon"/>
      <sheetName val="Pl kons"/>
      <sheetName val="EK KONS"/>
      <sheetName val="Cf kons"/>
      <sheetName val="CF_KONS"/>
      <sheetName val="Tambahan"/>
      <sheetName val="CM"/>
      <sheetName val="Bs in COST"/>
      <sheetName val="Plin COST"/>
      <sheetName val="EQin COST"/>
      <sheetName val="Cf ind COST"/>
      <sheetName val="CF_PARENT"/>
      <sheetName val="RASIO_INDUK INTERN"/>
      <sheetName val="RASIO KEPMEN"/>
      <sheetName val="TABEL_RASIO_KPI"/>
      <sheetName val="TKP"/>
      <sheetName val="WS 0813"/>
      <sheetName val="BS INTENS"/>
      <sheetName val="PL INTENS"/>
      <sheetName val="NOTE INTENS"/>
      <sheetName val="BS IPMS"/>
      <sheetName val="PL IPMS"/>
      <sheetName val="CIT 2012"/>
      <sheetName val="NOTE IPMS"/>
      <sheetName val="KK IPMS"/>
      <sheetName val="KK INTEN"/>
      <sheetName val="EKUITAS ANAK"/>
      <sheetName val="SKU"/>
      <sheetName val="GRAFIK PENDAPATAN"/>
      <sheetName val="SKPLB"/>
      <sheetName val="AUC"/>
      <sheetName val="kol"/>
      <sheetName val="Labul"/>
      <sheetName val="Sandi"/>
      <sheetName val="Denda"/>
      <sheetName val="konfirm"/>
      <sheetName val="perhit hrg tanah"/>
      <sheetName val="Hutang Tanah up date"/>
      <sheetName val="Kop-97"/>
      <sheetName val="Dafis"/>
      <sheetName val="Bab"/>
      <sheetName val="Ongko"/>
      <sheetName val="master supplier"/>
      <sheetName val="COST+EXP"/>
      <sheetName val="Annual-Plan-1998-A-US$-Rupiah-F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KU-Ajt'03"/>
      <sheetName val="KS-Ajt'03"/>
      <sheetName val="KT-Ajt'03"/>
      <sheetName val="KB-Ajt'03"/>
      <sheetName val="Sum KU,KS,KT,KB"/>
      <sheetName val="Mill-Ajt'03"/>
      <sheetName val="FA-EST per sept"/>
      <sheetName val="FA-POM per sept"/>
      <sheetName val="FA-EST Dec"/>
      <sheetName val="FA-POM dec"/>
      <sheetName val="CFI"/>
      <sheetName val="BS (print)"/>
      <sheetName val="pl-"/>
      <sheetName val="pl- (2)"/>
      <sheetName val="GJ"/>
      <sheetName val="LDG"/>
      <sheetName val="CF2.0"/>
      <sheetName val="By.Praoperasi(JULI)"/>
      <sheetName val="By Praoperasi agst"/>
      <sheetName val="By Praoperasi des"/>
      <sheetName val="B.Peny TRW II "/>
      <sheetName val="Penyst Juli"/>
      <sheetName val="Penyst Agustus"/>
      <sheetName val="Penyst Agustus (2)"/>
      <sheetName val="Penyst -2006"/>
      <sheetName val="bs-2006"/>
      <sheetName val="aktiva (2)"/>
      <sheetName val="pl agt"/>
      <sheetName val="CF1.0"/>
      <sheetName val="By.Praoperasi des"/>
      <sheetName val="B.Peny. mar"/>
      <sheetName val="B.Peny. jun"/>
      <sheetName val="B.Peny. jul"/>
      <sheetName val="B.Peny. AGT"/>
      <sheetName val="B.Peny. 2006"/>
      <sheetName val="BS-"/>
      <sheetName val="tes"/>
      <sheetName val="bs-audit"/>
      <sheetName val="p&amp;l-audit"/>
      <sheetName val="detail-bs-audit"/>
      <sheetName val="BBT-12'00"/>
      <sheetName val="BBT-01"/>
      <sheetName val="BBT-02"/>
      <sheetName val="BBT-03"/>
      <sheetName val="BBT-04"/>
      <sheetName val="BBT-05"/>
      <sheetName val="BBT-06"/>
      <sheetName val="BBT-07"/>
      <sheetName val="BBT-08"/>
      <sheetName val="BBT-09"/>
      <sheetName val="BBT-10"/>
      <sheetName val="BBT-11"/>
      <sheetName val="BBT-12"/>
      <sheetName val="PENY_tw1"/>
      <sheetName val="LIST_tw1"/>
      <sheetName val="Fin Highlights Revised $158m"/>
      <sheetName val="Working Capital - $83.6m"/>
      <sheetName val="Cost to complete - $19.808m"/>
      <sheetName val="AP Smy"/>
      <sheetName val="1.0 Oversea supplier 19-03-08"/>
      <sheetName val="Local Supplier 150608 Detail"/>
      <sheetName val="2.0 Local Supplier 15-06-08 Smy"/>
      <sheetName val="Post Dated Chequ Detail 180608"/>
      <sheetName val="3.0Post Dated Cheque smy 180608"/>
      <sheetName val="4.0 AP Overhead 15-06-08"/>
      <sheetName val="5.0 AP Contractor 160608"/>
      <sheetName val="AP CONT. PER PT"/>
      <sheetName val="Summary of Replacement Cost"/>
      <sheetName val="Acid1, Alco1 (R)"/>
      <sheetName val="DAP-CIP (DET)"/>
      <sheetName val="Alco2 (R)"/>
      <sheetName val="SMAP-CIP (DET)"/>
      <sheetName val="DAIP (R)"/>
      <sheetName val="DAIP-CIP (DET)"/>
      <sheetName val="DSIP (R)"/>
      <sheetName val="DSIP-CIP (DET)"/>
      <sheetName val="FSC (R)"/>
      <sheetName val="FSC-CIP (DET)"/>
      <sheetName val="SIP (R)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Revenue Audit Program"/>
      <sheetName val="Cost &amp; Expenses Audit Program"/>
      <sheetName val="U1.3"/>
      <sheetName val="U1.4"/>
      <sheetName val="U1.5"/>
      <sheetName val="U1.6"/>
      <sheetName val="U1.7"/>
      <sheetName val="U2.3"/>
      <sheetName val="U3.1"/>
      <sheetName val="U3.2"/>
      <sheetName val="U3.3"/>
      <sheetName val="U3.4"/>
      <sheetName val="WP "/>
      <sheetName val="Journal Unit "/>
      <sheetName val="LOAN CS &amp; MANDIRI"/>
      <sheetName val="AP-Advance sales-Due to"/>
      <sheetName val="AR-Advance-Due from"/>
      <sheetName val="SIP"/>
      <sheetName val="Inv.Equity"/>
      <sheetName val="acc_bal_mutation_consol"/>
      <sheetName val="CF-CONSO"/>
      <sheetName val="Rencana Tanam"/>
      <sheetName val="WorkSheet-produksi"/>
      <sheetName val="Rekap Produksi"/>
      <sheetName val="Standar"/>
      <sheetName val="SIMP"/>
      <sheetName val="Alokasi TBS"/>
      <sheetName val="CTP"/>
      <sheetName val="IP"/>
      <sheetName val="SP"/>
      <sheetName val="GMR"/>
      <sheetName val="SRE1"/>
      <sheetName val="SRE2"/>
      <sheetName val="SBE1"/>
      <sheetName val="SBE2"/>
      <sheetName val="KGP - KBE"/>
      <sheetName val="KGP - THE (Plasma)"/>
      <sheetName val="CNIS - KDE"/>
      <sheetName val="CNIS - SME (Plasma)"/>
      <sheetName val="CNIS - TME (Plasma)"/>
      <sheetName val="RAP - MME (Plasma)"/>
      <sheetName val="CKS - TPE (Plasma)"/>
      <sheetName val="ASP"/>
      <sheetName val="MSA - MRE"/>
      <sheetName val="MSA - MSE"/>
      <sheetName val="SBN - PGE"/>
      <sheetName val="KMS - PNE"/>
      <sheetName val="KMS - Karet"/>
      <sheetName val="Rencana PKS"/>
      <sheetName val="RAP - NSE"/>
      <sheetName val="CKS - SPE"/>
      <sheetName val="RAP - NSE Ext Yield"/>
      <sheetName val="CKS - SPE Ext Yield"/>
      <sheetName val="JS Ext Yield"/>
      <sheetName val="FFB Price"/>
      <sheetName val="CKS Production"/>
      <sheetName val="Actual &amp; Valuation by PY"/>
      <sheetName val="Summary of Value per Dec 06"/>
      <sheetName val="Summary by Year of Planting"/>
      <sheetName val="Solegna"/>
      <sheetName val="MMM"/>
      <sheetName val="PBJ"/>
      <sheetName val="TSP"/>
      <sheetName val="ARBV"/>
      <sheetName val="AI FINANCE"/>
      <sheetName val="Revisi"/>
      <sheetName val="MMM (A)"/>
      <sheetName val="Leasing-JAW-IDR"/>
      <sheetName val="Leasing-Emal-IDR"/>
      <sheetName val="Leasing-MMM-Dipo Star Fin-USD"/>
      <sheetName val="Leasing-MMM-Astragrapia-IDR"/>
      <sheetName val="Leasing-PBJ Dipo Star Finan"/>
      <sheetName val="Leasing-PP-Dipo Star Fin-USD"/>
      <sheetName val="sumary leasing"/>
      <sheetName val="InputSheet"/>
      <sheetName val="1.GasAcct"/>
      <sheetName val="PGN TOP"/>
      <sheetName val="3.Gas(MMSCF)"/>
      <sheetName val="2.Gas(MMBTU)"/>
      <sheetName val="4.Gas(USD) "/>
      <sheetName val="5.Cond"/>
      <sheetName val="LoadingDoc.Letter"/>
      <sheetName val="Letter for Inv"/>
      <sheetName val="GSAInvoice"/>
      <sheetName val="sig-bonus"/>
      <sheetName val="3.CMR-GAS&gt;ACQ(MSCF) "/>
      <sheetName val="7.CMR-GAS&gt;ACQ(MMBTU)"/>
      <sheetName val="10. ($) Gas &gt; acq "/>
      <sheetName val="C&amp;D (Year end)"/>
      <sheetName val="14.MT-1(qrt)"/>
      <sheetName val="GSAInvoice.2"/>
      <sheetName val="KuitansiPJB"/>
      <sheetName val="KuitansiPJB.2"/>
      <sheetName val="Aprroval Letter"/>
      <sheetName val="Rev.Approv.Letter"/>
      <sheetName val="Approval"/>
      <sheetName val="DI-PartA"/>
      <sheetName val="DI-Part-B"/>
      <sheetName val="Rev.DI-PartA"/>
      <sheetName val="Rev.DI-PartB"/>
      <sheetName val="CoverC&amp;D-HO"/>
      <sheetName val="10.C&amp;DReq"/>
      <sheetName val="CoverC&amp;DRep"/>
      <sheetName val="11.C&amp;DTaxK60"/>
      <sheetName val="12.PSC7.1-K60"/>
      <sheetName val="13.PSC7.2-K60"/>
      <sheetName val="14.C&amp;DTaxK40"/>
      <sheetName val="15. PSC7.1-K40"/>
      <sheetName val="16.PSC7.2-K40"/>
      <sheetName val="Letter for Inv_CorrPLN"/>
      <sheetName val="22.C&amp;D(R)"/>
      <sheetName val="DMO-LTR"/>
      <sheetName val="18.DMO"/>
      <sheetName val="Supp'l"/>
      <sheetName val="RRS"/>
      <sheetName val="MA-5"/>
      <sheetName val="MA-6"/>
      <sheetName val="Reinstate PGN-96"/>
      <sheetName val="lettter PGN-96"/>
      <sheetName val="UKGAAP-adj"/>
      <sheetName val="CIP-addition POM"/>
      <sheetName val="Operating Exp. ID2"/>
      <sheetName val="Maping ACC Sep05"/>
      <sheetName val="TB-Dec05 ID2"/>
      <sheetName val="CRA_Detail"/>
      <sheetName val="ARJUNA"/>
      <sheetName val="ARIMBI"/>
      <sheetName val="CINTA"/>
      <sheetName val="PGN"/>
      <sheetName val="RESIDUE"/>
      <sheetName val="PLNGAS"/>
      <sheetName val="ENT-PER"/>
      <sheetName val="MA5JA"/>
      <sheetName val="MA6JA"/>
      <sheetName val="MA5&amp;6 recon"/>
      <sheetName val="BCAJA"/>
      <sheetName val="BCA UK GAAP"/>
      <sheetName val="LIFTR"/>
      <sheetName val="C&amp;DTAX"/>
      <sheetName val="MV"/>
      <sheetName val="Comp equip"/>
      <sheetName val="Mach &amp; equip"/>
      <sheetName val="Freezers"/>
      <sheetName val="Journal consolidated"/>
      <sheetName val="Journal adjustment unit"/>
      <sheetName val="landright"/>
      <sheetName val="BS &amp; IS"/>
      <sheetName val="CF-CONSO&amp;UNITS"/>
      <sheetName val="Journal Adjusment Unit"/>
      <sheetName val=" ENGLISH"/>
      <sheetName val="DIT-P"/>
      <sheetName val="man pow"/>
      <sheetName val="FSC-BS"/>
      <sheetName val="FSC-PL"/>
      <sheetName val="COGM APR 12"/>
      <sheetName val="FSC-NT"/>
      <sheetName val="Korfis"/>
      <sheetName val="Diferred"/>
      <sheetName val="DAIP-BS"/>
      <sheetName val="DAIP-PL"/>
      <sheetName val="DAIP-NT"/>
      <sheetName val="DAIP-CIP"/>
      <sheetName val="DAIP-FA"/>
      <sheetName val="ICBSP"/>
      <sheetName val="Escroow january"/>
      <sheetName val="Escroow February"/>
      <sheetName val="Escroow Maret"/>
      <sheetName val="Escroow"/>
      <sheetName val="Diferred tax"/>
      <sheetName val="DSIP-BS"/>
      <sheetName val="DSIP-PL"/>
      <sheetName val="DSIP-NT"/>
      <sheetName val="DSIP-CIP"/>
      <sheetName val="DSIP-FA"/>
      <sheetName val="Mei 2011"/>
      <sheetName val="Jun 2011"/>
      <sheetName val="Jul 2011"/>
      <sheetName val="Ags 2011"/>
      <sheetName val="Sep 2011"/>
      <sheetName val="Okt 11"/>
      <sheetName val="Nop 11"/>
      <sheetName val="Des 11"/>
      <sheetName val="Schedul Escroow"/>
      <sheetName val="Deffered"/>
      <sheetName val="SIP-BS"/>
      <sheetName val="SIP-PL"/>
      <sheetName val="SIP-NT"/>
      <sheetName val="SIP-FA"/>
      <sheetName val="TB    "/>
      <sheetName val="GL    "/>
      <sheetName val="TB      "/>
      <sheetName val="GL      "/>
      <sheetName val="rek-hpp"/>
      <sheetName val="R Cash"/>
      <sheetName val="Estate-cost"/>
      <sheetName val="factory-cost"/>
      <sheetName val="produk jadi"/>
      <sheetName val="Propit&amp;loss"/>
      <sheetName val="rinci-Cash"/>
      <sheetName val="rinci-AR"/>
      <sheetName val="rinci-inventory"/>
      <sheetName val="rinci-AP"/>
      <sheetName val="G&amp;A-Expenses"/>
      <sheetName val="G &amp; A Expenses"/>
      <sheetName val="rinci-Affiliasi "/>
      <sheetName val="rinci-taxe"/>
      <sheetName val="rinci-All others"/>
      <sheetName val="D. P Asst "/>
      <sheetName val="Intercompany "/>
      <sheetName val="Rekonse BNI "/>
      <sheetName val="Pert asset 2009 "/>
      <sheetName val="SUPPORTING "/>
      <sheetName val="fieldcost"/>
      <sheetName val="kerja-est"/>
      <sheetName val="kerja-budget"/>
      <sheetName val="point"/>
      <sheetName val="Persediaan CPO&amp;PK"/>
      <sheetName val="By Produksi"/>
      <sheetName val="Rincian Neraca"/>
      <sheetName val="neraca CF"/>
      <sheetName val="Debt"/>
      <sheetName val="admin-bunga"/>
      <sheetName val="Detail Aktiva"/>
      <sheetName val="Plantations"/>
      <sheetName val="Strategic"/>
      <sheetName val="Asumption"/>
      <sheetName val="TOP IS"/>
      <sheetName val="TOP Others"/>
      <sheetName val="Beniform"/>
      <sheetName val="Cr.Suis"/>
      <sheetName val="WP-CF"/>
      <sheetName val="FS ver 1"/>
      <sheetName val="Fact.C"/>
      <sheetName val="Matur.C"/>
      <sheetName val="Distr.Cost"/>
      <sheetName val="Mater.P"/>
      <sheetName val="PKS&amp;SG"/>
      <sheetName val="AGW"/>
      <sheetName val="WP Cons"/>
      <sheetName val="BUDGET AND STRATEGIC PLAN"/>
      <sheetName val="BUDGET AMM"/>
      <sheetName val="AMM"/>
      <sheetName val="WCF"/>
      <sheetName val="Exc.Summary"/>
      <sheetName val="Detail Neraca"/>
      <sheetName val="Detail BS-Exc.Summ"/>
      <sheetName val="BS-Exc.Summary"/>
      <sheetName val="IS2.Exc.Summ"/>
      <sheetName val="IS.Exc.Summ"/>
      <sheetName val="Graphik Produksi"/>
      <sheetName val="CF-Exc.Summ"/>
      <sheetName val="sales 1"/>
      <sheetName val="sales 2"/>
      <sheetName val="Exc.sales customer"/>
      <sheetName val="Budget Travel"/>
      <sheetName val="Budget Lainnya"/>
      <sheetName val="SK Perjln Dinas"/>
      <sheetName val="Asumsi Makro"/>
      <sheetName val="PT. AGW"/>
      <sheetName val="UNIT KONSOL"/>
      <sheetName val="PT. AMM"/>
      <sheetName val="PT.SNP"/>
      <sheetName val="DETAIL PL_UNIT KONSOL"/>
      <sheetName val="DETAIL PL_PT.SNP"/>
      <sheetName val="DETAIL PL_PT. AGW"/>
      <sheetName val="Inventory SNP"/>
      <sheetName val="DETAIL PL_PT. AMM"/>
      <sheetName val="Export Tax"/>
      <sheetName val="JD"/>
      <sheetName val="Dftr"/>
      <sheetName val="Rkp-LR-Budget"/>
      <sheetName val="Key Indicators"/>
      <sheetName val="penj.i"/>
      <sheetName val="r-tmi"/>
      <sheetName val="tmi-s"/>
      <sheetName val="rtbmi"/>
      <sheetName val="tbmi'04"/>
      <sheetName val="tbmi'05"/>
      <sheetName val="rbbt"/>
      <sheetName val="bbt"/>
      <sheetName val="btl-k-d"/>
      <sheetName val="btl-ho-ro"/>
      <sheetName val="ALK-BTL-RO"/>
      <sheetName val="ALK-BTL-DO II"/>
      <sheetName val="ALK-BTL-HO"/>
      <sheetName val="ALK-BUNGA-HO"/>
      <sheetName val="ALK-PENY-HO"/>
      <sheetName val="penj.p"/>
      <sheetName val="rbtmp"/>
      <sheetName val="tmp-s"/>
      <sheetName val="rtbmp"/>
      <sheetName val="tbmp'04"/>
      <sheetName val="tbmp'05"/>
      <sheetName val="Piutang Staff"/>
      <sheetName val="Piutang Lain Lain"/>
      <sheetName val="Piutang Affiliasi"/>
      <sheetName val="Piut AFF RO-HO terbaru"/>
      <sheetName val="Segmen-05"/>
      <sheetName val="GLP 2013 "/>
      <sheetName val="Rincian 2013 PGE"/>
      <sheetName val="Rincian 2013 LME"/>
      <sheetName val="2014-2018 PGE"/>
      <sheetName val="2014-2018 LME"/>
      <sheetName val="2014-2018 GLP"/>
      <sheetName val="Original Peb'13"/>
      <sheetName val="Asli Peb'13"/>
      <sheetName val="Full"/>
      <sheetName val="Trade"/>
      <sheetName val="Kontraktor"/>
      <sheetName val="2 (2)"/>
      <sheetName val="3 (2)"/>
      <sheetName val="2011"/>
      <sheetName val="Win Loss Analysis"/>
      <sheetName val="RESUME OK CADANGAN"/>
      <sheetName val="OK CADANGAN"/>
      <sheetName val="Alat Prod"/>
      <sheetName val="pek tambah (selisih vol)"/>
      <sheetName val="BQ STRK"/>
      <sheetName val="BQ-ELEK"/>
      <sheetName val="BQ-MEK"/>
      <sheetName val="HSB"/>
      <sheetName val="tgp-02"/>
      <sheetName val="tgp_02"/>
      <sheetName val="TOTAL HC 1"/>
      <sheetName val="TOTAL HC"/>
      <sheetName val="Tunjab"/>
      <sheetName val="TOTAL all"/>
      <sheetName val="DATA U LK"/>
      <sheetName val="NT "/>
      <sheetName val="LR DEP "/>
      <sheetName val="PENJ-INTERN"/>
      <sheetName val="PENJ-LOAN"/>
      <sheetName val="PIUT BAPEPAM-JUN"/>
      <sheetName val="RET-BAPEPAM-JUN"/>
      <sheetName val="MUTASI AKT"/>
      <sheetName val="TAGBRUT BAPEPAM"/>
      <sheetName val="IKHT-PYD&amp;PDP"/>
      <sheetName val="IKHT PYD"/>
      <sheetName val="IKHT PDDK"/>
      <sheetName val="IHTISAR KSO"/>
      <sheetName val="IKHT UTG PER NSBH "/>
      <sheetName val="SEGMEN GEOGRAFIS"/>
      <sheetName val="VALAS"/>
      <sheetName val="LK-KONSOLIDASI "/>
      <sheetName val="CF KONSOL"/>
      <sheetName val="NOTES PUBLIS"/>
      <sheetName val="Judul 07"/>
      <sheetName val="Dafisi"/>
      <sheetName val="Rekap Aktiva Tetap+ Penys"/>
      <sheetName val="Konfirmasi Bank"/>
      <sheetName val="PPN Masukan"/>
      <sheetName val="PPh 25 (2)"/>
      <sheetName val="Bayar 21"/>
      <sheetName val="BRI Jakarta"/>
      <sheetName val="BRI Suraby"/>
      <sheetName val="Bukopin JKT"/>
      <sheetName val="Bukopin SBY"/>
      <sheetName val="Mandiri JKT"/>
      <sheetName val="Mandiri SBY"/>
      <sheetName val="Prepaid Insurance"/>
      <sheetName val="Imbln. Kerja"/>
      <sheetName val="Praoprasi"/>
      <sheetName val="BAP"/>
      <sheetName val="AJ 07"/>
      <sheetName val="WBS 07"/>
      <sheetName val="Khosim"/>
      <sheetName val="BNI JKT"/>
      <sheetName val="Voucher"/>
      <sheetName val="BNI SBY"/>
      <sheetName val="PPh 21 "/>
      <sheetName val="Hutang PPh 23"/>
      <sheetName val="Rekap PPh 23 Agung"/>
      <sheetName val="Pernyataan"/>
      <sheetName val="Peralatan kantor"/>
      <sheetName val="PROJECT-BLN"/>
      <sheetName val="Penjualan 2010"/>
      <sheetName val="Biaya 2010"/>
      <sheetName val="LEDGER SEPT"/>
      <sheetName val="NERACA&quot;T&quot;"/>
      <sheetName val="RL 08-10"/>
      <sheetName val="simhu"/>
      <sheetName val="piutang usaha "/>
      <sheetName val="piutang lain"/>
      <sheetName val="Impairment"/>
      <sheetName val="piutang retensi"/>
      <sheetName val="piutang kary"/>
      <sheetName val="pajak DD"/>
      <sheetName val="PDD"/>
      <sheetName val="ap wika "/>
      <sheetName val="hutang lain"/>
      <sheetName val="jasa giro"/>
      <sheetName val="beban lain "/>
      <sheetName val="beban pajak"/>
      <sheetName val="LEDGER DES"/>
      <sheetName val="TIMOR LESTE (USD)"/>
      <sheetName val="AMBON"/>
      <sheetName val="DUMAI"/>
      <sheetName val="KETAPANG"/>
      <sheetName val="KUPANG (USD)"/>
      <sheetName val="KCM"/>
      <sheetName val="SEMEN PDG"/>
      <sheetName val="MEDCO"/>
      <sheetName val="ASAM2"/>
      <sheetName val="AMURANG"/>
      <sheetName val="INDOCEMENT"/>
      <sheetName val="KUALANAMU"/>
      <sheetName val="OPTIMA"/>
      <sheetName val="FAJAR"/>
      <sheetName val="SANKYU"/>
      <sheetName val="SANKYU - UBC"/>
      <sheetName val="SANKYU - EFM"/>
      <sheetName val="SANKYU - IKK"/>
      <sheetName val="DAFTAR ISI (3)"/>
      <sheetName val="DAFTAR ISI (2)"/>
      <sheetName val="I (2)"/>
      <sheetName val="AK-TL"/>
      <sheetName val="New CF"/>
      <sheetName val="14a"/>
      <sheetName val="20a"/>
      <sheetName val="FORMAT"/>
      <sheetName val="NT-IFRS"/>
      <sheetName val="LRDEPT IFRS"/>
      <sheetName val="PIUT BAPEPAM-DES"/>
      <sheetName val="RET-BAPEPAM-DES"/>
      <sheetName val="PYD"/>
      <sheetName val="UM DITERIMA"/>
      <sheetName val="IKHT PDPK"/>
      <sheetName val="IKHT UTG PER NSBH"/>
      <sheetName val="FORMAT JO"/>
      <sheetName val=" HUTANG TOTAL"/>
      <sheetName val="HUTANG PEMASOK (HANIK)"/>
      <sheetName val="HUTANG SUBKON"/>
      <sheetName val="lk konsolidasi des"/>
      <sheetName val="LR_SPK 2012 "/>
      <sheetName val="KKP SL-baru"/>
      <sheetName val="htung lama"/>
      <sheetName val="finalhpp"/>
      <sheetName val="Des '07"/>
      <sheetName val="CO '08"/>
      <sheetName val="DSU-2"/>
      <sheetName val="LPP Des 07"/>
      <sheetName val="rkap'08"/>
      <sheetName val="DSU-2 (OP)"/>
      <sheetName val="DSU-2 (LK)"/>
      <sheetName val="OP-bln"/>
      <sheetName val="LK-bln"/>
      <sheetName val="OK-bln"/>
      <sheetName val="DSU-2 (2)"/>
      <sheetName val="TKSEHAT"/>
      <sheetName val="KEYPEFOR"/>
      <sheetName val="ANSWOT"/>
      <sheetName val="PROGKER"/>
      <sheetName val="rinc-bius"/>
      <sheetName val="rl-lain"/>
      <sheetName val="PENGELUAR"/>
      <sheetName val="PENERIMAAN"/>
      <sheetName val="proyinv"/>
      <sheetName val="Tanggapan"/>
      <sheetName val="ELKP"/>
      <sheetName val="NAV0"/>
      <sheetName val="Perubahan Modal"/>
      <sheetName val="Rasio 2"/>
      <sheetName val="Schedule A"/>
      <sheetName val="Schedule B"/>
      <sheetName val="Schedule C"/>
      <sheetName val="Schedule D"/>
      <sheetName val="Rasio Diklat "/>
      <sheetName val="Analisis"/>
      <sheetName val="Sub A"/>
      <sheetName val="Sub B (1)"/>
      <sheetName val="Sub B (2)"/>
      <sheetName val="Sub C"/>
      <sheetName val="Sub D"/>
      <sheetName val="Rincian A-1"/>
      <sheetName val="Rincian B-1"/>
      <sheetName val="Rincian C-1"/>
      <sheetName val="Rincian D-1"/>
      <sheetName val="Rincian F-1"/>
      <sheetName val="Rincian E-1"/>
      <sheetName val="Rincian G-1"/>
      <sheetName val="Rincian H-1"/>
      <sheetName val="Rincian L-1"/>
      <sheetName val="Rincian M-1"/>
      <sheetName val="Rincian N-1"/>
      <sheetName val="Rincian O-1"/>
      <sheetName val="Rincian P-1"/>
      <sheetName val="Rincian Q-1"/>
      <sheetName val="Rincian R-1"/>
      <sheetName val="Rincian S-1"/>
      <sheetName val="Rincian T-1"/>
      <sheetName val="Rincian U-1"/>
      <sheetName val="Rincian V-1"/>
      <sheetName val="Rincian W-1"/>
      <sheetName val="Rincian X-1"/>
      <sheetName val="Rincian Y-1"/>
      <sheetName val="BUAT LAMPIRAN NERACA 09"/>
      <sheetName val="NERACA 2009 NERACA"/>
      <sheetName val="NERACA 2009 ASLI"/>
      <sheetName val="02_2009"/>
      <sheetName val="01_2009"/>
      <sheetName val="12_2008  (epc)"/>
      <sheetName val="12_2008  (NRC) (2)"/>
      <sheetName val="12_2008  (NRC)"/>
      <sheetName val="12_2008 "/>
      <sheetName val="C1 NOV"/>
      <sheetName val="Scenario"/>
      <sheetName val="_43_9_1"/>
      <sheetName val="K2-FA"/>
      <sheetName val="P3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H_KONTRAK"/>
      <sheetName val="DAT_1"/>
      <sheetName val="Konfirmasi Hutang"/>
      <sheetName val="WS AKE"/>
      <sheetName val="MJE"/>
      <sheetName val="tax(client)"/>
      <sheetName val="WBS Induk"/>
      <sheetName val="Correction List"/>
      <sheetName val="Catatan Neraca"/>
      <sheetName val="Catatan Laba Rugi"/>
      <sheetName val="hut. Bank"/>
      <sheetName val="hut. lain-lain"/>
      <sheetName val="hut. Pajak"/>
      <sheetName val="hut. usaha"/>
      <sheetName val="EQ "/>
      <sheetName val="WS 2007"/>
      <sheetName val="AJE 2007"/>
      <sheetName val="TAX 07 "/>
      <sheetName val="DEPR07"/>
      <sheetName val="WSCF07"/>
      <sheetName val="WSBS 05-ok"/>
      <sheetName val="BS-Pro WBS"/>
      <sheetName val="PL-Pro WSIS06"/>
      <sheetName val="WSIS 04"/>
      <sheetName val="WSBS 04"/>
      <sheetName val="WS 2005"/>
      <sheetName val="WS 2006"/>
      <sheetName val="AJE 2006"/>
      <sheetName val="TAX 06"/>
      <sheetName val="TAX05"/>
      <sheetName val="DEPR05"/>
      <sheetName val="DEPR06"/>
      <sheetName val="WSCF06"/>
      <sheetName val="WSCF05"/>
      <sheetName val="WSBS 05_ok"/>
      <sheetName val="BS_Pro WBS"/>
      <sheetName val="PL_Pro WSIS06"/>
      <sheetName val="AREA 1"/>
      <sheetName val="AREA 2"/>
      <sheetName val="AREA 3"/>
      <sheetName val="DATA KPI"/>
      <sheetName val="REGION"/>
      <sheetName val="PERUMUSAN MSL "/>
      <sheetName val="DATA UNIT"/>
      <sheetName val="DATA VALUE"/>
      <sheetName val="B Memo"/>
      <sheetName val="B Lead"/>
      <sheetName val="B1.Aging Summary"/>
      <sheetName val="B1.1 Subsequent Aging IDR"/>
      <sheetName val="B1.2 Subsequent Aging USD"/>
      <sheetName val="B.2 Confirm"/>
      <sheetName val="IDR until 31_12_5 original"/>
      <sheetName val="USD until 31_12_5_original"/>
      <sheetName val="(      )9.5"/>
      <sheetName val="(     )9.4"/>
      <sheetName val="FFB Prod."/>
      <sheetName val="REKAP PENYU FISKAL"/>
      <sheetName val="BANGUN"/>
      <sheetName val="Biaya Departemen"/>
      <sheetName val="Prod-04"/>
      <sheetName val="By Dist-05"/>
      <sheetName val="By-Dist-06"/>
      <sheetName val="Real-By"/>
      <sheetName val="Ihtisar Biaya"/>
      <sheetName val="COGM"/>
      <sheetName val="R-L"/>
      <sheetName val="Buku"/>
      <sheetName val="Jualton"/>
      <sheetName val="JualRp"/>
      <sheetName val="Biaya2"/>
      <sheetName val="Biayabln"/>
      <sheetName val="GasBumi"/>
      <sheetName val="Alokasi"/>
      <sheetName val="NilaiTambah"/>
      <sheetName val="Komper"/>
      <sheetName val="Anper"/>
      <sheetName val="BybulanstlahDis"/>
      <sheetName val="PD SAMPING &amp; AMONIAK"/>
      <sheetName val="(L12) LABA RUGI"/>
      <sheetName val="(L13) NRC KONSL"/>
      <sheetName val="(L13) NRC PUSRI"/>
      <sheetName val="(L13) NRC PETRO"/>
      <sheetName val="(L13) NRC KUJANG"/>
      <sheetName val="(L13) NRC KALTIM"/>
      <sheetName val="(L13) NRC PIM"/>
      <sheetName val="LR SBK PJK"/>
      <sheetName val="NILAI PENJ"/>
      <sheetName val="LR GABUNGAN"/>
      <sheetName val="(L13) NRC REKIN"/>
      <sheetName val="(L13) NRC MEGA"/>
      <sheetName val="NRC A"/>
      <sheetName val="NRC P"/>
      <sheetName val="COVER BW"/>
      <sheetName val="F KINERJA HOLDING"/>
      <sheetName val="LR SINGKAT"/>
      <sheetName val="F KINERJA PUSRI"/>
      <sheetName val="F KINERJA OPR REAL HOLDING"/>
      <sheetName val="F KINERJA PETRO"/>
      <sheetName val="F KINERJA KUJANG"/>
      <sheetName val="F KINERJA KALTIM"/>
      <sheetName val="F KINERJA PIM"/>
      <sheetName val="F KINERJA REKIN"/>
      <sheetName val="F KINERJA MEGA"/>
      <sheetName val="(L14) L ARUS KAS KSL"/>
      <sheetName val="(L15) RASIO KEUANGAN"/>
      <sheetName val="(L16) P KINERJA KSL"/>
      <sheetName val="RASIO KEU ANGGOTA"/>
      <sheetName val="RASIO K ANGG1"/>
      <sheetName val="RASIO K ANGG2"/>
      <sheetName val="ELIMINASI LR"/>
      <sheetName val="RASIO K REKIN1"/>
      <sheetName val="RASIO K REKIN2"/>
      <sheetName val="RASIO K MEGA1"/>
      <sheetName val="RASIO K MEGA2"/>
      <sheetName val="RASIO K REAL1"/>
      <sheetName val="RASIO K REAL2"/>
      <sheetName val="REKLAS SALES MEGA"/>
      <sheetName val="RASIO K KUJANG1"/>
      <sheetName val="RASIO K KUJANG2"/>
      <sheetName val="RASIO K KALTIM1"/>
      <sheetName val="RASIO K KALTIM2"/>
      <sheetName val="KPI PETRO"/>
      <sheetName val="KPI KALTIM"/>
      <sheetName val="PENJ RP PENUGASAN"/>
      <sheetName val="ELIM-SALES"/>
      <sheetName val="JUAL-TON TOTAL"/>
      <sheetName val="JUAL-RP TOTAL"/>
      <sheetName val="ELIM SORT"/>
      <sheetName val="NRC2006-A"/>
      <sheetName val="NRC2006-P"/>
      <sheetName val=",,,,,,,,,"/>
      <sheetName val="........"/>
      <sheetName val="Pupuk (Tonase) Print"/>
      <sheetName val="PD Samping (Tonase) Print"/>
      <sheetName val="Pupuk (Nilai) Print"/>
      <sheetName val="PD Samping (Nilai) Print"/>
      <sheetName val="Pupuk (Harga)"/>
      <sheetName val="PD Samping (Harga)"/>
      <sheetName val="COVER(DEK)"/>
      <sheetName val="POKOK2 (SM)"/>
      <sheetName val="LP-1A"/>
      <sheetName val="LP-1B"/>
      <sheetName val="LP-1A(SM)"/>
      <sheetName val="LP-1B(SM)"/>
      <sheetName val="LP-2(CR)"/>
      <sheetName val="LP-2(SMI)"/>
      <sheetName val="LP-2(TOTAL)"/>
      <sheetName val="LP-3A"/>
      <sheetName val="LP-3(SM)"/>
      <sheetName val="LP-4a"/>
      <sheetName val="LP-4(SM)"/>
      <sheetName val="LP-5(SM)"/>
      <sheetName val="LP-6(SM)"/>
      <sheetName val="LP-7(SMI)"/>
      <sheetName val="LP-7-Trend- SD(Real)"/>
      <sheetName val="LP-7-Trend- SD(Angg)"/>
      <sheetName val="LP-7Trend-SD-REKAP"/>
      <sheetName val="LP-7-1(SMI)"/>
      <sheetName val="LP-7-1-Trend (SD)"/>
      <sheetName val="LP-7-1-REKAP-SD"/>
      <sheetName val="LP-7-2(SMI)"/>
      <sheetName val="LP-8"/>
      <sheetName val="LP-8(SMI)"/>
      <sheetName val="LP-9"/>
      <sheetName val="LP-9(SMI)"/>
      <sheetName val="LP-10"/>
      <sheetName val="LP-10(TOTAL)"/>
      <sheetName val="LP-11A"/>
      <sheetName val="LP-12A"/>
      <sheetName val="LP-12(TOTAL)"/>
      <sheetName val="LP-13A"/>
      <sheetName val="LP-14"/>
      <sheetName val="LP-15A"/>
      <sheetName val="LP-15B"/>
      <sheetName val="Kegiatan per bidang jasa"/>
      <sheetName val="asumsi 2011"/>
      <sheetName val="asumsi 2012"/>
      <sheetName val="daftar nama"/>
      <sheetName val="posisi-personil"/>
      <sheetName val="Program kerja"/>
      <sheetName val="Ringkasan RAB"/>
      <sheetName val="Definisi biaya"/>
      <sheetName val="asumsi CF"/>
      <sheetName val="GPs"/>
      <sheetName val="Pengisian GPs"/>
      <sheetName val="R聡fund Deposit"/>
      <sheetName val="TMF Avenths"/>
      <sheetName val="1ᄓ100ဲ Oth AR"/>
      <sheetName val="1:6001-AR DVL"/>
      <sheetName val="JE ALL LEɒEL"/>
      <sheetName val="P-Tax∀23-ȶ6"/>
      <sheetName val="F⁥-17瀷0-IىI"/>
      <sheetName val="FA Movemejt"/>
      <sheetName val="E&gt; (PPN&amp;Bౌ)"/>
      <sheetName val="Works(eet࠹9"/>
      <sheetName val="No.Re࡫eni,g"/>
      <sheetName val="InstaflmeNt"/>
      <sheetName val="Inforɭation"/>
      <sheetName val="Strucdure Depo"/>
      <sheetName val="T聡b perki≲aan"/>
      <sheetName val="Bɂ.AKT.TETAP"/>
      <sheetName val="Bࡂ.PENDAPATAN"/>
      <sheetName val="GeneralInѢo"/>
      <sheetName val="Perma~ent¤info"/>
      <sheetName val="Upah kerja"/>
      <sheetName val="Managemen Proyek"/>
      <sheetName val="Bahan Sipil"/>
      <sheetName val="Analisa Sipil"/>
      <sheetName val="Billing rate BDTE"/>
      <sheetName val="Price List"/>
      <sheetName val="analisa pekerjaan (2)"/>
      <sheetName val="Harga Satuan Barang"/>
      <sheetName val="Harga Satuan Barang (2)"/>
      <sheetName val="Summary of Claim"/>
      <sheetName val="MPAGC"/>
      <sheetName val="CALCULATOR"/>
      <sheetName val="Advis Debet"/>
      <sheetName val="Adv.Dbt.BG.Terbit"/>
      <sheetName val="Advis Kredit"/>
      <sheetName val="Adv.Dbt.BG.Terbit (2)"/>
      <sheetName val="Advis Kredit "/>
      <sheetName val="Advis Kredit  (3)"/>
      <sheetName val="Advis Kredit  (2)"/>
      <sheetName val="Nota Intern"/>
      <sheetName val="Nota Intern (2)"/>
      <sheetName val="Nota Intern (3)"/>
      <sheetName val="Nota Intern (4)"/>
      <sheetName val="Advis Kredit B"/>
      <sheetName val="Advis Kredit (2)"/>
      <sheetName val="KonfDebt"/>
      <sheetName val="Konf.Kredit"/>
      <sheetName val="GB-Terbit-Set-Jam"/>
      <sheetName val="Buku-Tambahan"/>
      <sheetName val="Anuitet Mr. Arfani"/>
      <sheetName val="Konfdb"/>
      <sheetName val="Advis Debet (2)"/>
      <sheetName val="Data BG&amp;BGVA Utk. LBU"/>
      <sheetName val="Anuitet Angsuran"/>
      <sheetName val="Anuitet Maks. Kredit"/>
      <sheetName val="TB PT.MOELADI"/>
      <sheetName val="PT. Sparindo Utama"/>
      <sheetName val="Bng. PT. ABB"/>
      <sheetName val="Bng. PT. SOT"/>
      <sheetName val="Bng. PT. Panca Meta"/>
      <sheetName val="Bng. PT. Smart Corp."/>
      <sheetName val="Bng. PT. Smart Corp. (2)"/>
      <sheetName val="Bng. PT. Unitra Adhijaya"/>
      <sheetName val="Bng. PT. Ramacraft"/>
      <sheetName val="Bng. PT. Baramulti SS"/>
      <sheetName val="Bng. Primkopti"/>
      <sheetName val="Bng. PT. Kertas K A "/>
      <sheetName val="KUK-KPR"/>
      <sheetName val="Bng. Staco 3 Berlian"/>
      <sheetName val="HUB BDN THAMRIN"/>
      <sheetName val="E.2.1 CO"/>
      <sheetName val="E.2.2 AS"/>
      <sheetName val="E.2.3 ES"/>
      <sheetName val="E.2.4 AE"/>
      <sheetName val="E.2.5 AC"/>
      <sheetName val="E.2.6 HK"/>
      <sheetName val="E.6 Provision Acc. Receivable"/>
      <sheetName val="E.6.1"/>
      <sheetName val="C-Lead-NOV"/>
      <sheetName val="C2 NOV"/>
      <sheetName val="C3 NOV"/>
      <sheetName val="timedeppostnov"/>
      <sheetName val="Detail C1"/>
      <sheetName val="detailC2"/>
      <sheetName val="C-Lead"/>
      <sheetName val="timedeppost"/>
      <sheetName val="confcontrol"/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I Lead-decS (2)"/>
      <sheetName val="I.2-dec (2)"/>
      <sheetName val="I .1-dec (2)"/>
      <sheetName val="ar-turnover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I Lead-decS"/>
      <sheetName val="I.2-dec"/>
      <sheetName val="I .1-dec"/>
      <sheetName val="08"/>
      <sheetName val="rl hapus 04"/>
      <sheetName val="kep 316 02"/>
      <sheetName val="V Memo"/>
      <sheetName val="V Lead"/>
      <sheetName val="V.1 Move"/>
      <sheetName val="V.2 Addition"/>
      <sheetName val="Addition-PBC"/>
      <sheetName val="Disposal-PBC"/>
      <sheetName val="V.1.2 Hardware"/>
      <sheetName val="V.1.3 Software"/>
      <sheetName val="V.1.1 CDS"/>
      <sheetName val="V.1.4 Furnt"/>
      <sheetName val="V.1.5 OffEq"/>
      <sheetName val="V.1.6 Leasehold"/>
      <sheetName val="V.1.7 Vehicle"/>
      <sheetName val="V.1.8 DRS"/>
      <sheetName val="V1.9 CIP"/>
      <sheetName val="PBC"/>
      <sheetName val="PBC1"/>
      <sheetName val="Powergen 1"/>
      <sheetName val="Powergen"/>
      <sheetName val="inspecton plan"/>
      <sheetName val="valve설치"/>
      <sheetName val="valve수량"/>
      <sheetName val="건설공사비"/>
      <sheetName val="견적기준"/>
      <sheetName val="배관 공사 물량"/>
      <sheetName val="Salary PAID - Checked by Elly"/>
      <sheetName val="ESI- Permanent (end month)"/>
      <sheetName val="Summary Art. 21 - Permanent"/>
      <sheetName val="Jul - Permanent"/>
      <sheetName val="Aug - Permanent"/>
      <sheetName val="SD MEI05"/>
      <sheetName val="job wip"/>
      <sheetName val="factoryworkload"/>
      <sheetName val="Design Workload"/>
      <sheetName val="Order acquisition"/>
      <sheetName val="Personnel-policy"/>
      <sheetName val="Person-heads"/>
      <sheetName val="over-under-Summary"/>
      <sheetName val="P&amp;l DEPT"/>
      <sheetName val="Technical"/>
      <sheetName val="Project General"/>
      <sheetName val="Contract&amp; MKTG"/>
      <sheetName val="Summary of overheads"/>
      <sheetName val="Other Costs( Income)"/>
      <sheetName val="Mktg. &amp; Svc. Dept."/>
      <sheetName val="Grp. Acct. &amp; Admin."/>
      <sheetName val="Fin exp"/>
      <sheetName val="Extra exp"/>
      <sheetName val="Investments"/>
      <sheetName val="PAC"/>
      <sheetName val="CvrPg"/>
      <sheetName val="GpStr "/>
      <sheetName val="Consol BS"/>
      <sheetName val="Consol P&amp;L"/>
      <sheetName val="PL Notes"/>
      <sheetName val="CJEs"/>
      <sheetName val="Gdwill"/>
      <sheetName val="BS AE"/>
      <sheetName val="Co adj"/>
      <sheetName val="AEM"/>
      <sheetName val="YH"/>
      <sheetName val="YH_PL"/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Apr 02"/>
      <sheetName val="Jun 02"/>
      <sheetName val="Jul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Oct 03"/>
      <sheetName val="Nov 03"/>
      <sheetName val="Dec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  <sheetName val="Oct 04"/>
      <sheetName val="Nov 04"/>
      <sheetName val="Dec 04"/>
      <sheetName val="Jan 05"/>
      <sheetName val="Upkeep MV"/>
      <sheetName val="Other Income"/>
      <sheetName val="Project Schedule"/>
      <sheetName val="6542"/>
      <sheetName val="6543"/>
      <sheetName val="6544"/>
      <sheetName val="A14-Sales"/>
      <sheetName val="A19-2"/>
      <sheetName val="A19-3"/>
      <sheetName val="Journal Voucher"/>
      <sheetName val="B2A"/>
      <sheetName val="C200"/>
      <sheetName val="C400"/>
      <sheetName val="C-Note for final"/>
      <sheetName val="D100"/>
      <sheetName val="D101"/>
      <sheetName val="D-Analysis"/>
      <sheetName val="D-Notes for final"/>
      <sheetName val="F100"/>
      <sheetName val="F200"/>
      <sheetName val="F-Costing OB"/>
      <sheetName val="F-Costing"/>
      <sheetName val="I1A"/>
      <sheetName val="I400"/>
      <sheetName val="O100"/>
      <sheetName val="O200"/>
      <sheetName val="O300"/>
      <sheetName val="O1000-Local"/>
      <sheetName val="O1002-Export"/>
      <sheetName val="O1100"/>
      <sheetName val="O1101"/>
      <sheetName val="O1200-Local"/>
      <sheetName val="O1201-Export"/>
      <sheetName val="O1300-Local"/>
      <sheetName val="O1400"/>
      <sheetName val="O1500-Local"/>
      <sheetName val="O1600"/>
      <sheetName val="O-Notes for final"/>
      <sheetName val="Audited BS"/>
      <sheetName val="Audited P&amp;L"/>
      <sheetName val="B-1 Revenue"/>
      <sheetName val="B-1.1 Breakdown"/>
      <sheetName val="B-100 Trade Receivables"/>
      <sheetName val="D-1 PPE"/>
      <sheetName val="E - Cash"/>
      <sheetName val="E -100"/>
      <sheetName val="M - Other Assets"/>
      <sheetName val="N-1 "/>
      <sheetName val="B-2 Reasonableness test"/>
      <sheetName val="P-1 Interco"/>
      <sheetName val="J-100"/>
      <sheetName val="L-1 Income tax movements"/>
      <sheetName val="H-1 Payroll"/>
      <sheetName val="O-1 Other income&amp;Exp"/>
      <sheetName val="Other Income &amp; Expenses"/>
      <sheetName val="O-2 Break-down"/>
      <sheetName val="B-1.1"/>
      <sheetName val="B-100 Receivables"/>
      <sheetName val="Trade Payables"/>
      <sheetName val="Payroll-COGS"/>
      <sheetName val="Payroll_Admin"/>
      <sheetName val="O-1 Other Income &amp; Expenses"/>
      <sheetName val="O-2.1"/>
      <sheetName val="Profit &amp; Loss account"/>
      <sheetName val="Recon MPRS BS"/>
      <sheetName val="BS Face"/>
      <sheetName val="GB 1"/>
      <sheetName val="GC 1"/>
      <sheetName val="GE 100"/>
      <sheetName val="GE101"/>
      <sheetName val="GF 1"/>
      <sheetName val="GH 1"/>
      <sheetName val="GH 1A"/>
      <sheetName val="GJ 1"/>
      <sheetName val="GK 100"/>
      <sheetName val="GK101"/>
      <sheetName val="GL1"/>
      <sheetName val="GL1.1"/>
      <sheetName val="GQ 1"/>
      <sheetName val="GQ3"/>
      <sheetName val="GW 1.1"/>
      <sheetName val="GW 1.4"/>
      <sheetName val="GX1"/>
      <sheetName val="GX100.1."/>
      <sheetName val="GX100.1.1"/>
      <sheetName val="GX100.2"/>
      <sheetName val="GX100.3"/>
      <sheetName val="GX100.3.1"/>
      <sheetName val="GX101-AR"/>
      <sheetName val="GX102-Rental"/>
      <sheetName val="GX103-Mgmt fee"/>
      <sheetName val="GX1.3"/>
      <sheetName val="GY1"/>
      <sheetName val="GY1.1"/>
      <sheetName val="GY4"/>
      <sheetName val="AISIN"/>
      <sheetName val="AISIN EUROPE"/>
      <sheetName val="ASE TEKNIK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(M)"/>
      <sheetName val="PREMIER"/>
      <sheetName val="PT.INDOPRIMA"/>
      <sheetName val="PT.KONAN"/>
      <sheetName val="TBJ"/>
      <sheetName val="THAI CAPITAL"/>
      <sheetName val="THAI NKK"/>
      <sheetName val="THAI POLY"/>
      <sheetName val="VALFLON"/>
      <sheetName val="NIPPON"/>
      <sheetName val="ZIP INT'L"/>
      <sheetName val="AJE &amp; SUD 04"/>
      <sheetName val="RE rekon journal"/>
      <sheetName val="Jurnal 13"/>
      <sheetName val="Taxation 1999"/>
      <sheetName val="NBV movements"/>
      <sheetName val="AJE 2001"/>
      <sheetName val="FA Comm 99"/>
      <sheetName val="FA Comm 00"/>
      <sheetName val="FA Comm 01"/>
      <sheetName val="3200 - 99&amp;00"/>
      <sheetName val="3200 - 00&amp;01"/>
      <sheetName val="4100 (2)"/>
      <sheetName val="4100 (3)"/>
      <sheetName val="4100 - 99&amp;00"/>
      <sheetName val="4100 - 00&amp;01"/>
      <sheetName val="FUR-2000"/>
      <sheetName val="edp-2000"/>
      <sheetName val="COM-2000"/>
      <sheetName val="FA99"/>
      <sheetName val="FA98"/>
      <sheetName val="FA97"/>
      <sheetName val="FA96"/>
      <sheetName val="FA95"/>
      <sheetName val="FA94"/>
      <sheetName val="FA93"/>
      <sheetName val="FA-COMM91"/>
      <sheetName val="FA-DWELL91"/>
      <sheetName val="FA-FURNT91"/>
      <sheetName val="FA92-D99"/>
      <sheetName val="6200 (2)"/>
      <sheetName val="AdJ RE Beginning"/>
      <sheetName val="Sales Cycle"/>
      <sheetName val="O - Sales Controls"/>
      <sheetName val="Sales Control"/>
      <sheetName val="sales internal control obj"/>
      <sheetName val="Sales Control Testing-finding"/>
      <sheetName val="Sales testing-Obj."/>
      <sheetName val="Sales Testing"/>
      <sheetName val="list of attachment (2)"/>
      <sheetName val="Tax Calc"/>
      <sheetName val="Marshal-SPT"/>
      <sheetName val="Summ Corr"/>
      <sheetName val="tax penalty"/>
      <sheetName val="fiscorrection"/>
      <sheetName val="Koreksifiskal"/>
      <sheetName val="fiscaldepr"/>
      <sheetName val="AT jual"/>
      <sheetName val="Employee cost"/>
      <sheetName val="WH tax"/>
      <sheetName val="Art. 22"/>
      <sheetName val="F1771-6 (2)"/>
      <sheetName val="Recap "/>
      <sheetName val="Input area"/>
      <sheetName val="Acc Surplus &amp; other Funds"/>
      <sheetName val="Debtors"/>
      <sheetName val="Income &amp; Expenditure"/>
      <sheetName val="A12_2"/>
      <sheetName val="J3  (2)"/>
      <sheetName val="O2_1"/>
      <sheetName val="P2_1"/>
      <sheetName val="P2_2"/>
      <sheetName val="P2_3"/>
      <sheetName val="P2_4"/>
      <sheetName val="P3_1"/>
      <sheetName val="O6 (2)"/>
      <sheetName val="J101"/>
      <sheetName val="I2|1"/>
      <sheetName val="A4-1"/>
      <sheetName val="A4-2"/>
      <sheetName val="A4-3"/>
      <sheetName val="A12"/>
      <sheetName val="A14_1"/>
      <sheetName val="A19"/>
      <sheetName val="H1|1"/>
      <sheetName val="J3 - Search unrecorded liab"/>
      <sheetName val="O1|1"/>
      <sheetName val="P 2 detail expenses"/>
      <sheetName val="purchase testing"/>
      <sheetName val="sale testing"/>
      <sheetName val="Retainers"/>
      <sheetName val="2002-Interest"/>
      <sheetName val="2003-Interest"/>
      <sheetName val="2004-Interest"/>
      <sheetName val="2005-Interest"/>
      <sheetName val="Trade-AR-Sea Bear-AI"/>
      <sheetName val="Trade-AR-OGP029-AI"/>
      <sheetName val="2006-Interest"/>
      <sheetName val="Total Management fee"/>
      <sheetName val="Total Cash,Mat &amp; Equip provided"/>
      <sheetName val="AR-AY (SIN)"/>
      <sheetName val="AR-AI"/>
      <sheetName val="AP-AFV"/>
      <sheetName val="AR-AFV"/>
      <sheetName val="AY (VN)"/>
      <sheetName val="Total loan due to AI"/>
      <sheetName val="Inter Co"/>
      <sheetName val="Notes to disposal PT "/>
      <sheetName val="1.0 FS"/>
      <sheetName val="1.1 FS"/>
      <sheetName val="2.0 UH Consol"/>
      <sheetName val="4.0 Adj"/>
      <sheetName val="IMA Consol"/>
      <sheetName val="3.0 Inter Co"/>
      <sheetName val="A8.1"/>
      <sheetName val="A8.2"/>
      <sheetName val="A11.1"/>
      <sheetName val="A12.1"/>
      <sheetName val="A19.1"/>
      <sheetName val="F4.1"/>
      <sheetName val="H1.1"/>
      <sheetName val="I4.1"/>
      <sheetName val="J10"/>
      <sheetName val="J11"/>
      <sheetName val="L2.1"/>
      <sheetName val="L2.2"/>
      <sheetName val="L2.3"/>
      <sheetName val="O3.1"/>
      <sheetName val="O4.1"/>
      <sheetName val="P4.1"/>
      <sheetName val="P5.1"/>
      <sheetName val="P5.AR"/>
      <sheetName val="P6"/>
      <sheetName val="PXX"/>
      <sheetName val="R1.1"/>
      <sheetName val="R4.1"/>
      <sheetName val="Korea impairment test"/>
      <sheetName val="Capex &amp; WC"/>
      <sheetName val=" Profit &amp; Loss "/>
      <sheetName val=" 2009 Profit &amp; Loss -Analysis"/>
      <sheetName val=" Bu10 Profit &amp; Loss -Analys"/>
      <sheetName val=" SAP11Profit &amp; Loss -Analys"/>
      <sheetName val=" SAP12Profit &amp; Loss -Analys "/>
      <sheetName val="Japan impairment test"/>
      <sheetName val="Conn Spore impairment test"/>
      <sheetName val="Goodwill-HQ"/>
      <sheetName val="Schedule-HQ"/>
      <sheetName val="Goodwill - ELX"/>
      <sheetName val="PL - ELX"/>
      <sheetName val="Bishop - ELX"/>
      <sheetName val="(1)Discount Rate"/>
      <sheetName val="A14.1"/>
      <sheetName val="A100"/>
      <sheetName val="B100"/>
      <sheetName val="B200"/>
      <sheetName val="B300"/>
      <sheetName val="B400"/>
      <sheetName val="B500"/>
      <sheetName val="C300"/>
      <sheetName val="C500"/>
      <sheetName val="C501"/>
      <sheetName val="D2.8"/>
      <sheetName val="D102"/>
      <sheetName val="D102.1"/>
      <sheetName val="D200"/>
      <sheetName val="D201"/>
      <sheetName val="D201.1"/>
      <sheetName val="D300"/>
      <sheetName val="D301"/>
      <sheetName val="D302"/>
      <sheetName val="D400"/>
      <sheetName val="D500"/>
      <sheetName val="F300"/>
      <sheetName val="F301"/>
      <sheetName val="F302"/>
      <sheetName val="F303"/>
      <sheetName val="F304"/>
      <sheetName val="F400"/>
      <sheetName val="F500"/>
      <sheetName val="F600"/>
      <sheetName val="G200"/>
      <sheetName val="G201.1"/>
      <sheetName val="G300"/>
      <sheetName val="G400"/>
      <sheetName val="G500"/>
      <sheetName val="I2.1"/>
      <sheetName val="I2.2"/>
      <sheetName val="I2.3"/>
      <sheetName val="I2.4"/>
      <sheetName val="I2.5"/>
      <sheetName val="I300"/>
      <sheetName val="I301"/>
      <sheetName val="I302"/>
      <sheetName val="I500"/>
      <sheetName val="J4.1"/>
      <sheetName val="J100"/>
      <sheetName val="J102"/>
      <sheetName val="J200"/>
      <sheetName val="J201"/>
      <sheetName val="J201.1"/>
      <sheetName val="J300"/>
      <sheetName val="J301"/>
      <sheetName val="J400"/>
      <sheetName val="All1"/>
      <sheetName val="Signatures"/>
      <sheetName val="Modulo1"/>
      <sheetName val="movement&amp;add test"/>
      <sheetName val="#BusinessQuery#"/>
      <sheetName val="QUERY"/>
      <sheetName val="scm+1_sales_mdc%"/>
      <sheetName val="scm+1_pbit_net"/>
      <sheetName val="oneri scm+1"/>
      <sheetName val="scm+2_sales_mdc%"/>
      <sheetName val="scm+2_pbit_net"/>
      <sheetName val="oneri scm+2"/>
      <sheetName val="scm+3_sales_mdc%"/>
      <sheetName val="scm+3_pbit_net"/>
      <sheetName val="oneri scm+3 "/>
      <sheetName val="scf+3_sales_mdc%"/>
      <sheetName val="scf+3_pbit_net"/>
      <sheetName val="oneri scf+3"/>
      <sheetName val="C.CASFLO"/>
      <sheetName val="J-1 - Deferred Charges Landrigh"/>
      <sheetName val="Comments"/>
      <sheetName val="Revision Oct 2001"/>
      <sheetName val="Revision 14 Aug 01 "/>
      <sheetName val="Revision 12 Jun 01"/>
      <sheetName val="Intro"/>
      <sheetName val="Hect."/>
      <sheetName val="FFB Prodn"/>
      <sheetName val="Mill"/>
      <sheetName val="O_H"/>
      <sheetName val="Prod costs"/>
      <sheetName val="Actuals"/>
      <sheetName val="F_Assets"/>
      <sheetName val="Develop"/>
      <sheetName val="P&amp;L wkgs"/>
      <sheetName val="BS wkgs"/>
      <sheetName val="CF wkgs"/>
      <sheetName val="FS for Board"/>
      <sheetName val="Fin. Statements"/>
      <sheetName val="IRR"/>
      <sheetName val="OS Points"/>
      <sheetName val="Changes post-conference"/>
      <sheetName val="Constants"/>
      <sheetName val="CF - LC"/>
      <sheetName val="BS - LC"/>
      <sheetName val="US$ Adj"/>
      <sheetName val="Crop Distn"/>
      <sheetName val="Overheads"/>
      <sheetName val="WC"/>
      <sheetName val="Capex - Rp"/>
      <sheetName val="Depn"/>
      <sheetName val="Sub Debt"/>
      <sheetName val="Board"/>
      <sheetName val="US$ - Detailed Cashflow"/>
      <sheetName val="BSLATEMP"/>
      <sheetName val="BSLA"/>
      <sheetName val="Balances"/>
      <sheetName val="Transactions"/>
      <sheetName val="Cash Management"/>
      <sheetName val="Invoice Drill"/>
      <sheetName val="Journal Drill"/>
      <sheetName val="Projects"/>
      <sheetName val="ARInvoice"/>
      <sheetName val="Movement"/>
      <sheetName val="CMA"/>
      <sheetName val="TOT"/>
      <sheetName val="Office Equipment1"/>
      <sheetName val="Office Equipment2"/>
      <sheetName val="Gain or loss on sale of FA"/>
      <sheetName val="List PBC Yunita"/>
      <sheetName val="Deduction (final)"/>
      <sheetName val="Analisa Cost vs Accm"/>
      <sheetName val="TOE-Exps"/>
      <sheetName val="Benefit table"/>
      <sheetName val="Sample Rp"/>
      <sheetName val="BS_PL Komersil and Fiskal"/>
      <sheetName val=" "/>
      <sheetName val="ROOM_04"/>
      <sheetName val="FBD_05"/>
      <sheetName val="TLP_06"/>
      <sheetName val="LAUNDRY_07"/>
      <sheetName val="PARKING_10"/>
      <sheetName val="KIOSK_11"/>
      <sheetName val="BSCENTER_08"/>
      <sheetName val="OTH INCOME_09"/>
      <sheetName val="ADMGEN_12"/>
      <sheetName val="H.RESOURCES_15"/>
      <sheetName val="MARKETING_13"/>
      <sheetName val="POMEC_14"/>
      <sheetName val="OWNERS"/>
      <sheetName val="COMP INC_01"/>
      <sheetName val="PER1000"/>
      <sheetName val="STATOF INC1_02"/>
      <sheetName val="STATOF INC 2_03"/>
      <sheetName val="HOUSE LNDRY"/>
      <sheetName val="FBANALIS"/>
      <sheetName val="ROOM STSC"/>
      <sheetName val="OPS. RATIO"/>
      <sheetName val="RESERVE"/>
      <sheetName val="DEFFERED CHG"/>
      <sheetName val="BLC SHEET"/>
      <sheetName val="BAL BECKUP"/>
      <sheetName val="SERVICE TAX"/>
      <sheetName val="CURR ASSET"/>
      <sheetName val="GUEST CREDIT"/>
      <sheetName val="BANKREV"/>
      <sheetName val="BANK EXPENSE"/>
      <sheetName val="BANK EMERGENCY"/>
      <sheetName val="AP PROFORMA"/>
      <sheetName val="MAINT REPORT"/>
      <sheetName val="AR OTHER"/>
      <sheetName val="STRUCTURAL"/>
      <sheetName val="SYNTHESIS01"/>
      <sheetName val="STATE01-02"/>
      <sheetName val="STATE01 (2)-03"/>
      <sheetName val="ROOM04"/>
      <sheetName val="ROOMSTATISTIC4a"/>
      <sheetName val="F&amp;B5"/>
      <sheetName val="FBANALYSIS"/>
      <sheetName val="COVER5a"/>
      <sheetName val="SPORT"/>
      <sheetName val="GUESTLAUNDRY6"/>
      <sheetName val="HOUSELAUNDRY"/>
      <sheetName val="TELEPHONE7"/>
      <sheetName val="SHOP&amp;OTHER INCOME8"/>
      <sheetName val="BUSINESSCENTER9"/>
      <sheetName val="SALES &amp;MARKETING11"/>
      <sheetName val="POMEC12"/>
      <sheetName val="ADM&amp;GENERAL10"/>
      <sheetName val="HUMANRESOURCES13"/>
      <sheetName val="MAINT REPORT12a"/>
      <sheetName val="OP.RATIO"/>
      <sheetName val="CURR.ASSET"/>
      <sheetName val="GCC"/>
      <sheetName val="RECONBANK(SIN$)"/>
      <sheetName val="RECONBANK (US$)"/>
      <sheetName val="RECONBANK (OPERATING)"/>
      <sheetName val="RECONBANK(GENERAL)"/>
      <sheetName val="OPSTATE"/>
      <sheetName val="OVEROOM"/>
      <sheetName val="OVERF&amp;B"/>
      <sheetName val="D.STORE"/>
      <sheetName val="OVERAG"/>
      <sheetName val="OVERSLS"/>
      <sheetName val="OverPomec"/>
      <sheetName val="OVERHRD"/>
      <sheetName val="MKredit"/>
      <sheetName val="sampling kredit"/>
      <sheetName val="Tab"/>
      <sheetName val="An.Rev"/>
      <sheetName val="Dept. Obj"/>
      <sheetName val="Dept. Obj (2)"/>
      <sheetName val="Test of Controls"/>
      <sheetName val="VIRUS-EDY"/>
      <sheetName val="Neraca 01"/>
      <sheetName val="Laba Rugi (2)"/>
      <sheetName val="Opex Jan~Jun"/>
      <sheetName val="Laba Rugi Jan~Dec"/>
      <sheetName val="Breakdown OPEX"/>
      <sheetName val="OPEX (Jan~Dec)"/>
      <sheetName val="Cash &amp; Bank"/>
      <sheetName val="AP Others"/>
      <sheetName val="Deposit Received"/>
      <sheetName val="Accrued Exp."/>
      <sheetName val="Bank Loan &amp; Capital"/>
      <sheetName val="TAKSIRAN PAJAK"/>
      <sheetName val="LABA RUGI FISKAL"/>
      <sheetName val="LR FISKAL 2005"/>
      <sheetName val="PPh psl 29"/>
      <sheetName val="PPh psl 29 (Tahunan)"/>
      <sheetName val="9 R-1 Lead"/>
      <sheetName val="9 R-1.1"/>
      <sheetName val="9 R-2 Lead"/>
      <sheetName val="Sale_Leaseback _2_"/>
      <sheetName val="1105_B_I_OK"/>
      <sheetName val="1106_M_E"/>
      <sheetName val="TB Details"/>
      <sheetName val="TB for Lookup"/>
      <sheetName val="AJE2007"/>
      <sheetName val="Related Parties"/>
      <sheetName val="Unrecord for consold"/>
      <sheetName val="Import"/>
      <sheetName val="Lead Piutang Usaha Kons"/>
      <sheetName val="Disclose_Konsol 2"/>
      <sheetName val="Disclose_Induk Debitur1"/>
      <sheetName val="Disclose_Induk 2"/>
      <sheetName val="C-3 Gab"/>
      <sheetName val="C-4 Jwb Konf"/>
      <sheetName val="C-5 AR&gt;3M Avloop"/>
      <sheetName val="PENY.PIUT"/>
      <sheetName val="PENY.PIUT_A"/>
      <sheetName val="Ptg&gt;12bulan"/>
      <sheetName val="PiutgB'mslh"/>
      <sheetName val="Aging07"/>
      <sheetName val="Peny. Piut07"/>
      <sheetName val="TOC_pngakuanARC"/>
      <sheetName val="TOC_PELUNSAN ARC."/>
      <sheetName val="Conclusion"/>
      <sheetName val="SIA07(P.Anas)"/>
      <sheetName val="Owner07(P.Anas)"/>
      <sheetName val="Aging07(P.Anas)"/>
      <sheetName val="Peny. Piut07(P.Anas)"/>
      <sheetName val="Corr Exp 2007 (2)"/>
      <sheetName val="Corr Exp 2007"/>
      <sheetName val="CONF"/>
      <sheetName val="D-1 (2)"/>
      <sheetName val="FISKAL KANTOR &amp; MESS"/>
      <sheetName val="FISKAL PROYEK"/>
      <sheetName val="FISKAL RMH CTH"/>
      <sheetName val="CC-4"/>
      <sheetName val="40-1"/>
      <sheetName val="A1-B"/>
      <sheetName val="A1-C"/>
      <sheetName val="A1-D"/>
      <sheetName val="PPH BADAN SCK"/>
      <sheetName val="Summary BV_SCK"/>
      <sheetName val="Summary BV_KSO"/>
      <sheetName val="Movement RE"/>
      <sheetName val="Movement Investasi"/>
      <sheetName val="MI movement"/>
      <sheetName val="Pengakuan rugi JBA"/>
      <sheetName val="Pengakuan laba PT BV"/>
      <sheetName val="Pengakuan Rugi LMD"/>
      <sheetName val="CAJE (AJE) KSO SS"/>
      <sheetName val="CAJE(AJE) SCK"/>
      <sheetName val="CAJE(AJE)JBA"/>
      <sheetName val="CAJE(AJE) BKV"/>
      <sheetName val="PPH badan JBA"/>
      <sheetName val="PPH BADAN BKV"/>
      <sheetName val="Neraca SCK konsol"/>
      <sheetName val="PNL SCK Konsol"/>
      <sheetName val="CF_SCK konsol"/>
      <sheetName val="Movement RE &amp; Dividen_Konsol"/>
      <sheetName val="KSO SS_NERACA"/>
      <sheetName val="PL KSO"/>
      <sheetName val="CF KSO SS"/>
      <sheetName val="Neraca SCK induk"/>
      <sheetName val="PL SCK INDUK"/>
      <sheetName val="CF SCK induk"/>
      <sheetName val="KIND NO"/>
      <sheetName val="CAPEX 06-08"/>
      <sheetName val="CAPEX 05-07"/>
      <sheetName val="LIST CC"/>
      <sheetName val="YTD (2)"/>
      <sheetName val="JUNE"/>
      <sheetName val="REVIEW for REPORT"/>
      <sheetName val="Sup-CF 08"/>
      <sheetName val="Sup.CF 07"/>
      <sheetName val="Elim Consol"/>
      <sheetName val="Elim Combined"/>
      <sheetName val="Real Estate"/>
      <sheetName val="PAJE RE"/>
      <sheetName val="Plaza SA"/>
      <sheetName val="Summarecon Bekasi"/>
      <sheetName val="WBS I Mall"/>
      <sheetName val="WBS II Mall"/>
      <sheetName val="WPL Mall"/>
      <sheetName val="Gading Food City"/>
      <sheetName val="La Piazza"/>
      <sheetName val="KKG"/>
      <sheetName val="Summerville"/>
      <sheetName val="Gading Batavia"/>
      <sheetName val="Summit Opr"/>
      <sheetName val="WBS I R.E"/>
      <sheetName val="WBS II R.E"/>
      <sheetName val="WPL R.E"/>
      <sheetName val="The Kernel"/>
      <sheetName val="Kas dan setara kas"/>
      <sheetName val="Biaya dibayar dimuka"/>
      <sheetName val="Uang Muka Penjualan (Deposit)"/>
      <sheetName val="Uang Jaminan"/>
      <sheetName val="Biaya Masih Hrs Dibayar"/>
      <sheetName val="Deferred income"/>
      <sheetName val="Net Revenue"/>
      <sheetName val="COGS &amp; Direct Cost"/>
      <sheetName val="Aktiva &amp; Liabilities Valas"/>
      <sheetName val="Other Income (Charge)"/>
      <sheetName val="Combined"/>
      <sheetName val="Pajak (2008)"/>
      <sheetName val="Pajak Anak (2008)"/>
      <sheetName val="Perhitungan Pajak (2008)"/>
      <sheetName val="Pajak Parkir (2008)"/>
      <sheetName val="LMD Jual Beli"/>
      <sheetName val="NERACA SALDO CO per 31 12 2009"/>
      <sheetName val="NERACA_SALDO_SUMMARECON_BEKASI_"/>
      <sheetName val="REKAP-PORTO"/>
      <sheetName val="BANK INV"/>
      <sheetName val="RKP-DEPOS"/>
      <sheetName val="REKSA"/>
      <sheetName val="OBL-TRAFS"/>
      <sheetName val="OBLI"/>
      <sheetName val="MTN"/>
      <sheetName val="Direct Investment"/>
      <sheetName val="Promissory NOte"/>
      <sheetName val="Land &amp; Building"/>
      <sheetName val="Property"/>
      <sheetName val="COM-TAX(DISAL)"/>
      <sheetName val="depr-tax"/>
      <sheetName val="2001"/>
      <sheetName val="SORT-ADD"/>
      <sheetName val="add2001"/>
      <sheetName val="disp2001"/>
      <sheetName val="GRESIK"/>
      <sheetName val="JUN03-13299"/>
      <sheetName val="JUN03-13819"/>
      <sheetName val="JULY03-13299"/>
      <sheetName val="JULY03-13819"/>
      <sheetName val="AUG03-13299"/>
      <sheetName val="AUG03-13819"/>
      <sheetName val="SEP03-13299"/>
      <sheetName val="SEP03-13819"/>
      <sheetName val="OCT03-13299"/>
      <sheetName val="OCT03-13819"/>
      <sheetName val="NOV03-13299"/>
      <sheetName val="NOV03-13819"/>
      <sheetName val="DEC03-13299"/>
      <sheetName val="DEC03-13819"/>
      <sheetName val="JAN04-13299"/>
      <sheetName val="JAN04-13819"/>
      <sheetName val="FEB04-13299"/>
      <sheetName val="FEB04-13819"/>
      <sheetName val="MAR04-13299"/>
      <sheetName val="MAR04-13819"/>
      <sheetName val="APR04-13299"/>
      <sheetName val="APR04-13819"/>
      <sheetName val="MAY04-13299"/>
      <sheetName val="MAY04-13819"/>
      <sheetName val="AMFG"/>
      <sheetName val="MEDC"/>
      <sheetName val="MEGA"/>
      <sheetName val="CPIN"/>
      <sheetName val="BNGAN"/>
      <sheetName val="BNGA"/>
      <sheetName val="BMTR-N"/>
      <sheetName val="BMTR"/>
      <sheetName val="BDMN"/>
      <sheetName val="N-INTP"/>
      <sheetName val="N-INCO"/>
      <sheetName val="N-BLTA"/>
      <sheetName val="Syntegra"/>
      <sheetName val="SSI"/>
      <sheetName val="PDCC"/>
      <sheetName val="SPI GMBH"/>
      <sheetName val="CF_2002"/>
      <sheetName val="Oct_TB"/>
      <sheetName val="paje (adjusted)"/>
      <sheetName val="I - 10"/>
      <sheetName val="2002_CF_reclass"/>
      <sheetName val="U-80"/>
      <sheetName val="K-roll"/>
      <sheetName val="k-10"/>
      <sheetName val="Answer"/>
      <sheetName val="Entry Broker"/>
      <sheetName val="Op AP"/>
      <sheetName val="A. PM, TE &amp; SAD-June"/>
      <sheetName val="B. TE Allocation-June"/>
      <sheetName val="A. PM, TE &amp; SAD"/>
      <sheetName val="Fis-ANK"/>
      <sheetName val="Def. tax ANK"/>
      <sheetName val="M-Flow"/>
      <sheetName val="Q-Flow"/>
      <sheetName val="K-Mov"/>
      <sheetName val="Neraca lajur rumus baru"/>
      <sheetName val="WS ANK"/>
      <sheetName val="C.000"/>
      <sheetName val="E.000"/>
      <sheetName val="F.000"/>
      <sheetName val="G.000"/>
      <sheetName val="I.000"/>
      <sheetName val="O.000"/>
      <sheetName val="K.000"/>
      <sheetName val="J.000"/>
      <sheetName val="Q.000"/>
      <sheetName val="N.000"/>
      <sheetName val="P.000"/>
      <sheetName val="T.000"/>
      <sheetName val="UA.000"/>
      <sheetName val="VA.000"/>
      <sheetName val="VB.000"/>
      <sheetName val="VC.000"/>
      <sheetName val="VD.000"/>
      <sheetName val="VE.000"/>
      <sheetName val="UB.000"/>
      <sheetName val="UC.000"/>
      <sheetName val="WS ACM"/>
      <sheetName val="H.000"/>
      <sheetName val="Rekon Fskl"/>
      <sheetName val="Preliminary"/>
      <sheetName val="Y-Z"/>
      <sheetName val="M. Asing"/>
      <sheetName val="DFR WBS"/>
      <sheetName val="DFR WPL"/>
      <sheetName val="DFR CF"/>
      <sheetName val="DFR RE Statmnt"/>
      <sheetName val="A4-Consol"/>
      <sheetName val="DFR Cash"/>
      <sheetName val="DFR AR"/>
      <sheetName val="I-100 "/>
      <sheetName val="DFR Invt."/>
      <sheetName val="DFR FA"/>
      <sheetName val="K-Sum"/>
      <sheetName val="DFR Other Asset"/>
      <sheetName val="DFR Tax"/>
      <sheetName val="DFR Emp Ben"/>
      <sheetName val="Data "/>
      <sheetName val="R (2)"/>
      <sheetName val="DFR AP"/>
      <sheetName val="I-000"/>
      <sheetName val="DFR Accrue"/>
      <sheetName val="DFR Revenue"/>
      <sheetName val="DFR COS"/>
      <sheetName val="DFR OPEX"/>
      <sheetName val="DFR Other Inc(Exp)"/>
      <sheetName val="BLI_OutstandingCashAdvance"/>
      <sheetName val="BLI_CostCenter"/>
      <sheetName val="BLI_Facility"/>
      <sheetName val="BLI_Currency"/>
      <sheetName val="BLI_PaymentType"/>
      <sheetName val="BLI_ListEmployee"/>
      <sheetName val="Plafond Hutang"/>
      <sheetName val="Flow hutang"/>
      <sheetName val="ELIM-BULAN"/>
      <sheetName val="ELIM-KUM"/>
      <sheetName val="Detail ACM"/>
      <sheetName val="Detail ANK"/>
      <sheetName val="Detail SKDA"/>
      <sheetName val="Detail PGK"/>
      <sheetName val="Rekap Adj"/>
      <sheetName val="Ak&amp;ke dlm mata uang asing"/>
      <sheetName val="Cash&amp;AP in Foreign Curr."/>
      <sheetName val="BS Cons"/>
      <sheetName val="Rincian BS Cons"/>
      <sheetName val="IS Cons"/>
      <sheetName val="Jurnal eliminasi"/>
      <sheetName val="Fis-Con"/>
      <sheetName val="Fis-ACM"/>
      <sheetName val="Fis-PGK"/>
      <sheetName val="Recon Fis-SKDA"/>
      <sheetName val="DTA SKDA"/>
      <sheetName val="ELIM-KUM 2008"/>
      <sheetName val="ELIM-BULAN 2008"/>
      <sheetName val="Def. tax konsol"/>
      <sheetName val="FA for report"/>
      <sheetName val="Sales PGK"/>
      <sheetName val="Forex Materiality"/>
      <sheetName val="Rekap Insurance"/>
      <sheetName val="Insurance ACM"/>
      <sheetName val="Insurance ANK"/>
      <sheetName val="Insurance PGK"/>
      <sheetName val="Insurance SKDA"/>
      <sheetName val="jaminan htg bank"/>
      <sheetName val="Rincian htg Bank ACM"/>
      <sheetName val="Rincian htg Bank ANK"/>
      <sheetName val="Rincian htg Bank SKDA"/>
      <sheetName val="Rincian htg bank PGK"/>
      <sheetName val="Depresiasi&amp;Amortisasi"/>
      <sheetName val="Inv ANK"/>
      <sheetName val="Inv SKDA"/>
      <sheetName val="Inv PGK"/>
      <sheetName val="Suku Bunga"/>
      <sheetName val="Jmlh s.d 07"/>
      <sheetName val="Jmlh 07"/>
      <sheetName val="Jmlh 08"/>
      <sheetName val="Jmlh s.d 08"/>
      <sheetName val="Jmlh 09"/>
      <sheetName val="Jmlh s.d 09"/>
      <sheetName val="Jmlh 10"/>
      <sheetName val="Jmlh s.d 10"/>
      <sheetName val="VW"/>
      <sheetName val="Altis"/>
      <sheetName val="Vios"/>
      <sheetName val="Loader"/>
      <sheetName val="Forklift"/>
      <sheetName val="Caterpillar"/>
      <sheetName val="O.100"/>
      <sheetName val="O.200"/>
      <sheetName val="O.300"/>
      <sheetName val="O.400"/>
      <sheetName val="O.500"/>
      <sheetName val="O.600"/>
      <sheetName val="O.700"/>
      <sheetName val="O.710"/>
      <sheetName val="O.800"/>
      <sheetName val="O.900"/>
      <sheetName val="0.910"/>
      <sheetName val="0.911 Diposed FA Fis 2009"/>
      <sheetName val="O.912 Proyeksi 2010 Com"/>
      <sheetName val="O.913 Proyeksi 2010 Fis"/>
      <sheetName val="O.920 Empl. Benefit"/>
      <sheetName val="Pemasaran"/>
      <sheetName val="Asu"/>
      <sheetName val="Perjamuan"/>
      <sheetName val="Akt Fisc'09"/>
      <sheetName val="Halaman-1"/>
      <sheetName val="sederhana ke 1 (2)"/>
      <sheetName val="sederhana ke 1"/>
      <sheetName val="dafaktur"/>
      <sheetName val="1195"/>
      <sheetName val="1195A1"/>
      <sheetName val="1195A2"/>
      <sheetName val="1195A3"/>
      <sheetName val="Daftar-B1"/>
      <sheetName val="DAFINV"/>
      <sheetName val="1195B1"/>
      <sheetName val="1195B1 Hal.2"/>
      <sheetName val="1195B1 Hal.3"/>
      <sheetName val="1195B1 Hal.4"/>
      <sheetName val="1195B1 Hal.5"/>
      <sheetName val="1195B1 Hal.6"/>
      <sheetName val="1195B1 Hal.7"/>
      <sheetName val="1195B1 Hal.8"/>
      <sheetName val="1195B1 Hal 9"/>
      <sheetName val="1195B1 hal.10"/>
      <sheetName val="1195B2"/>
      <sheetName val="1195B3"/>
      <sheetName val="1195B4"/>
      <sheetName val="UA Lead"/>
      <sheetName val="UB.Lead"/>
      <sheetName val="VA-Lead"/>
      <sheetName val="VC.Lead"/>
      <sheetName val="VF.Lead"/>
      <sheetName val="VG.Lead"/>
      <sheetName val="Conf.Ctrl"/>
      <sheetName val="TOC3"/>
      <sheetName val="Close job cut off"/>
      <sheetName val="VE"/>
      <sheetName val="VF"/>
      <sheetName val="WBS_WPL"/>
      <sheetName val="TOOL 05_gol 1"/>
      <sheetName val="U.1.2 (Sales Cut-Off)"/>
      <sheetName val="U.2.1 (Purchase Cut-Off"/>
      <sheetName val="U.2-1 Attachment"/>
      <sheetName val="REFERENSI"/>
      <sheetName val="BENTUK REPORT AKHIR"/>
      <sheetName val="LAP. PENJUALAN PREPAID 3G"/>
      <sheetName val="DAFTAR CHANNEL"/>
      <sheetName val="G.1-2 Attachment"/>
      <sheetName val="FAA AUGUST"/>
      <sheetName val="R1-CAPEX-01"/>
      <sheetName val="R1-CAPEX-02"/>
      <sheetName val="R1-CAPEX-03"/>
      <sheetName val="APRIL WEIGHTED AVR"/>
      <sheetName val="Detail Sundry All"/>
      <sheetName val="R1-CAPEX-04"/>
      <sheetName val="FAA03"/>
      <sheetName val="R1-CAPEX-04-A"/>
      <sheetName val="R1-CAPEX-04-C"/>
      <sheetName val="R1-CAPEX-04-D"/>
      <sheetName val="N.1.2"/>
      <sheetName val="O.3.1"/>
      <sheetName val="0.3.2"/>
      <sheetName val="OO"/>
      <sheetName val="P.2.1"/>
      <sheetName val="T T"/>
      <sheetName val="AR Aging"/>
      <sheetName val="Travel Advance"/>
      <sheetName val="Other Advance"/>
      <sheetName val="Accrued Others"/>
      <sheetName val="Cash Flow Dec 2008"/>
      <sheetName val="PM TE SAD"/>
      <sheetName val="SAD Schedule"/>
      <sheetName val="Cashflow Sept 2007"/>
      <sheetName val="Cashflow Explanation"/>
      <sheetName val="Cash Explanation"/>
      <sheetName val="AR Trade"/>
      <sheetName val="AR Non Trade"/>
      <sheetName val="AR TO"/>
      <sheetName val="Prepaid Expense"/>
      <sheetName val="Advance Paid"/>
      <sheetName val="Others CA"/>
      <sheetName val="Others Non CA"/>
      <sheetName val="Audit Procedures WBS 1"/>
      <sheetName val="Audit Procedures WBS 2 "/>
      <sheetName val="Audit Program"/>
      <sheetName val="TB-PERMONTH"/>
      <sheetName val="1011-001"/>
      <sheetName val="1012-002"/>
      <sheetName val="1022-002"/>
      <sheetName val="1031-001"/>
      <sheetName val="1031-002"/>
      <sheetName val="1031-004"/>
      <sheetName val="1041'1044"/>
      <sheetName val="1044-005"/>
      <sheetName val="1050-001"/>
      <sheetName val="1050-002"/>
      <sheetName val="1061"/>
      <sheetName val="1062-003"/>
      <sheetName val="1062-004'009"/>
      <sheetName val="1080"/>
      <sheetName val="1100-006"/>
      <sheetName val="2011-002"/>
      <sheetName val="2012-002"/>
      <sheetName val="2022-002"/>
      <sheetName val="2041-003"/>
      <sheetName val="2041-004"/>
      <sheetName val="2041-005"/>
      <sheetName val="2041-006"/>
      <sheetName val="2041-099"/>
      <sheetName val="2050-003"/>
      <sheetName val="2050-004"/>
      <sheetName val="2070-003"/>
      <sheetName val="LOAN-BOTM"/>
      <sheetName val="LOAN-NISP"/>
      <sheetName val="LOAN DBS"/>
      <sheetName val="LOAN BSMI"/>
      <sheetName val="PURCHASE 2009"/>
      <sheetName val="SALES 2009"/>
      <sheetName val="U2-4.7_Royalty"/>
      <sheetName val="U2-4.7.1_RoyaltyCalculation"/>
      <sheetName val="U1-4_Export Sales"/>
      <sheetName val="J-2.3_Restitusi 2004"/>
      <sheetName val="Tax expense"/>
      <sheetName val="J-2_Claim tax Refund-Final"/>
      <sheetName val="J-2.1 - PPh 2003"/>
      <sheetName val="VAT-in"/>
      <sheetName val="U.4.2 - Rekap SKP dan STP"/>
      <sheetName val="9A4.1"/>
      <sheetName val="9A4.2"/>
      <sheetName val="9A4.3"/>
      <sheetName val="9C-Lead"/>
      <sheetName val="9CC"/>
      <sheetName val="9E-Lead"/>
      <sheetName val="9E.1"/>
      <sheetName val="9EE"/>
      <sheetName val="9F-Lead"/>
      <sheetName val="9F.1"/>
      <sheetName val="9F.2"/>
      <sheetName val="9F.2.1"/>
      <sheetName val="9G-Lead"/>
      <sheetName val="9G.1"/>
      <sheetName val="9H-Lead"/>
      <sheetName val="9K-Lead"/>
      <sheetName val="9K.1"/>
      <sheetName val="9L-Lead"/>
      <sheetName val="9N-Lead"/>
      <sheetName val="9NN"/>
      <sheetName val="9N.1"/>
      <sheetName val="9O-Lead"/>
      <sheetName val="9O.1"/>
      <sheetName val="9O.2 "/>
      <sheetName val="9O.3"/>
      <sheetName val="9P-Lead"/>
      <sheetName val="9P.1"/>
      <sheetName val="9P.1.1"/>
      <sheetName val="9P.1.2"/>
      <sheetName val="9U1-Lead"/>
      <sheetName val="9U1.1"/>
      <sheetName val="9U1.2"/>
      <sheetName val="9U2-Lead"/>
      <sheetName val="9U2.1"/>
      <sheetName val="9U3"/>
      <sheetName val="9U4"/>
      <sheetName val="9U5"/>
      <sheetName val="9U6"/>
      <sheetName val="9U7"/>
      <sheetName val="List PBC"/>
      <sheetName val="IS 08"/>
      <sheetName val="TB Sept 08"/>
      <sheetName val="TB Ags"/>
      <sheetName val="IS MAR 2010"/>
      <sheetName val="COGS MAR 2010"/>
      <sheetName val="TB MAR 2010"/>
      <sheetName val="List Adj "/>
      <sheetName val="TB Sep"/>
      <sheetName val="IS Combine Dec 2008"/>
      <sheetName val="TB DEC 2008"/>
      <sheetName val="COGS Dec 2009&amp;2008"/>
      <sheetName val="IS DEC 2009"/>
      <sheetName val="TB DEC 2009"/>
      <sheetName val="UB.1"/>
      <sheetName val="UB.2"/>
      <sheetName val="C (MH)"/>
      <sheetName val="C-1 (MH)"/>
      <sheetName val="C-2 (MH)"/>
      <sheetName val="D (MH)"/>
      <sheetName val="E-1 (MH)"/>
      <sheetName val="F (MH)"/>
      <sheetName val="G.1.3 (MH)"/>
      <sheetName val="K-1 (MH)"/>
      <sheetName val="O-1(MH)"/>
      <sheetName val="O.1.1 (MH)"/>
      <sheetName val="U-2.1 (MH)"/>
      <sheetName val="U-3.1 (MH)"/>
      <sheetName val="U-3.2 (MH)"/>
      <sheetName val="U-3.3 (MH)"/>
      <sheetName val="U-3.3.1 (MH)"/>
      <sheetName val="U-3.4 (MH)"/>
      <sheetName val="U-3.6 (MH)"/>
      <sheetName val="U-3.7 (MH)"/>
      <sheetName val="U-3.9 (MH)"/>
      <sheetName val="U-3.10 (MH)"/>
      <sheetName val="U-4.1 (MH)"/>
      <sheetName val="U-4.1.1 (MH)"/>
      <sheetName val="Rate bunga deposito (MH)"/>
      <sheetName val="U-4.2 (MH)"/>
      <sheetName val="U-4.3 (MH)"/>
      <sheetName val="R1_CAPEX_03"/>
      <sheetName val="LS Consolidated"/>
      <sheetName val="WS Consolidated"/>
      <sheetName val="LS Combined"/>
      <sheetName val="WS Combined"/>
      <sheetName val="Offset"/>
      <sheetName val="Detail -AJE"/>
      <sheetName val="Detail AJE Consol"/>
      <sheetName val="Restated AJE HTM 2001"/>
      <sheetName val="BDD 27 Des"/>
      <sheetName val="R-1 Deferred Tax &amp; Cor Rec"/>
      <sheetName val="R-1.1 Depr"/>
      <sheetName val="R-1.1 Depr (2)"/>
      <sheetName val="R-1.1.1 FISKAL 2011"/>
      <sheetName val="R-1.1.1 FISKAL2010"/>
      <sheetName val="R-1.2 Prov ESEnt"/>
      <sheetName val="instruksi"/>
      <sheetName val="HUTdanPIUT2012"/>
      <sheetName val="E.1.2"/>
      <sheetName val="E.1.3"/>
      <sheetName val="E.1.4"/>
      <sheetName val="E.1.5"/>
      <sheetName val="E.1.6"/>
      <sheetName val="E.1.7"/>
      <sheetName val="E.1.8"/>
      <sheetName val="E.1.9"/>
      <sheetName val="E.1.10"/>
      <sheetName val="E.1.11"/>
      <sheetName val="E.1.12"/>
      <sheetName val="E.1.13"/>
      <sheetName val="E.1.14"/>
      <sheetName val="E.1.15"/>
      <sheetName val="E.1.16"/>
      <sheetName val="E.1.17"/>
      <sheetName val="E.1.18"/>
      <sheetName val="E.1.19"/>
      <sheetName val="E.1.20"/>
      <sheetName val="E.1.21"/>
      <sheetName val="E.1.22"/>
      <sheetName val="Comp_demand"/>
      <sheetName val="QAF-Rest"/>
      <sheetName val="QAF-Guide pipe"/>
      <sheetName val="QAF-Guide Head"/>
      <sheetName val="QAF-Dist Trio"/>
      <sheetName val="QAF-Dist Dual"/>
      <sheetName val="DEA'96"/>
      <sheetName val="Investment Proposal Procedure"/>
      <sheetName val="Basic Info"/>
      <sheetName val="Sales &amp; Direct Expense"/>
      <sheetName val="Financials (A)"/>
      <sheetName val="Amortization Table (A)"/>
      <sheetName val="Financials-Compare A vs B"/>
      <sheetName val="Amortization Table (B)"/>
      <sheetName val="Financials-Compare A vs B (PN)"/>
      <sheetName val="Amortization Table"/>
      <sheetName val="Amortization Table (2)"/>
      <sheetName val="Basic Info (2)"/>
      <sheetName val="Sales &amp; Direct Expense (2)"/>
      <sheetName val="Financials"/>
      <sheetName val="Leasing Calculator"/>
      <sheetName val="Revised Budget 2003 Pkg"/>
      <sheetName val="WATER"/>
      <sheetName val="Ball Tap Valve Seat"/>
      <sheetName val="Ball Tap Body"/>
      <sheetName val="Approval Sheet"/>
      <sheetName val="75 mil"/>
      <sheetName val="85 mil"/>
      <sheetName val="95 mil"/>
      <sheetName val="105 mil"/>
      <sheetName val="TSH Hand Shower"/>
      <sheetName val="Capacity"/>
      <sheetName val="Injection"/>
      <sheetName val="QAF-Hand Shower"/>
      <sheetName val="Import Freight"/>
      <sheetName val="Hand Shower (Inj)"/>
      <sheetName val="Hand Shower (Chrome)"/>
      <sheetName val="MC Rate"/>
      <sheetName val="Area Layout 1"/>
      <sheetName val="Drawing 3 (2)"/>
      <sheetName val="Cost Drawing3 "/>
      <sheetName val="WT_MO"/>
      <sheetName val="Quotation"/>
      <sheetName val="DataInput1"/>
      <sheetName val="Frontend"/>
      <sheetName val="S2(USD$)"/>
      <sheetName val="S2(A$)"/>
      <sheetName val="S2 Chart"/>
      <sheetName val="S3(USD$)"/>
      <sheetName val="S3a(USD$)"/>
      <sheetName val="S3(A$)"/>
      <sheetName val="S3a(A$)"/>
      <sheetName val="S4(USD$)"/>
      <sheetName val="S4(A$)"/>
      <sheetName val="S5(USD$)"/>
      <sheetName val="S5(USD$) Chart"/>
      <sheetName val="S5(Baht)"/>
      <sheetName val="S5(Baht) Chart"/>
      <sheetName val="S5(A$)"/>
      <sheetName val="S5(A$) Chart"/>
      <sheetName val="S6"/>
      <sheetName val="S7"/>
      <sheetName val="S8"/>
      <sheetName val="S9(USD$)"/>
      <sheetName val="S9(A$)"/>
      <sheetName val="K1-per(USD$)"/>
      <sheetName val="KPICharts1(USD$)"/>
      <sheetName val="KPICharts2(USD$)"/>
      <sheetName val="AP Example"/>
      <sheetName val="F1(A$)"/>
      <sheetName val="F1(USD$)"/>
      <sheetName val="F2(A$)"/>
      <sheetName val="F2(USD$)"/>
      <sheetName val="F3(USD$)"/>
      <sheetName val="F3(A$)"/>
      <sheetName val="F3a(USD$)"/>
      <sheetName val="F3a(A$)"/>
      <sheetName val="F4(USD$)"/>
      <sheetName val="F4(A$)"/>
      <sheetName val="F4(Baht)"/>
      <sheetName val="ต้นฉบับ"/>
      <sheetName val="สำเนา1"/>
      <sheetName val="ใหม่"/>
      <sheetName val="AR settle"/>
      <sheetName val="182100"/>
      <sheetName val="pay 19bis"/>
      <sheetName val="Ex.rate"/>
      <sheetName val="Chk AP"/>
      <sheetName val="Collection"/>
      <sheetName val="Total Data 0110"/>
      <sheetName val="PL_Total"/>
      <sheetName val="PL_1000"/>
      <sheetName val="PL_2000"/>
      <sheetName val="PL_5000"/>
      <sheetName val="PL_6000"/>
      <sheetName val="PL_3000"/>
      <sheetName val="PL_7000"/>
      <sheetName val="PL_8000"/>
      <sheetName val="WIP_0107"/>
      <sheetName val="006681"/>
      <sheetName val="IMK9812101"/>
      <sheetName val="BS-RTI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Rugi Fiskal"/>
      <sheetName val="Mutation CF-BE"/>
      <sheetName val="ID-CF-RTI"/>
      <sheetName val="Loans-Principal"/>
      <sheetName val="Gain on Restructuring"/>
      <sheetName val="SUMMARY RATIO"/>
      <sheetName val="MI1"/>
      <sheetName val="MI1(detail-1)"/>
      <sheetName val="MI1(detail-2)"/>
      <sheetName val="MI3"/>
      <sheetName val="MI4"/>
      <sheetName val="MI5"/>
      <sheetName val="MI6"/>
      <sheetName val="Aug 2002"/>
      <sheetName val="K.Lead"/>
      <sheetName val="K.1 - Movement"/>
      <sheetName val="K.2 - Addition"/>
      <sheetName val="K.3 - Disposal"/>
      <sheetName val="K.4 - Depreciation Test"/>
      <sheetName val="Bank-cutOff-Dec'03"/>
      <sheetName val="N5"/>
      <sheetName val="N6"/>
      <sheetName val="Stock Movement"/>
      <sheetName val="NMI-Tax Recoverable&amp;Payable"/>
      <sheetName val="NMI-Acrual "/>
      <sheetName val="NMI-Developmen Cost of Plt."/>
      <sheetName val="NMI-Plasma Investment"/>
      <sheetName val="NMI-Def exp, Bank&amp;Other Loan"/>
      <sheetName val="Monetery Item- Related"/>
      <sheetName val="Monetery Item-Non Related"/>
      <sheetName val="Monetery Item"/>
      <sheetName val="MASTER FILE"/>
      <sheetName val="balance "/>
      <sheetName val="porfit&amp;loss"/>
      <sheetName val="receip"/>
      <sheetName val="receip-consump"/>
      <sheetName val="receip-vendor"/>
      <sheetName val="consump"/>
      <sheetName val="K.2 Detail"/>
      <sheetName val="K.3 Addition"/>
      <sheetName val="K.4 Disposal"/>
      <sheetName val="K.4.1 Gain on disposal"/>
      <sheetName val="K.5 Depreciation"/>
      <sheetName val="PBC_TB ASI SEPT 07"/>
      <sheetName val="TB ASI Sept07"/>
      <sheetName val="SRM consol"/>
      <sheetName val="A5 - ASI"/>
      <sheetName val="TAXMAR07"/>
      <sheetName val="nde'2006"/>
      <sheetName val="bonus exp_ASI"/>
      <sheetName val="U3.Memo (HO)"/>
      <sheetName val="U3.Lead"/>
      <sheetName val="U.3.1. promotion exp_ASI"/>
      <sheetName val="SELLING AND GA EXP ASI"/>
      <sheetName val="U.3.2. inland freight_ASI"/>
      <sheetName val="Vo-promotion"/>
      <sheetName val="Vo-Delivery"/>
      <sheetName val="BONUS EXP"/>
      <sheetName val="2011500010-HO"/>
      <sheetName val="2011500010-CJKT"/>
      <sheetName val="2011500010-SBY"/>
      <sheetName val="2011500010-SMG"/>
      <sheetName val="2011500010-MEDAN"/>
      <sheetName val="N.Memo"/>
      <sheetName val="N.Lead"/>
      <sheetName val=" N.2 "/>
      <sheetName val="N.4 Forex TEst"/>
      <sheetName val=" N.5 Subsequent"/>
      <sheetName val="N.6 CUT-off Seasoning"/>
      <sheetName val="N.7 CUT-off Beverages"/>
      <sheetName val="N.8 SURL "/>
      <sheetName val="NN - Confirmation Control"/>
      <sheetName val="Domestic Sales"/>
      <sheetName val="SEP 07"/>
      <sheetName val=" D.1 Memo"/>
      <sheetName val="D.1 Lead "/>
      <sheetName val="D.1.1 List OS"/>
      <sheetName val="D.1.1.1  EY Vouch Result"/>
      <sheetName val="D.1.2 Inc. test Resblns"/>
      <sheetName val="D.1.2.1 Avg. Placement"/>
      <sheetName val="D.1.2.2 Avg. CAWOB"/>
      <sheetName val="D.1.2.3 SL - int. income"/>
      <sheetName val="K.0"/>
      <sheetName val="Notes 8 (Report Support)"/>
      <sheetName val="K.1.1.1"/>
      <sheetName val="K.1.2.1"/>
      <sheetName val="K.1.3"/>
      <sheetName val="K.1.3.1"/>
      <sheetName val="K.1.4.1"/>
      <sheetName val="K.1.5"/>
      <sheetName val="K.1.6"/>
      <sheetName val="K.1.6.1"/>
      <sheetName val="K.1.7"/>
      <sheetName val="K.2.3"/>
      <sheetName val="K.3.2"/>
      <sheetName val="K.3.3.1"/>
      <sheetName val="K.6"/>
      <sheetName val="Store Detail as of 070630"/>
      <sheetName val="Store Addition as of 070630"/>
      <sheetName val="F 2 1"/>
      <sheetName val="F 2 2"/>
      <sheetName val="F 3 1"/>
      <sheetName val="F 3 1 1"/>
      <sheetName val="F 5 1"/>
      <sheetName val="F 5 1 1"/>
      <sheetName val="F 5 1 2"/>
      <sheetName val="F 4 2"/>
      <sheetName val="proforma consol"/>
      <sheetName val="TB-ASI (2)"/>
      <sheetName val="CIT Dec 2006"/>
      <sheetName val="Elimination entry"/>
      <sheetName val="AJE Consol"/>
      <sheetName val="Trial Balance AI"/>
      <sheetName val="A5. AI Parent Only"/>
      <sheetName val="CIT - AI"/>
      <sheetName val="CF AI"/>
      <sheetName val="TB-ASI"/>
      <sheetName val="Unrealised Profit"/>
      <sheetName val="B_Sheet"/>
      <sheetName val="FUM_Chart"/>
      <sheetName val="T.Memo"/>
      <sheetName val="T.Lead"/>
      <sheetName val="AB13-1"/>
      <sheetName val="AB13-2"/>
      <sheetName val="AB14"/>
      <sheetName val="BOOKマスタ"/>
      <sheetName val="In_EOCR_S_AJC"/>
      <sheetName val="In_CFNS_S_DIVA"/>
      <sheetName val="In_VCTC_DIVA"/>
      <sheetName val="In_VSPG_DIVA"/>
      <sheetName val="In_DSSN_DIVA"/>
      <sheetName val="In_VSPCM_S_DIVA"/>
      <sheetName val="In_CAIC_S_DIVA_220"/>
      <sheetName val="In_CAIC_S_DIVA_221"/>
      <sheetName val="In_CAIC_S_DIVA_225"/>
      <sheetName val="Out_EOCR_S_AJC"/>
      <sheetName val="Out_CAIC_S_DIVA_220"/>
      <sheetName val="Out_CAIC_S_DIVA_221"/>
      <sheetName val="Out_CAIC_S_DIVA_225"/>
      <sheetName val="Out_EGCR_S"/>
      <sheetName val="Check.def"/>
      <sheetName val="mapping.def"/>
      <sheetName val="I Lead"/>
      <sheetName val="I.1 - Intercompany Matrix"/>
      <sheetName val="I.1.2 Rekonsiliasi (ACBIvsASI)"/>
      <sheetName val="I.2 Recap"/>
      <sheetName val="II -Conf control"/>
      <sheetName val="PM-TE Calculation"/>
      <sheetName val="WTB Sep08 AI"/>
      <sheetName val="A5 Sep08 AI"/>
      <sheetName val="COGS Detail"/>
      <sheetName val="TB PBC 081017"/>
      <sheetName val="U1 Lead"/>
      <sheetName val="U1.1 Sales analysis"/>
      <sheetName val="Export sales"/>
      <sheetName val="P1 Accrued Royalty"/>
      <sheetName val="P.1.1 royalty-PBC "/>
      <sheetName val="P.2 Accrued Modjokerto"/>
      <sheetName val="P3 Accrued Bonus+THR"/>
      <sheetName val="P.4 payroll actuary test"/>
      <sheetName val="P.4.1"/>
      <sheetName val="P2 Provision Gratuity"/>
      <sheetName val="P.6 SURL"/>
      <sheetName val="DEPR."/>
      <sheetName val="LABOUR"/>
      <sheetName val="MASTER THR"/>
      <sheetName val="ACCR10-03"/>
      <sheetName val="SALMAN"/>
      <sheetName val="SALARIES GA"/>
      <sheetName val="GL VALUE"/>
      <sheetName val="GA07"/>
      <sheetName val="KONSEP"/>
      <sheetName val="FIXCOST"/>
      <sheetName val="SUPPLIES"/>
      <sheetName val="OTHFC"/>
      <sheetName val="TE Calculation"/>
      <sheetName val="SRM BS"/>
      <sheetName val="SRM PL"/>
      <sheetName val="TB Ajinex Mar 2009"/>
      <sheetName val="AJINEX08 Dec A3"/>
      <sheetName val="A5 NEX-jakarta"/>
      <sheetName val="A5 MJKT"/>
      <sheetName val="O6 - CIT"/>
      <sheetName val="O.6.1 NDE JKT"/>
      <sheetName val="O.6.2 NDE MJKT"/>
      <sheetName val="O.7 Reconciliation Def. tax"/>
      <sheetName val="O.7.1Def tax March09"/>
      <sheetName val="O.7.2 FA Fiscal March09"/>
      <sheetName val="Notes 3-6"/>
      <sheetName val="Notes 7-14"/>
      <sheetName val="Notes 16"/>
      <sheetName val="Notes 21 - 22"/>
      <sheetName val="P2.1 GAS"/>
      <sheetName val="P3. Bonuses"/>
      <sheetName val="P4. Suspense CIP"/>
      <sheetName val="P5. Suspense Other"/>
      <sheetName val="P6. Water"/>
      <sheetName val="P7. Search for unrecorded"/>
      <sheetName val="Seasoning"/>
      <sheetName val="Beverages"/>
      <sheetName val="F1.1"/>
      <sheetName val="F1.2"/>
      <sheetName val="F1.3"/>
      <sheetName val="F1.4"/>
      <sheetName val="F1.5"/>
      <sheetName val="F1.6"/>
      <sheetName val="K1 - ABS_summary"/>
      <sheetName val="K1.1 disp2005"/>
      <sheetName val="K1.1.1"/>
      <sheetName val="K1.2 land "/>
      <sheetName val="K.1.2.1 LandDetail"/>
      <sheetName val="K1.3 bldg"/>
      <sheetName val="K1.3.1 rev_bldg"/>
      <sheetName val="K1.4 mach"/>
      <sheetName val="K1.4.1 rev_mach"/>
      <sheetName val="K1.5 eqpt"/>
      <sheetName val="K1.5.1 rev_eqpt"/>
      <sheetName val="K1.6 vehicle"/>
      <sheetName val="K1.6.1 rev_vhcl"/>
      <sheetName val="K1.6.1.2 list of vhcl"/>
      <sheetName val="K1.7 store"/>
      <sheetName val="K.1.7.1 rev_str"/>
      <sheetName val="K2 distr depr"/>
      <sheetName val="K2.1 Dept alloc"/>
      <sheetName val="K3 adv_payment"/>
      <sheetName val="K4 PO committed"/>
      <sheetName val="P.6 Sec.Deposit"/>
      <sheetName val="P.6.1 Detail of 1036 RETAIL"/>
      <sheetName val="P.6.1.1 1036 INT RETAIL"/>
      <sheetName val="P.6.2 1036 DEPOT"/>
      <sheetName val="P.6.2.1 1036 INT DEPOT"/>
      <sheetName val="P.6.3 Ex retail dealer"/>
      <sheetName val="P.8 Sec.Deposit"/>
      <sheetName val="P.8.1 1036 Retail "/>
      <sheetName val="P.8.2 1036 Depot"/>
      <sheetName val="Recap 1036 Retail "/>
      <sheetName val="Recap 1036 Depot"/>
      <sheetName val="N.3 Unreceived invoice"/>
      <sheetName val="N.3.1 Unrcvd-FG"/>
      <sheetName val="N.3.2 Unrcvd-RM"/>
      <sheetName val="112-PBC"/>
      <sheetName val="121-PBC"/>
      <sheetName val="131-PBC"/>
      <sheetName val="133-PBC"/>
      <sheetName val="161-PBC"/>
      <sheetName val="162-PBC"/>
      <sheetName val="165-PBC"/>
      <sheetName val="169-PBC"/>
      <sheetName val="MATERIAL MASTER"/>
      <sheetName val="INVENTORY SBY 31.03.09"/>
      <sheetName val="PURCH (GL)"/>
      <sheetName val="Ending Balance per SLOC"/>
      <sheetName val="20090330 - JKT"/>
      <sheetName val="Ending Inv MES"/>
      <sheetName val="20090330 - MES"/>
      <sheetName val="Ending Inv SRG"/>
      <sheetName val="20090330 - SMG"/>
      <sheetName val="Ending Inv SUB"/>
      <sheetName val="Summary 2"/>
      <sheetName val="Recapitulation Floating S6"/>
      <sheetName val="BJMN"/>
      <sheetName val="MKSR"/>
      <sheetName val="KTG"/>
      <sheetName val="MES Depo"/>
      <sheetName val="MES SG"/>
      <sheetName val="Floating Jakarta"/>
      <sheetName val="MES"/>
      <sheetName val="S6 DEPO"/>
      <sheetName val="SG"/>
      <sheetName val="RDA"/>
      <sheetName val="SUMB"/>
      <sheetName val="RPU"/>
      <sheetName val="TO Dunex From C.JKT"/>
      <sheetName val="TO Dunex From SPM"/>
      <sheetName val="From Dunex to C.Jkt"/>
      <sheetName val="From Dunex to SPM"/>
      <sheetName val="Result"/>
      <sheetName val="SUMU-BM"/>
      <sheetName val="SUMU-DM"/>
      <sheetName val="RDA-BM"/>
      <sheetName val="RDA-DM"/>
      <sheetName val="RPU-BM"/>
      <sheetName val="RPU-DM"/>
      <sheetName val="SUMB-BM"/>
      <sheetName val="SUMB-DM"/>
      <sheetName val="Multiplyer"/>
      <sheetName val="MATERIAL_CC"/>
      <sheetName val="FF2.1-FF2.6"/>
      <sheetName val="FLead"/>
      <sheetName val="F1HO"/>
      <sheetName val="F 2 1.1"/>
      <sheetName val="F.6.1_Jakarta"/>
      <sheetName val="F.6.2_Semarang"/>
      <sheetName val="F.6.3_Medan"/>
      <sheetName val="F.7 NRV test"/>
      <sheetName val="FF.1 SO result"/>
      <sheetName val="Tax Provision"/>
      <sheetName val="Loss CF"/>
      <sheetName val="Disallowables"/>
      <sheetName val="PL-superceeded"/>
      <sheetName val="BS YTD 31 DEC 2012 "/>
      <sheetName val="PL YTD 31 DEC 2012 "/>
      <sheetName val="TB Dec 2011"/>
      <sheetName val="010112"/>
      <sheetName val="811040"/>
      <sheetName val="Provision Movement"/>
      <sheetName val="116200"/>
      <sheetName val="JP"/>
      <sheetName val="MML"/>
      <sheetName val="Asset Transfer"/>
      <sheetName val="Existing Asset"/>
      <sheetName val="Usfl Life"/>
      <sheetName val="SEMB Capex 2004-July04"/>
      <sheetName val="SEMB Capex 2005"/>
      <sheetName val="Acq-Dep-NBV"/>
      <sheetName val="Departmental Capex"/>
      <sheetName val="Control Sub"/>
      <sheetName val="Account Sub"/>
      <sheetName val="O_R_"/>
      <sheetName val="1_2"/>
      <sheetName val="17_22"/>
      <sheetName val="45_46"/>
      <sheetName val="Kid rid"/>
      <sheetName val="Perijinan"/>
      <sheetName val="AT 10"/>
      <sheetName val="AL 10 "/>
      <sheetName val="AT 11"/>
      <sheetName val="AL 11"/>
      <sheetName val="AT 12"/>
      <sheetName val="AL 12"/>
      <sheetName val="SURPLUS"/>
      <sheetName val="Y 2006"/>
      <sheetName val="rinci2006"/>
      <sheetName val="TBL HUT_ INV"/>
      <sheetName val="RAB IO"/>
      <sheetName val="NBH"/>
      <sheetName val="SAT_STAFF_ACC1_DC2 _2_"/>
      <sheetName val="DC_FZ01_"/>
      <sheetName val="CBY_B002_"/>
      <sheetName val="AYN_B004_"/>
      <sheetName val="PMY_B043_"/>
      <sheetName val="APR_B082_"/>
      <sheetName val="KHR_F001_"/>
      <sheetName val="ERTN_F004_"/>
      <sheetName val="PGRG_F006_"/>
      <sheetName val="PBR _F010_"/>
      <sheetName val="LMA _F011_"/>
      <sheetName val="KSA_F012_"/>
      <sheetName val="KRSB_F013_"/>
      <sheetName val="MTPD_F014_"/>
      <sheetName val="AYBS_F015_"/>
      <sheetName val="KTGN_F016_"/>
      <sheetName val="BLMB_F017_"/>
      <sheetName val="CWI_F018_"/>
      <sheetName val="GBI_F019_"/>
      <sheetName val="TPV _F020_"/>
      <sheetName val="WRU _F021_"/>
      <sheetName val="CRM _F022_"/>
      <sheetName val="PLSR_F023_"/>
      <sheetName val="CLA_F024_"/>
      <sheetName val="KGRN_F025_"/>
      <sheetName val="PLMN_F026_"/>
      <sheetName val="SBR_F027_"/>
      <sheetName val="JTW_F029_"/>
      <sheetName val="_PLA _F030_"/>
      <sheetName val="KDP _F032_"/>
      <sheetName val="TJG_F033_"/>
      <sheetName val="K MLY_F034_"/>
      <sheetName val="CLM_F035_"/>
      <sheetName val="RJGH_F036_"/>
      <sheetName val="JTTH_F037_"/>
      <sheetName val="JTB _F038_"/>
      <sheetName val="JTB2_F039_"/>
      <sheetName val="JGA_F040_"/>
      <sheetName val="KRA_F041_"/>
      <sheetName val="GGSK_F042_"/>
      <sheetName val="AJW _F043_"/>
      <sheetName val="BNKR_F044_"/>
      <sheetName val="LLA_F045_"/>
      <sheetName val="PJT_F046_"/>
      <sheetName val="SAT_F047__"/>
      <sheetName val="PLR_F048_"/>
      <sheetName val="LDR_F049_"/>
      <sheetName val="BTL_F050_"/>
      <sheetName val="LSI_F052_"/>
      <sheetName val="KSDM_F053_"/>
      <sheetName val="CPJH_F054_"/>
      <sheetName val="WRKD_F055_"/>
      <sheetName val="MSTY_F056_"/>
      <sheetName val="BLMA_F057_"/>
      <sheetName val="PLRY2_F058_"/>
      <sheetName val="LSI TIMUR_F059_"/>
      <sheetName val="KLTG_F060_"/>
      <sheetName val="MSA_F062"/>
      <sheetName val="ADWN_F063_"/>
      <sheetName val="BLPL_F065_"/>
      <sheetName val="CLG_F068_"/>
      <sheetName val="SKRJ_F069_ "/>
      <sheetName val="MJSN_F070_"/>
      <sheetName val="JSN_F071_"/>
      <sheetName val="PJN_F072_ "/>
      <sheetName val="AJT_F074_ "/>
      <sheetName val="LMG_F075_"/>
      <sheetName val="BGG_F076_"/>
      <sheetName val="AAI_F078_"/>
      <sheetName val="KRA2_F079_"/>
      <sheetName val="SAT_STAFF_ACC1_DC2 _3_"/>
      <sheetName val="SAT_STAFF_ACC1_DC2 _4_"/>
      <sheetName val="RJ btj 165104"/>
      <sheetName val="TABEL_DJ"/>
      <sheetName val="DJ_TAF"/>
      <sheetName val="FA_BARU"/>
      <sheetName val="SAT_STAFF_ACC1_DC2"/>
      <sheetName val="FA_BLM_DGK"/>
      <sheetName val="TRIAL BALANCE NOV08"/>
      <sheetName val="Depresiasi 2008"/>
      <sheetName val="Building &amp; Installation 2008"/>
      <sheetName val="Office Furniture 2008"/>
      <sheetName val="Tools&amp;Spareparts  2008"/>
      <sheetName val="Benches&amp;Machineries 2008"/>
      <sheetName val=" Computer Hardware 2008"/>
      <sheetName val="Office Equipment2008"/>
      <sheetName val="Mould &amp; Dies 2008"/>
      <sheetName val="Motor Vehicle 2008"/>
      <sheetName val="Software 2008"/>
      <sheetName val="HAMIDI"/>
      <sheetName val="UTOMO"/>
      <sheetName val="YOHANES"/>
      <sheetName val="PAHYUMI"/>
      <sheetName val="TOP"/>
      <sheetName val="ICF"/>
      <sheetName val="Det WBS I"/>
      <sheetName val="Det WBS II"/>
      <sheetName val="Det WPL"/>
      <sheetName val="KF"/>
      <sheetName val="KF PBC"/>
      <sheetName val="PRJE 2008"/>
      <sheetName val="sad 1"/>
      <sheetName val="Quasi"/>
      <sheetName val="sad03"/>
      <sheetName val="caje03"/>
      <sheetName val="crje03"/>
      <sheetName val="paje03"/>
      <sheetName val="prje03"/>
      <sheetName val="Prje07"/>
      <sheetName val="dta06"/>
      <sheetName val="Det WPL 12"/>
      <sheetName val="caje9"/>
      <sheetName val="crje9"/>
      <sheetName val="paje9"/>
      <sheetName val="prje9"/>
      <sheetName val="Det WPL June"/>
      <sheetName val="WS PBC T7&amp;Subs"/>
      <sheetName val="caje '10"/>
      <sheetName val="crje '10"/>
      <sheetName val="caje '09"/>
      <sheetName val="crje '09"/>
      <sheetName val="Det WBS I - Dec 2008"/>
      <sheetName val="TB Jun 09"/>
      <sheetName val="UM Asset"/>
      <sheetName val="Biaya All 2009-Coding Desc"/>
      <sheetName val="J1-1"/>
      <sheetName val="J1-2"/>
      <sheetName val="TOP-P"/>
      <sheetName val="Detail-P"/>
      <sheetName val="Report EY HK-P"/>
      <sheetName val="VA-1 COPB Acquisition Asing"/>
      <sheetName val="VA-1.1 COPB Acquisition Lokal"/>
      <sheetName val="VA-2 COPB-Others"/>
      <sheetName val="jan 08"/>
      <sheetName val="feb 08"/>
      <sheetName val="mar 08"/>
      <sheetName val="Report MMR"/>
      <sheetName val="Hitung-All"/>
      <sheetName val="Rekap Beli"/>
      <sheetName val="Report BYMHD"/>
      <sheetName val="Other-Info"/>
      <sheetName val="0912"/>
      <sheetName val="CF-Des"/>
      <sheetName val="RincPersd"/>
      <sheetName val="PKK"/>
      <sheetName val="UMKary"/>
      <sheetName val="UMPL"/>
      <sheetName val="UMPA"/>
      <sheetName val="Pjk"/>
      <sheetName val="ATB"/>
      <sheetName val="ATT"/>
      <sheetName val="AP-ALL"/>
      <sheetName val="AP-Rp MK"/>
      <sheetName val="AP-VLS MK"/>
      <sheetName val="APV"/>
      <sheetName val="APL"/>
      <sheetName val="oprs"/>
      <sheetName val="H1-1"/>
      <sheetName val="H1-2"/>
      <sheetName val="P2-1"/>
      <sheetName val="U4 - Lead"/>
      <sheetName val="U4.1.1"/>
      <sheetName val="U4.3"/>
      <sheetName val="U4.3.1"/>
      <sheetName val="U4.3.2"/>
      <sheetName val="WPs N"/>
      <sheetName val="N1-1"/>
      <sheetName val="N1-1a"/>
      <sheetName val="N1-3"/>
      <sheetName val="N1-4"/>
      <sheetName val="NN.1"/>
      <sheetName val="N2 Lead"/>
      <sheetName val="N2-1"/>
      <sheetName val="N2-2"/>
      <sheetName val="N2-3"/>
      <sheetName val="N2-3-1"/>
      <sheetName val="N2-3-2"/>
      <sheetName val="N2-3-3"/>
      <sheetName val="NN.2"/>
      <sheetName val="E1.1 Aging 2009"/>
      <sheetName val="E1.2 Allowance 2009"/>
      <sheetName val="E1.2.1"/>
      <sheetName val="E1.3 Subsequent"/>
      <sheetName val="E1.3.1 Jan"/>
      <sheetName val="E1.3.2 Feb"/>
      <sheetName val="E1.4"/>
      <sheetName val="E1.4.1"/>
      <sheetName val="E1.4.1.1"/>
      <sheetName val="E1.4.2"/>
      <sheetName val="E1.4.2.1"/>
      <sheetName val="E1.4.3"/>
      <sheetName val="E1.4.3.1"/>
      <sheetName val="E1.5"/>
      <sheetName val="EE Address"/>
      <sheetName val="PBC AFDA"/>
      <sheetName val="Sheet1 "/>
      <sheetName val="TOP-WP"/>
      <sheetName val="DETAIL WBS I"/>
      <sheetName val="DETAIL WBS II"/>
      <sheetName val="DETAIL WPL"/>
      <sheetName val="Dir CF"/>
      <sheetName val="PAJE Mar"/>
      <sheetName val="CAJE.CRJE"/>
      <sheetName val="PRJE Mar"/>
      <sheetName val="PRJE 2007"/>
      <sheetName val="prje 07"/>
      <sheetName val="VD-Lead"/>
      <sheetName val="VD-1"/>
      <sheetName val="VD-2"/>
      <sheetName val="G3.1.1"/>
      <sheetName val="G3.2"/>
      <sheetName val="G3.2.1"/>
      <sheetName val="G3.3"/>
      <sheetName val="G-1-1PPHdulu"/>
      <sheetName val="AZ01"/>
      <sheetName val="BZ01"/>
      <sheetName val="CZ01"/>
      <sheetName val="DZ01"/>
      <sheetName val="EZ01"/>
      <sheetName val="FZ01"/>
      <sheetName val="HZ01"/>
      <sheetName val="IZ01"/>
      <sheetName val="JZ01"/>
      <sheetName val="KZ01"/>
      <sheetName val="LZ01"/>
      <sheetName val="Z001"/>
      <sheetName val="C019"/>
      <sheetName val="C020"/>
      <sheetName val="C028_CKB_"/>
      <sheetName val="C030_BBB_"/>
      <sheetName val="C031_JBK_"/>
      <sheetName val="C048_TPC_"/>
      <sheetName val="C056_JDC_"/>
      <sheetName val="C072_RSK_"/>
      <sheetName val="C075"/>
      <sheetName val="C079_TRS_"/>
      <sheetName val="C081_STL_"/>
      <sheetName val="C082_RMS_"/>
      <sheetName val="C084_PLS_"/>
      <sheetName val="C086_CCP_"/>
      <sheetName val="C088_IDC_"/>
      <sheetName val="C090_RGD_"/>
      <sheetName val="C097_VBI_"/>
      <sheetName val="C098_SHD_"/>
      <sheetName val="C099_KSK_"/>
      <sheetName val="C100_AYP_"/>
      <sheetName val="C102_HAS_"/>
      <sheetName val="C107_CBC_"/>
      <sheetName val="C121_PCW_"/>
      <sheetName val="C124_BWT_"/>
      <sheetName val="C131_KBM_"/>
      <sheetName val="C134_DWC_"/>
      <sheetName val="C135_YMC_"/>
      <sheetName val="C137_PRK_"/>
      <sheetName val="C139_PRA_"/>
      <sheetName val="C144_PHJ_"/>
      <sheetName val="C146 STA"/>
      <sheetName val="C147"/>
      <sheetName val="C151_BWS2_"/>
      <sheetName val="C160_PCB_"/>
      <sheetName val="C163_GAP_"/>
      <sheetName val="C164_STS_"/>
      <sheetName val="C179_VAG_"/>
      <sheetName val="C184_BSP_"/>
      <sheetName val="C188_SKU_"/>
      <sheetName val="C218_DJP_"/>
      <sheetName val="C234_WAS2_"/>
      <sheetName val="C236_GTS_"/>
      <sheetName val="C240_VCT_"/>
      <sheetName val="C253_SPS_"/>
      <sheetName val="C254_IBC_"/>
      <sheetName val="C262_BGB_"/>
      <sheetName val="C268_SMT_"/>
      <sheetName val="C283_TMG_"/>
      <sheetName val="C284_SKI_"/>
      <sheetName val="C285_TMR2_"/>
      <sheetName val="C286_PMU_"/>
      <sheetName val="C289_MBA_"/>
      <sheetName val="C295_TWA2_"/>
      <sheetName val="C299_HRB2_"/>
      <sheetName val="C307_SNS_"/>
      <sheetName val="C309_ALK_"/>
      <sheetName val="C310_MGJ_"/>
      <sheetName val="C311_RGB_"/>
      <sheetName val="C312_BBA_"/>
      <sheetName val="C313_JTS"/>
      <sheetName val="C315_GRM_"/>
      <sheetName val="C321_PPM_"/>
      <sheetName val="C328_KGW_"/>
      <sheetName val="C329_CMA_"/>
      <sheetName val="C332_KGU_"/>
      <sheetName val="C334_PMC_"/>
      <sheetName val="C336_HOC_"/>
      <sheetName val="C337_RSI_"/>
      <sheetName val="C339_CKM_"/>
      <sheetName val="C344_MARGAHAYU_"/>
      <sheetName val="C345_WISMA JAYA_"/>
      <sheetName val="C347_TRIDAYA_"/>
      <sheetName val="C348_BSH 3_"/>
      <sheetName val="C353_VBI 2_"/>
      <sheetName val="C354_WRK 2_"/>
      <sheetName val="C357_ANGGADITA_"/>
      <sheetName val="C361_MEKARSARI_"/>
      <sheetName val="C362_TMR2_"/>
      <sheetName val="C363_TGL DANAS_"/>
      <sheetName val="C364_LOJI_"/>
      <sheetName val="C368_SMBR JY 2_"/>
      <sheetName val="C369_SMBR JY_"/>
      <sheetName val="C371_BJI_"/>
      <sheetName val="C375_PERUMNAS 1_"/>
      <sheetName val="C379_IPIK 2_"/>
      <sheetName val="C380_IPIK 3_"/>
      <sheetName val="C382_PINAYUNGAN_"/>
      <sheetName val="C383_KRG SATRIA_"/>
      <sheetName val="C389_WANAYASA_"/>
      <sheetName val="C390_FUDHOLI_"/>
      <sheetName val="C392_ALINDA_"/>
      <sheetName val="C393_SYECH QURO_"/>
      <sheetName val="C394_R_KALONG_"/>
      <sheetName val="C395_GRM_IO"/>
      <sheetName val="C396_KYR_"/>
      <sheetName val="C398_PCW2_"/>
      <sheetName val="C414_ARD BR_"/>
      <sheetName val="C432_MJA2_"/>
      <sheetName val="C433 BBL2"/>
      <sheetName val="C435 VMT2"/>
      <sheetName val="C437 KHD"/>
      <sheetName val="C439 PRK2"/>
      <sheetName val="C440 KSB2"/>
      <sheetName val="C444_DWI"/>
      <sheetName val="C445_SGB"/>
      <sheetName val="C446"/>
      <sheetName val="C447 BSI"/>
      <sheetName val="C448 TRG"/>
      <sheetName val="C449"/>
      <sheetName val="C450"/>
      <sheetName val="C453"/>
      <sheetName val="C455 KRB"/>
      <sheetName val="C459 HBU3"/>
      <sheetName val="C460 KDJ"/>
      <sheetName val="C461 JDC2"/>
      <sheetName val="C462 GYA2"/>
      <sheetName val="C466 RWL"/>
      <sheetName val="C467 GLM"/>
      <sheetName val="C468 TRA"/>
      <sheetName val="C471 BYA"/>
      <sheetName val="C473 RPJ"/>
      <sheetName val="C474 KDS"/>
      <sheetName val="C477 ABG"/>
      <sheetName val="C478 JMY2"/>
      <sheetName val="C480 MGT"/>
      <sheetName val="C481 PMD"/>
      <sheetName val="C482 ZRD"/>
      <sheetName val="C483"/>
      <sheetName val="C484 TUM"/>
      <sheetName val="C485 CLM"/>
      <sheetName val="C486"/>
      <sheetName val="C488 GKA"/>
      <sheetName val="C489 AMI"/>
      <sheetName val="C492 "/>
      <sheetName val="C493"/>
      <sheetName val="C496 TJB3"/>
      <sheetName val="C498"/>
      <sheetName val="C499 TJB2"/>
      <sheetName val="C502"/>
      <sheetName val="C503"/>
      <sheetName val="C504 VAG2"/>
      <sheetName val="C505"/>
      <sheetName val="C507"/>
      <sheetName val="C508"/>
      <sheetName val="C509"/>
      <sheetName val="C510"/>
      <sheetName val="C512"/>
      <sheetName val="C513"/>
      <sheetName val="C515"/>
      <sheetName val="C516"/>
      <sheetName val="C517"/>
      <sheetName val="C518"/>
      <sheetName val="C519"/>
      <sheetName val="C522"/>
      <sheetName val="C524"/>
      <sheetName val="C526"/>
      <sheetName val="C527"/>
      <sheetName val="C528"/>
      <sheetName val="C533"/>
      <sheetName val="C535"/>
      <sheetName val="C536"/>
      <sheetName val="C537"/>
      <sheetName val="C539"/>
      <sheetName val="C542"/>
      <sheetName val="C543"/>
      <sheetName val="C544"/>
      <sheetName val="C545"/>
      <sheetName val="C546"/>
      <sheetName val="C551"/>
      <sheetName val="C552"/>
      <sheetName val="C553"/>
      <sheetName val="C554"/>
      <sheetName val="C555"/>
      <sheetName val="C556"/>
      <sheetName val="C558"/>
      <sheetName val="C560"/>
      <sheetName val="C561"/>
      <sheetName val="C562"/>
      <sheetName val="C566"/>
      <sheetName val="C567"/>
      <sheetName val="C568"/>
      <sheetName val="C572"/>
      <sheetName val="Lap_ Kinerja Toko _2_"/>
      <sheetName val="Lap_ Kinerja Toko"/>
      <sheetName val="Bbn perlengkapan tk"/>
      <sheetName val="401100"/>
      <sheetName val="405000"/>
      <sheetName val="410030"/>
      <sheetName val="410090"/>
      <sheetName val="412040"/>
      <sheetName val="412070"/>
      <sheetName val="412080"/>
      <sheetName val="CFJun"/>
      <sheetName val="DetailPersed"/>
      <sheetName val="PersMK"/>
      <sheetName val="KasetKosong"/>
      <sheetName val="UM_Kary"/>
      <sheetName val="UM_ProgLokal"/>
      <sheetName val="UM_ProgAsing"/>
      <sheetName val="AT-Bulanan"/>
      <sheetName val="AT-Tahunan"/>
      <sheetName val="HutangAll"/>
      <sheetName val="HutProgRp_MK"/>
      <sheetName val="HutProgRp_NonMK"/>
      <sheetName val="HutProgValas_MK"/>
      <sheetName val="HutProgValas_NonMK"/>
      <sheetName val="Hut_ProgInh"/>
      <sheetName val="Hut_ProgLain"/>
      <sheetName val="Hut_Inv"/>
      <sheetName val="Hut_Oprs"/>
      <sheetName val="Rinc_Persed"/>
      <sheetName val="Kaset_Kosong"/>
      <sheetName val="Hutang_Bank"/>
      <sheetName val="Hutang_All"/>
      <sheetName val="Hutang Rp_Program"/>
      <sheetName val="Hutang Rp_NonMK"/>
      <sheetName val="Hutang Valas_Program"/>
      <sheetName val="Hutang Valas_Non MK"/>
      <sheetName val="Hutang Inhouse"/>
      <sheetName val="Hutang Lain_Program"/>
      <sheetName val="Hutang Lain_Investasi"/>
      <sheetName val="Hutang Lain_Operasional"/>
      <sheetName val="F1771_2"/>
      <sheetName val="Adj Pdn"/>
      <sheetName val="Adj Jkt"/>
      <sheetName val="SPA BS"/>
      <sheetName val="SPA P&amp;L"/>
      <sheetName val="Mov. Inv."/>
      <sheetName val="Movement2"/>
      <sheetName val="Timing Diff FA"/>
      <sheetName val="Control Fiscal Comp"/>
      <sheetName val="Fiscal Journal-J04"/>
      <sheetName val="FA Mov.Com. Combine"/>
      <sheetName val="FA Mov.Com. Jkt-J04"/>
      <sheetName val="FA Mov. Com. Pdn-J04"/>
      <sheetName val="Transaction Affiliates "/>
      <sheetName val="Detail Consol"/>
      <sheetName val="TOP fiscal-update"/>
      <sheetName val="fiscal journal-update"/>
      <sheetName val="CF Indirect"/>
      <sheetName val="Increase-Decrease"/>
      <sheetName val="P_L98"/>
      <sheetName val="FE_1770_I"/>
      <sheetName val="FE_1770_II"/>
      <sheetName val="Art 23"/>
      <sheetName val="BiayaAdum-account"/>
      <sheetName val="11Gaji"/>
      <sheetName val="12Pnyusutan"/>
      <sheetName val="13Tunjangan"/>
      <sheetName val="14Pnagihan"/>
      <sheetName val="15Listrik"/>
      <sheetName val="16Asuransi"/>
      <sheetName val="17COPB"/>
      <sheetName val="18Komunikasi"/>
      <sheetName val="19Pmeliharaan"/>
      <sheetName val="20Trans&amp;Pjlnan"/>
      <sheetName val="21Plngkpan Ktr"/>
      <sheetName val="22Promosi"/>
      <sheetName val="23Pajak"/>
      <sheetName val="24ProFee"/>
      <sheetName val="25Iutan"/>
      <sheetName val="26Lain2"/>
      <sheetName val="data-Current"/>
      <sheetName val="No.Akun"/>
      <sheetName val="Deptcode"/>
      <sheetName val="data-YTD"/>
      <sheetName val="adv-agncy"/>
      <sheetName val="Adv-catgry"/>
      <sheetName val="pdd des 2009"/>
      <sheetName val="UB. Memo"/>
      <sheetName val="Reporting "/>
      <sheetName val="UB Lead"/>
      <sheetName val="UB.2.1"/>
      <sheetName val="EBISORACLE"/>
      <sheetName val="UB.1 Test Forex"/>
      <sheetName val="UB.2.1 (2)"/>
      <sheetName val="0000000000"/>
      <sheetName val="Review_Non MIS"/>
      <sheetName val="Review With MIS"/>
      <sheetName val="Consolidation (Sort)"/>
      <sheetName val="Segmen'04"/>
      <sheetName val="Perhitungan fiskal"/>
      <sheetName val="Detailed WBS 1"/>
      <sheetName val="Detail WBS 2"/>
      <sheetName val="PAJE-PRJE'04"/>
      <sheetName val="T-ACC (PAJE)"/>
      <sheetName val="CAJE-CRJE'04"/>
      <sheetName val="CASHFLOW2004"/>
      <sheetName val="BERLI 2002"/>
      <sheetName val="Cashflow'03"/>
      <sheetName val="T-ACC (CAJE)"/>
      <sheetName val="CAJE-CRJERekap"/>
      <sheetName val="Cashflow Indirect"/>
      <sheetName val="PAJE-PRJErekap"/>
      <sheetName val="AKM DEPR"/>
      <sheetName val="EPS-StlhPLB"/>
      <sheetName val="EPS-SblmPLB"/>
      <sheetName val="ESOP 2003"/>
      <sheetName val="PAJE-PRJE (SORT)'02"/>
      <sheetName val="CAJE-CRJE (SORT)"/>
      <sheetName val="PAJE-PRJE'02"/>
      <sheetName val="CAJE-CRJE'02"/>
      <sheetName val="REKAPAN PARJE'04"/>
      <sheetName val="EPS-StlhPLB (2)"/>
      <sheetName val="WPs C"/>
      <sheetName val="N-2 AP-Non trade - lead"/>
      <sheetName val="pl-audit"/>
      <sheetName val="PL_segment"/>
      <sheetName val="รายละเอียดประกอบ"/>
      <sheetName val="PL-เปรียบเทียบ"/>
      <sheetName val="asset-AUDIT"/>
      <sheetName val=" INCOME"/>
      <sheetName val="KKP I"/>
      <sheetName val="B.1.4"/>
      <sheetName val="B.1.5"/>
      <sheetName val="B.1.6"/>
      <sheetName val="B.1.6 (2)"/>
      <sheetName val="B.1.6 (3)"/>
      <sheetName val="B.2.1.1"/>
      <sheetName val="B.2.1.2"/>
      <sheetName val="B.2.1.3 "/>
      <sheetName val="B.2.1.4"/>
      <sheetName val="B.2.1.5"/>
      <sheetName val="B.2.1.6"/>
      <sheetName val="B.2.1.7"/>
      <sheetName val="B.2.1.8"/>
      <sheetName val="B.2.1.9"/>
      <sheetName val="B.2.1.10"/>
      <sheetName val="B.2.1.11"/>
      <sheetName val="B.2.1.12"/>
      <sheetName val="B.2.1.13"/>
      <sheetName val="B.2.1.14"/>
      <sheetName val="B.2.1.15"/>
      <sheetName val="B.2.1.16"/>
      <sheetName val="B.2.1.17"/>
      <sheetName val="B.2.2 1"/>
      <sheetName val="B.4.2"/>
      <sheetName val="B.4.2.1 "/>
      <sheetName val="B.4.2.2"/>
      <sheetName val="B.4.2.3"/>
      <sheetName val="B.4.2.4 "/>
      <sheetName val="B.4.2.5"/>
      <sheetName val="B.4.2.6"/>
      <sheetName val="B.4.2.7"/>
      <sheetName val="B.4.2.8"/>
      <sheetName val="B.4.3"/>
      <sheetName val="B.4.3.1"/>
      <sheetName val="B.4.3.2"/>
      <sheetName val="B.4.3.3"/>
      <sheetName val="B.4.3.4"/>
      <sheetName val="B.4.3.5"/>
      <sheetName val="B.4.3.6"/>
      <sheetName val="B.4.3.7 "/>
      <sheetName val="B.4.3.8 "/>
      <sheetName val="B.4.3.9"/>
      <sheetName val="B.4.3.10"/>
      <sheetName val="B.4.3.11"/>
      <sheetName val="B.4.3.12"/>
      <sheetName val="B.4.3.13"/>
      <sheetName val="B.4.3.14"/>
      <sheetName val="B.4.3.15"/>
      <sheetName val="B.4.3.16"/>
      <sheetName val="B.4.3.18"/>
      <sheetName val="E.1.3 (2)"/>
      <sheetName val="E.3.2"/>
      <sheetName val="E.3.3"/>
      <sheetName val="E.5.1"/>
      <sheetName val="E.5.2"/>
      <sheetName val="E.6"/>
      <sheetName val="E.8.4 (2)"/>
      <sheetName val="E.8"/>
      <sheetName val="E.8.1"/>
      <sheetName val="E.8.4"/>
      <sheetName val="B.1.6 (4)"/>
      <sheetName val="B.1.6 (5)"/>
      <sheetName val="OBYEK"/>
      <sheetName val="TB per May"/>
      <sheetName val="TB0008"/>
      <sheetName val="TB JUNE 2007"/>
      <sheetName val="Cost STR20 "/>
      <sheetName val="SK"/>
      <sheetName val="Break_Sep"/>
      <sheetName val="Break_Oct"/>
      <sheetName val="Break_Sep (2)"/>
      <sheetName val="Break_Oct (2)"/>
      <sheetName val="Break_Sep_60"/>
      <sheetName val="Break_Oct_60"/>
      <sheetName val="Break_Oct_60 (2)"/>
      <sheetName val="วิเคราะห์"/>
      <sheetName val="FKT_PJK"/>
      <sheetName val="21pph"/>
      <sheetName val="PPH 21 (2)"/>
      <sheetName val="duatiga"/>
      <sheetName val="E.4.1"/>
      <sheetName val="duaenam"/>
      <sheetName val="E.8.1.1"/>
      <sheetName val="E.8.1.1.1-12"/>
      <sheetName val="E.8.1.2"/>
      <sheetName val="E.8.1.3"/>
      <sheetName val="E.8.2"/>
      <sheetName val="E.8.3"/>
      <sheetName val="E.8.5"/>
      <sheetName val="teliti"/>
      <sheetName val="SPTSewa"/>
      <sheetName val="BPot_Sewa"/>
      <sheetName val="BP-21"/>
      <sheetName val="DT_PPH23"/>
      <sheetName val="SPT23"/>
      <sheetName val="SPT23(2)"/>
      <sheetName val="LapFinal"/>
      <sheetName val="SPTFinal"/>
      <sheetName val="BktPPhf"/>
      <sheetName val="SSP (final)"/>
      <sheetName val="SPm21"/>
      <sheetName val="SPm21 (2)"/>
      <sheetName val="Art23"/>
      <sheetName val="DATA_FP"/>
      <sheetName val="FP MODI_A"/>
      <sheetName val="YTD Report (3)"/>
      <sheetName val="Reconcile"/>
      <sheetName val="RECAP SPM"/>
      <sheetName val="YTD Report"/>
      <sheetName val="SalaryandWage"/>
      <sheetName val="VA1"/>
      <sheetName val="VA All"/>
      <sheetName val="VA Sub Lead"/>
      <sheetName val="berkesinambungan"/>
      <sheetName val="peserta kegiatan"/>
      <sheetName val="mantan pegawai"/>
      <sheetName val="PPh 26"/>
      <sheetName val="Pesangon"/>
      <sheetName val="O1. PPh 4(2)"/>
      <sheetName val="O1.1 Rekon 4(2)"/>
      <sheetName val="O1.1-1 Detail Rekon 4(2)"/>
      <sheetName val="O2. PPh 23,26"/>
      <sheetName val="O2.1 Rekon 23"/>
      <sheetName val="O2.1-1 Detail Rekon 23"/>
      <sheetName val="O3. VAT Out &amp; In"/>
      <sheetName val="O3.1 Sales vs SPT"/>
      <sheetName val="O3.1-1 Detail sales vs SPT"/>
      <sheetName val="O3.2 VAT Out vs SPT"/>
      <sheetName val="O3.2-1 Detail VAT Out vs SPT"/>
      <sheetName val="O3.3 VAT In vs SPT"/>
      <sheetName val="O3.3-1 Selisih Mapping"/>
      <sheetName val="O3.3-2 VAT In Jan'12"/>
      <sheetName val="O3.3-3 VAT In Feb'12"/>
      <sheetName val="O3.3-4 VAT In blum credit"/>
      <sheetName val="O3.3-5 FP Expired"/>
      <sheetName val="O3.3-6 Detail VAT In SPT"/>
      <sheetName val="O4.1 Detail Rekap PPh 21,26"/>
      <sheetName val="O4.2 Rekap Lapor"/>
      <sheetName val="Monthly BS"/>
      <sheetName val="Monthly P&amp;L"/>
      <sheetName val="Monthly PJ P&amp;L"/>
      <sheetName val="Interco Balances"/>
      <sheetName val="Interco Transaction"/>
      <sheetName val="Related Party "/>
      <sheetName val="Off Equipment"/>
      <sheetName val="Computer Hardware"/>
      <sheetName val="Furniture &amp; Fixtures"/>
      <sheetName val="Transport Eq."/>
      <sheetName val="Computer Software "/>
      <sheetName val="SUMMARY -per book"/>
      <sheetName val="Office Equipment"/>
      <sheetName val="Comp Hardw"/>
      <sheetName val="Furn&amp;Fixt"/>
      <sheetName val="Transportation Equipment"/>
      <sheetName val="Comp Software"/>
      <sheetName val="K Report"/>
      <sheetName val="K Flow"/>
      <sheetName val="K1 Building"/>
      <sheetName val="K1.1 Details"/>
      <sheetName val="K2 Off Equipment"/>
      <sheetName val="K2.1 Details"/>
      <sheetName val="K3 Comp Hardware"/>
      <sheetName val="K3.1 Details"/>
      <sheetName val="K4 Furniture&amp;Fixture"/>
      <sheetName val="K4.1 Details"/>
      <sheetName val="K5 Transp Equip"/>
      <sheetName val="K5.1 Details"/>
      <sheetName val="Addition FA in 2007"/>
      <sheetName val="J1 Comp Software"/>
      <sheetName val="J1.1"/>
      <sheetName val="N-1 (AP Trade)"/>
      <sheetName val="N-2 (AP Others)"/>
      <sheetName val="N-3 (AP O Affiliates)"/>
      <sheetName val="induk1"/>
      <sheetName val="CIT induk"/>
      <sheetName val="Cal"/>
      <sheetName val="Class II"/>
      <sheetName val="SE46"/>
      <sheetName val="SUM-IN"/>
      <sheetName val="A-1 WBS-1"/>
      <sheetName val="A-2 WBS-2"/>
      <sheetName val="A-3 WPL"/>
      <sheetName val="E. AR"/>
      <sheetName val="F. Inventory"/>
      <sheetName val="G-2. Prepaid Expenses"/>
      <sheetName val="M. Short-term Loan"/>
      <sheetName val="N. AP"/>
      <sheetName val="P-2. Accrued Expenses"/>
      <sheetName val="U-3-1 Analytical-Selling"/>
      <sheetName val="Building improvement-GHB"/>
      <sheetName val="Artwork"/>
      <sheetName val="Artwork-GHB "/>
      <sheetName val="FF&amp;E"/>
      <sheetName val="FF&amp;E-GHB "/>
      <sheetName val="K&amp;L"/>
      <sheetName val="K&amp;L-GHB "/>
      <sheetName val="Machinery-GHB "/>
      <sheetName val="SPHTL"/>
      <sheetName val="SPHTL-GHB"/>
      <sheetName val="Vehicle-GHB "/>
      <sheetName val="Oprt.Equipt"/>
      <sheetName val="Summ."/>
      <sheetName val="TB2004"/>
      <sheetName val="PPh 4(2)"/>
      <sheetName val="P-1.1 (Old)"/>
      <sheetName val="P-1 (not use)"/>
      <sheetName val="P-1 Memo"/>
      <sheetName val="P-1.1.1 (Old)"/>
      <sheetName val="P-1.1.2 (Old)"/>
      <sheetName val="P-1 Memo (interview)"/>
      <sheetName val="P-2 Memo"/>
      <sheetName val="P-2.1"/>
      <sheetName val="3003"/>
      <sheetName val="3007"/>
      <sheetName val="3008"/>
      <sheetName val="3009"/>
      <sheetName val="3010"/>
      <sheetName val="3011"/>
      <sheetName val="3012"/>
      <sheetName val="3013"/>
      <sheetName val="3015"/>
      <sheetName val="3016"/>
      <sheetName val="3021"/>
      <sheetName val="3022"/>
      <sheetName val="3023"/>
      <sheetName val="3025"/>
      <sheetName val="3026"/>
      <sheetName val="3027"/>
      <sheetName val="C-1.1"/>
      <sheetName val="C-3.1"/>
      <sheetName val="C-3.2"/>
      <sheetName val="C-3.3"/>
      <sheetName val="C-4.1"/>
      <sheetName val="C-4.2"/>
      <sheetName val="CC Bank"/>
      <sheetName val="TB July'10"/>
      <sheetName val="TB July'09"/>
      <sheetName val="Direct CF-Ope Act"/>
      <sheetName val="CF FRP"/>
      <sheetName val="I - RPT"/>
      <sheetName val="BS PL for ConPack Purposes"/>
      <sheetName val="ConPack Purposes"/>
      <sheetName val="K-Flow-edit"/>
      <sheetName val="K.1-2111130"/>
      <sheetName val="K.1 - 110"/>
      <sheetName val="K.1 - 110 (2)"/>
      <sheetName val="K.3-2111140"/>
      <sheetName val="K.3 - 130."/>
      <sheetName val="K.3 - 130"/>
      <sheetName val="K.3 - 130 (2)"/>
      <sheetName val="K.4-2111180"/>
      <sheetName val="K.4 - 131"/>
      <sheetName val="K.5-2111150"/>
      <sheetName val="K.5 - 140,141,150"/>
      <sheetName val="K.6-2111160"/>
      <sheetName val="K.6 - 160"/>
      <sheetName val="K.11 - Shelter Installations"/>
      <sheetName val="K.11 - Shelter Installation-ori"/>
      <sheetName val="K.7-2111170"/>
      <sheetName val="K.7 - 170,180"/>
      <sheetName val="K.8-2121130"/>
      <sheetName val="K.8 - 210"/>
      <sheetName val="K.9-2121140"/>
      <sheetName val="K.9 - 230"/>
      <sheetName val="K.10 - 240,250"/>
      <sheetName val="K.10-2121150"/>
      <sheetName val="K.12-2121180"/>
      <sheetName val="K.12 - 231"/>
      <sheetName val="K.13-2111201"/>
      <sheetName val="K.2 - 120"/>
      <sheetName val="K.13 - Cap GOH Pumpset"/>
      <sheetName val="Type 1"/>
      <sheetName val="Type 2"/>
      <sheetName val="HISTORY REV"/>
      <sheetName val="2011.9BS"/>
      <sheetName val="2011.9PL"/>
      <sheetName val="2011.9BEP"/>
      <sheetName val="M-1 "/>
      <sheetName val="M-2 "/>
      <sheetName val="CR "/>
      <sheetName val="PL "/>
      <sheetName val="M- 5 "/>
      <sheetName val="S-3"/>
      <sheetName val="S-4 "/>
      <sheetName val="S-5"/>
      <sheetName val="VAT in -out"/>
      <sheetName val="PREPARE, ACCRUED"/>
      <sheetName val="CONTROL IMPORT NON MATERIAL"/>
      <sheetName val="2011.8BS(Std)"/>
      <sheetName val="Cash Flow Indirect 2010"/>
      <sheetName val="2010.12BS"/>
      <sheetName val="2010.12PL"/>
      <sheetName val="2010.12BEP"/>
      <sheetName val="M-5 "/>
      <sheetName val="CFI 1 (original)"/>
      <sheetName val="CFI 1 (AGUNG)"/>
      <sheetName val="Additional (K-3)"/>
      <sheetName val="Summary Asset"/>
      <sheetName val="FA vs Leasing Payable"/>
      <sheetName val="K-210"/>
      <sheetName val="K-230"/>
      <sheetName val="K-240"/>
      <sheetName val="K-250"/>
      <sheetName val="Q-1 OUCL Reporting"/>
      <sheetName val="cfi '08"/>
      <sheetName val="Q-1 OUCL Reporting (rev)"/>
      <sheetName val="csul '08"/>
      <sheetName val="Rate CSUL CFI"/>
      <sheetName val="Additional'08"/>
      <sheetName val="Payment'08"/>
      <sheetName val="Lilik Panca (1)"/>
      <sheetName val="Lilik Panca (2)"/>
      <sheetName val="Ending'07"/>
      <sheetName val="CFI '07"/>
      <sheetName val="CSUL '07"/>
      <sheetName val="Summary Asset (old)"/>
      <sheetName val="Additional (K-3) (old)"/>
      <sheetName val="CFI Des'08"/>
      <sheetName val="CSUL_Des'08"/>
      <sheetName val="CFI 3 (ori)"/>
      <sheetName val="9211120_2008 CFI"/>
      <sheetName val="Q-2 LS-002"/>
      <sheetName val="LS-003"/>
      <sheetName val="LS-004"/>
      <sheetName val="LS-005"/>
      <sheetName val="LS-006"/>
      <sheetName val="LS-007"/>
      <sheetName val="LS-008"/>
      <sheetName val="LS-009"/>
      <sheetName val="LS-010"/>
      <sheetName val="LS-011"/>
      <sheetName val="LS-012"/>
      <sheetName val="LS-013"/>
      <sheetName val="LS-014"/>
      <sheetName val="LS-015"/>
      <sheetName val="LS-016"/>
      <sheetName val="LS-018"/>
      <sheetName val="LS-019"/>
      <sheetName val="LS-020"/>
      <sheetName val="LS-021"/>
      <sheetName val="LS-022#"/>
      <sheetName val="LS-023"/>
      <sheetName val="LS-024"/>
      <sheetName val="LS-025#"/>
      <sheetName val="LS-026"/>
      <sheetName val="LS-027"/>
      <sheetName val="LS-028"/>
      <sheetName val="ls-029"/>
      <sheetName val="LS-030"/>
      <sheetName val="LS-031"/>
      <sheetName val="LS-032"/>
      <sheetName val="LS-033"/>
      <sheetName val="LS-034"/>
      <sheetName val="LS-035"/>
      <sheetName val="LS-036"/>
      <sheetName val="LS-037"/>
      <sheetName val="Sheet1 (6)"/>
      <sheetName val="Q-4 CSUL AJE (prev)"/>
      <sheetName val="Q-4 Lease CSUL"/>
      <sheetName val="Q-5 CSUL"/>
      <sheetName val="Q-3 CFI 1"/>
      <sheetName val="CFI 2"/>
      <sheetName val="CFI 3"/>
      <sheetName val="CFI 4"/>
      <sheetName val="CFI 5"/>
      <sheetName val="CFI 6"/>
      <sheetName val="CFI 7"/>
      <sheetName val="CFI 8"/>
      <sheetName val="CFI 9"/>
      <sheetName val="CFI 10"/>
      <sheetName val="CFI 11"/>
      <sheetName val="CFI 12"/>
      <sheetName val="CFI 13"/>
      <sheetName val="CFI 14"/>
      <sheetName val="CFI 15"/>
      <sheetName val="CFI 16"/>
      <sheetName val="CFI 17"/>
      <sheetName val="CFI 18"/>
      <sheetName val="CFI 19"/>
      <sheetName val="CFI 20"/>
      <sheetName val="CFI 21"/>
      <sheetName val="CFI 22"/>
      <sheetName val="Q-4 Lease CFI"/>
      <sheetName val="Q-5 CFI"/>
      <sheetName val="Q-4 CFI AJE (prev)"/>
      <sheetName val="TF (CSUL)"/>
      <sheetName val="9211120_2008 CSUL"/>
      <sheetName val="4101"/>
      <sheetName val="F_I"/>
      <sheetName val="Detail WBS-1"/>
      <sheetName val="Detail WBS-2"/>
      <sheetName val="Detail-WPL"/>
      <sheetName val="Eq PPh 21"/>
      <sheetName val="DIT 2010"/>
      <sheetName val="TB Dec 11"/>
      <sheetName val="VD-2.1"/>
      <sheetName val="VD-2.2 Gain (loss) PPE "/>
      <sheetName val="VE-2.8 Gain (loss) Dis PP"/>
      <sheetName val="VD-2.3 Miscellaneous - NET"/>
      <sheetName val="VD-2.5 Interets Loan Aff"/>
      <sheetName val="VD-2.6 Interest Expense - Loan"/>
      <sheetName val="VD-2.7 Interest Income"/>
      <sheetName val="VD-2.9Interest Exp intrnl lease"/>
      <sheetName val="UB.2 Forex"/>
      <sheetName val="monetary assets and lia"/>
      <sheetName val="VD-2.9.A"/>
      <sheetName val="sur"/>
      <sheetName val="cpp"/>
      <sheetName val="Equity in IN"/>
      <sheetName val="jualan"/>
      <sheetName val="nbv 2002"/>
      <sheetName val="WBS-proformaOWK"/>
      <sheetName val="Profit&amp;Loss"/>
      <sheetName val="Aje-gt"/>
      <sheetName val="Caje-HO"/>
      <sheetName val="Caje-Spj"/>
      <sheetName val="Caje-Smr&amp;Dpk"/>
      <sheetName val="T-Acc-gt"/>
      <sheetName val="CF (ok)"/>
      <sheetName val="wpl-FIS"/>
      <sheetName val="wbs-FIS"/>
      <sheetName val="MutFa"/>
      <sheetName val="add fafis 04"/>
      <sheetName val="depfis"/>
      <sheetName val="fafis"/>
      <sheetName val="kep150"/>
      <sheetName val="exp-FIS"/>
      <sheetName val="RE-awal"/>
      <sheetName val="Aje1"/>
      <sheetName val="Aje2"/>
      <sheetName val="cons-1"/>
      <sheetName val="cons-2"/>
      <sheetName val="cons-pl"/>
      <sheetName val="mut FA-cons"/>
      <sheetName val="report-FA"/>
      <sheetName val="Equity NI"/>
      <sheetName val="Unrealized"/>
      <sheetName val="Segmen-BS"/>
      <sheetName val="Segmen-WPIS"/>
      <sheetName val="Currency"/>
      <sheetName val="mutFA'97"/>
      <sheetName val="mutFA'98"/>
      <sheetName val="Elimination Journals"/>
      <sheetName val="Sales purchase eliminasi"/>
      <sheetName val="Equity in NI"/>
      <sheetName val="Cash flow (direct)"/>
      <sheetName val="Cash flow for report"/>
      <sheetName val="List of PAJEs"/>
      <sheetName val="T-Acc PAJEs"/>
      <sheetName val="K. Combine (audited)"/>
      <sheetName val="add fafis 05"/>
      <sheetName val="detail-1"/>
      <sheetName val="detail-2"/>
      <sheetName val="detail-3"/>
      <sheetName val="cf-parent"/>
      <sheetName val="cf-consol"/>
      <sheetName val="T-Acc caje"/>
      <sheetName val="T-Acc paje"/>
      <sheetName val="sales-prod"/>
      <sheetName val=" cogs"/>
      <sheetName val="cogs for report"/>
      <sheetName val="wbs-segmen- revised"/>
      <sheetName val="wpl-segmen-revised"/>
      <sheetName val="LL 13"/>
      <sheetName val="fiscal-comp"/>
      <sheetName val="FAkomersial"/>
      <sheetName val="FAdijamin"/>
      <sheetName val="FAcompletion"/>
      <sheetName val="CFkonsol"/>
      <sheetName val="CFinduk"/>
      <sheetName val="share-1"/>
      <sheetName val="share-2"/>
      <sheetName val="goodwil"/>
      <sheetName val="FISkor"/>
      <sheetName val="FC-1 Rekap Donation"/>
      <sheetName val="FC-2 Gain on sale of FA"/>
      <sheetName val="FC-3 FAfiskal"/>
      <sheetName val="P-1-3 Labor Law - UU No 13"/>
      <sheetName val="loan-konsol"/>
      <sheetName val="loan-cam"/>
      <sheetName val="insurance2002"/>
      <sheetName val="rentincome"/>
      <sheetName val="U-2-1.GManalytical"/>
      <sheetName val="*******00"/>
      <sheetName val="*******01"/>
      <sheetName val="*******02"/>
      <sheetName val="*******03"/>
      <sheetName val="*******04"/>
      <sheetName val="*******05"/>
      <sheetName val="*******06"/>
      <sheetName val="*******07"/>
      <sheetName val="Hatchery"/>
      <sheetName val="site (2)"/>
      <sheetName val="Bdl (2)"/>
      <sheetName val="Summary Audit"/>
      <sheetName val="TOING12"/>
      <sheetName val="CPC"/>
      <sheetName val="cost to june"/>
      <sheetName val="PAJE-Sby"/>
      <sheetName val="PM Set per branch"/>
      <sheetName val="InterBranch"/>
      <sheetName val="Pivot CAJE"/>
      <sheetName val="Pivot PAJE"/>
      <sheetName val="LIAB"/>
      <sheetName val="Leases Mutation"/>
      <sheetName val="FA Sold - fiscal"/>
      <sheetName val="AMOR RENT"/>
      <sheetName val="Def-Tax"/>
      <sheetName val="Sales-Elim"/>
      <sheetName val="Break Sales"/>
      <sheetName val="Emp. Ben"/>
      <sheetName val="Aging TR"/>
      <sheetName val="MUA"/>
      <sheetName val="Appraisal"/>
      <sheetName val="Sales related 2007"/>
      <sheetName val="Daftar aff"/>
      <sheetName val="detail(2)"/>
      <sheetName val="Detail FA"/>
      <sheetName val="SUMFA"/>
      <sheetName val="AS-02-aff"/>
      <sheetName val="AS-02-unaff"/>
      <sheetName val="Sales-aff"/>
      <sheetName val="Other elim"/>
      <sheetName val="348"/>
      <sheetName val="354"/>
      <sheetName val="355"/>
      <sheetName val="363"/>
      <sheetName val="366"/>
      <sheetName val="372"/>
      <sheetName val="381"/>
      <sheetName val="388"/>
      <sheetName val="467"/>
      <sheetName val="469"/>
      <sheetName val="2008-BS-PREPAID-RENT-FISKAL"/>
      <sheetName val="2008-BS-PREPAID-RENT-FISKAL (2)"/>
      <sheetName val="2008-BS-PREPAID-RENT-KOMERSIL"/>
      <sheetName val="2008-BS-PREPAID-RENT-KOMERS (2)"/>
      <sheetName val="G.1 Prepaid Insurance"/>
      <sheetName val="G.2 Prepaid Rent detail"/>
      <sheetName val="G.2-1"/>
      <sheetName val="G.2 PREPAID RENT"/>
      <sheetName val="G.2.1 beginning and addition'08"/>
      <sheetName val="G.2.2 ADDITION 2009"/>
      <sheetName val="G.3 PPH22"/>
      <sheetName val="G.3.1 PPH 22"/>
      <sheetName val="G.4 Prepaid - Art 25"/>
      <sheetName val="G.5 Advance"/>
      <sheetName val="G.5.2"/>
      <sheetName val="G.5.3"/>
      <sheetName val="G.6 PPH23"/>
      <sheetName val="PM Set"/>
      <sheetName val="PAJE &amp; PRJE (Parent)"/>
      <sheetName val="CAJE &amp; CRJE (Parent)"/>
      <sheetName val="WBS 1 (Parent)"/>
      <sheetName val="WBS 2 (Parent)"/>
      <sheetName val="WBS 1 (Detail)"/>
      <sheetName val="WPL (Parent)"/>
      <sheetName val="WBS 2 (Detail)"/>
      <sheetName val="WPL (Detail)"/>
      <sheetName val="Rent Fiscal"/>
      <sheetName val="2007-BS-PREPAID-RENT-FISKAL"/>
      <sheetName val="WBS-1 (Consol)"/>
      <sheetName val="WBS-2 (Consol)"/>
      <sheetName val="WPL (Consol)"/>
      <sheetName val="Detail WBS-1 (Consol)"/>
      <sheetName val="Detail WBS-2 (Consol)"/>
      <sheetName val="Pivot Elim"/>
      <sheetName val="Detail WPL (Consol)"/>
      <sheetName val="T-Elim"/>
      <sheetName val="investment 2006"/>
      <sheetName val="SRM - WBS WPL"/>
      <sheetName val="ASM - WBS"/>
      <sheetName val="ASM - WPL"/>
      <sheetName val="Segmen-BS (2005)"/>
      <sheetName val="Segmen-IS (2005)"/>
      <sheetName val="Segmen-BS (2004 restated)"/>
      <sheetName val="Segmen-WPIS (2004 restated)"/>
      <sheetName val="Segmen-BS (2003 restated)"/>
      <sheetName val="Segmen-IS (2003 restated)"/>
      <sheetName val="investment 2005"/>
      <sheetName val="investment 2004 =&lt;"/>
      <sheetName val="Unrealized 2005"/>
      <sheetName val="Unrealized 2004"/>
      <sheetName val="Movement CF Direct"/>
      <sheetName val="CF-Direct"/>
      <sheetName val="AMOR RENT2008"/>
      <sheetName val="List FA Fiscal"/>
      <sheetName val="Provision2008"/>
      <sheetName val="08-TSP-YG-FA FISKAL"/>
      <sheetName val="LIAB."/>
      <sheetName val="Pemusnahan"/>
      <sheetName val="Super Deductible"/>
      <sheetName val="List Fiscal"/>
      <sheetName val="detail-cf"/>
      <sheetName val="FA FISCAL-A"/>
      <sheetName val="FA FISCAL B"/>
      <sheetName val="Provision2009"/>
      <sheetName val="DTL effect 10"/>
      <sheetName val="AMOR RENT2009"/>
      <sheetName val="CF - Report"/>
      <sheetName val="Det WBS 1"/>
      <sheetName val="Det WBS 2"/>
      <sheetName val="FINANCIAL RATIO"/>
      <sheetName val="tb 2008 audited"/>
      <sheetName val="NBV"/>
      <sheetName val="neraca &amp; labarugi sep"/>
      <sheetName val="TB 2008"/>
      <sheetName val="TB 2009"/>
      <sheetName val="Rekap biaya gaji"/>
      <sheetName val="WBS 1 (2)"/>
      <sheetName val="WBS 2 (2)"/>
      <sheetName val="Det WPL (2)"/>
      <sheetName val="General Instructions"/>
      <sheetName val="ARPS BS"/>
      <sheetName val="ARPS PL"/>
      <sheetName val="PL(Discl)"/>
      <sheetName val="BS int1"/>
      <sheetName val="BS int2"/>
      <sheetName val="BS analysis"/>
      <sheetName val="17A"/>
      <sheetName val="17B"/>
      <sheetName val="26a"/>
      <sheetName val="26b"/>
      <sheetName val="32A"/>
      <sheetName val="32B"/>
      <sheetName val="39A"/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CTVanChuyen"/>
      <sheetName val="VLC_Tramcat"/>
      <sheetName val="VLC_35KV"/>
      <sheetName val="VLC_TBA"/>
      <sheetName val="XL4Poppy"/>
      <sheetName val="TT_10KV"/>
      <sheetName val="TT_0,4KV"/>
      <sheetName val="T_TBA"/>
      <sheetName val="10KV"/>
      <sheetName val="T_10KV"/>
      <sheetName val="0,4KV"/>
      <sheetName val="T_0,4KV"/>
      <sheetName val="CP_Xaylap"/>
      <sheetName val="CP_Thietbi"/>
      <sheetName val="CP_Khac"/>
      <sheetName val="Tong_DT"/>
      <sheetName val="TTVanChuyen"/>
      <sheetName val="Gia_GC_Satthep"/>
      <sheetName val="Phuluc"/>
      <sheetName val="封面"/>
      <sheetName val="目录"/>
      <sheetName val="快报"/>
      <sheetName val="资产负债表"/>
      <sheetName val="货币资金分类表"/>
      <sheetName val="资产减值准备明细表 "/>
      <sheetName val="固定资产增减变动及折旧计提表"/>
      <sheetName val="应交税金明细表"/>
      <sheetName val="长期股权投资增减变动明细表"/>
      <sheetName val="所有者权益增减明细表"/>
      <sheetName val="关联单位往来明细表"/>
      <sheetName val="企业存款明细表"/>
      <sheetName val="利润表"/>
      <sheetName val="利润分配表"/>
      <sheetName val="投资收益明细表"/>
      <sheetName val="营业费用明细表"/>
      <sheetName val="管理费用明细表"/>
      <sheetName val="财务费用明细表"/>
      <sheetName val="关联交易明细表"/>
      <sheetName val="主营业务利润明细表"/>
      <sheetName val="现金流量表 "/>
      <sheetName val="分部报告"/>
      <sheetName val="非经常性损益"/>
      <sheetName val="补充资料"/>
      <sheetName val="企业会计差异调节表"/>
      <sheetName val="个别会计报表表内勾稽关系一览表 "/>
      <sheetName val="表间主要勾稽关系一览表"/>
      <sheetName val="关联单位"/>
      <sheetName val="产业群一览表"/>
      <sheetName val="集团范围投资结构（1）"/>
      <sheetName val="集团单位代码名称对照表"/>
      <sheetName val="集团范围投资结构（2）"/>
      <sheetName val="Tonghop"/>
      <sheetName val="0"/>
      <sheetName val="K Fixed Assets"/>
      <sheetName val="K1.1 &amp; K1.2"/>
      <sheetName val="K1.3"/>
      <sheetName val="K1.4"/>
      <sheetName val="K1.5"/>
      <sheetName val="K1.6"/>
      <sheetName val="K1.7"/>
      <sheetName val="Vouching Add."/>
      <sheetName val="Sale &amp; Disposal of FA"/>
      <sheetName val="FA Report"/>
      <sheetName val="E (AR)"/>
      <sheetName val="E.1 (Trade)"/>
      <sheetName val="E.1 (Trade) 2"/>
      <sheetName val="E.1 (Trade) after forex"/>
      <sheetName val="E.1 (Trade) after forex 2802"/>
      <sheetName val="Test Forex'042802"/>
      <sheetName val="Test Forex'04"/>
      <sheetName val="testaging"/>
      <sheetName val="E.2 (Related)"/>
      <sheetName val="E.3 (AR Others)"/>
      <sheetName val="E.3.4"/>
      <sheetName val="E.3.5 "/>
      <sheetName val="CASHFLOW2003"/>
      <sheetName val="Accrued Expenses - P - ok"/>
      <sheetName val="Accrued Interest-P.1-ok"/>
      <sheetName val="Accrued Rent-P.2-ok"/>
      <sheetName val="Accr.Electricity-P.3-ok"/>
      <sheetName val="Accr. Spareparts-P.4-2005-ok"/>
      <sheetName val="Accrued Int.Leasing-P.4-ok"/>
      <sheetName val="J.1.2"/>
      <sheetName val="J.1.3"/>
      <sheetName val="J.1.4"/>
      <sheetName val="J.1.5"/>
      <sheetName val="J.1.6"/>
      <sheetName val="J.1.7"/>
      <sheetName val="J.1.8"/>
      <sheetName val="TB Dec 2010 SAP"/>
      <sheetName val="N.2 Lead"/>
      <sheetName val="N.2.1.1"/>
      <sheetName val="N.2.1.2"/>
      <sheetName val="N.2.1.3"/>
      <sheetName val="NN2"/>
      <sheetName val="H Lead - Investment Lead"/>
      <sheetName val="H.200"/>
      <sheetName val="H210"/>
      <sheetName val="H300"/>
      <sheetName val="H.400"/>
      <sheetName val="H500"/>
      <sheetName val="UB100"/>
      <sheetName val="UB200"/>
      <sheetName val="UB300"/>
      <sheetName val="UB400"/>
      <sheetName val="UB500"/>
      <sheetName val="PL fiskal"/>
      <sheetName val="CIT_09"/>
      <sheetName val="Deftax 09"/>
      <sheetName val="Sum FA Fiscal"/>
      <sheetName val="FA_09"/>
      <sheetName val="FA_08"/>
      <sheetName val="Supporting SRM"/>
      <sheetName val="BS_SRM"/>
      <sheetName val="PL_SRM_jiwo"/>
      <sheetName val="PL_SRM"/>
      <sheetName val="Loan Calculation"/>
      <sheetName val="TB9"/>
      <sheetName val="TB09"/>
      <sheetName val="BSINDEX"/>
      <sheetName val="BS3"/>
      <sheetName val="BS2.1"/>
      <sheetName val="BS3.5"/>
      <sheetName val="BS2.4"/>
      <sheetName val="BS 4"/>
      <sheetName val="TBAFTRAUDIT"/>
      <sheetName val="daftar kf"/>
      <sheetName val="FA_FISKAL09"/>
      <sheetName val="FA_FISKAL08"/>
      <sheetName val="TB10"/>
      <sheetName val="TBDEC09"/>
      <sheetName val="COYLIST"/>
      <sheetName val="C 1"/>
      <sheetName val="C 2"/>
      <sheetName val="C 3"/>
      <sheetName val="AP-1098"/>
      <sheetName val="K.1- FA Movement"/>
      <sheetName val="K.2-Building"/>
      <sheetName val="K.3-Machinery &amp; Tools"/>
      <sheetName val="K.4-FFE"/>
      <sheetName val="K.5-Vehicles"/>
      <sheetName val="K.6-Lease-Vehicles"/>
      <sheetName val="FFE"/>
      <sheetName val="IPO BoQ"/>
      <sheetName val="Factor"/>
      <sheetName val="IPO BoQ (2)"/>
      <sheetName val="input parameters"/>
      <sheetName val="Traffic &amp; coverage bts"/>
      <sheetName val="Traffic &amp; coverage bts(2FA)"/>
      <sheetName val="Traffic &amp; coverage bts(3FA)"/>
      <sheetName val="990430_당초"/>
      <sheetName val="PI "/>
      <sheetName val="P.1 Lead"/>
      <sheetName val="P.1.2"/>
      <sheetName val="P.1.3"/>
      <sheetName val="P.1.4"/>
      <sheetName val="P.1.5"/>
      <sheetName val="P.1.6"/>
      <sheetName val="P.1.7"/>
      <sheetName val="2008 RECAP"/>
      <sheetName val="AUG 2008 RECAP"/>
      <sheetName val="JULY 2008 RECAP"/>
      <sheetName val="JUNE 2008 RECAP"/>
      <sheetName val="TB-PTD-JUL-2008"/>
      <sheetName val="TB-PTD-JUN-2008"/>
      <sheetName val="TB-PTD-AUG_2008"/>
      <sheetName val="TB-PTD-SEP-2008"/>
      <sheetName val="TB-PTD-OCT-2008"/>
      <sheetName val="TB-YTD-JUL-2008"/>
      <sheetName val="TB-YTD-JUN-2008"/>
      <sheetName val="REFERENCE"/>
      <sheetName val="11月利润表"/>
      <sheetName val="12月利润表"/>
      <sheetName val="11月资产负债表"/>
      <sheetName val="在建工程"/>
      <sheetName val="目录TABLE OF CONTENT"/>
      <sheetName val="执行总结Executive Summary"/>
      <sheetName val="资产负债表BALANCE SHEET"/>
      <sheetName val="利润表P&amp;L"/>
      <sheetName val="余额表TRIAL BALANCE"/>
      <sheetName val="现金流量CASH FLOW"/>
      <sheetName val="现金CASH"/>
      <sheetName val="银行存款BANKS"/>
      <sheetName val="应收帐款AR"/>
      <sheetName val="Other Receivable 其他应收款"/>
      <sheetName val="应收职工款EMPLOYEE RECV"/>
      <sheetName val="应收其他OTHER RECV"/>
      <sheetName val="预付帐款或保证金ADV PAYM"/>
      <sheetName val="预付费用PREPAID EXP"/>
      <sheetName val="母牛及折旧COWS &amp; DEPR"/>
      <sheetName val="饲料FEED"/>
      <sheetName val="健康与专业HEALTH"/>
      <sheetName val="Feed Stock and Drugs"/>
      <sheetName val="其他原料OTHER STOCK"/>
      <sheetName val="固定资产FIXED ASSET"/>
      <sheetName val="累计折旧ACC.DEPR"/>
      <sheetName val="预计资产CONTING ASSET"/>
      <sheetName val="前期费用及摊还PRE-OP EXP &amp; AMOR"/>
      <sheetName val="短期借款及股东借款BANK &amp; S.HOLDER LOAN"/>
      <sheetName val="应付帐款ACC PAY"/>
      <sheetName val="工程应付款CONST PAY"/>
      <sheetName val="应交税TAX PAYABLE"/>
      <sheetName val="预计负债CONTG LIABILITY"/>
      <sheetName val="其他应付款OTHER PAY"/>
      <sheetName val="集团公司应付款AFFILIATE PAY"/>
      <sheetName val="应付费用及利息ACCRUE EXP &amp; INTEREST"/>
      <sheetName val="饲料损耗估价PROV FOR CALVE &amp;FEED "/>
      <sheetName val="资本金CAPITAL"/>
      <sheetName val="留存收益及本年利润RETAINED EARNING"/>
      <sheetName val="主营业务收入及成本INCOME &amp; COGS"/>
      <sheetName val="其他运营收入及运营费用OTHER INCOME &amp; EXP"/>
      <sheetName val="成本及费用OPR EXP"/>
      <sheetName val="Headcount  员工数量"/>
      <sheetName val="奶牛净值COWS BV"/>
      <sheetName val="鲜奶成本COGS MILK"/>
      <sheetName val="小牛成本COGS CALVES"/>
      <sheetName val="牛群数量CATTLE POPULATION"/>
      <sheetName val="饲料消耗-FEED CONSUMP"/>
      <sheetName val="饲料购买清单"/>
      <sheetName val="饲料购买单"/>
      <sheetName val="饲料库存FEED STOCK"/>
      <sheetName val="药物结存表-DRUG STOCK"/>
      <sheetName val="精液库存SEMEN STOCK"/>
      <sheetName val="牛奶等级MILK BY GRADE"/>
      <sheetName val="奶量统计表MILK VOLUME"/>
      <sheetName val="燃料FUEL STOCK"/>
      <sheetName val="燃料库存FUEL STOCK"/>
      <sheetName val="配件库存SPARTS STOCK"/>
      <sheetName val="工具TOOLS STOCK"/>
      <sheetName val="挤奶厅用品PARLOR CONSUMABLE"/>
      <sheetName val="其他应收Other Recv"/>
      <sheetName val="预付帐款或保证金Adv Paymnt"/>
      <sheetName val="饲料分析Feed Analysis"/>
      <sheetName val="预计资产Contingent Asset"/>
      <sheetName val="固定资产及累计折旧Fixed Asset&amp;Acc Depr"/>
      <sheetName val="在建工程Construction In Progress"/>
      <sheetName val="前期费用及摊还Pre-Opr &amp; Amor"/>
      <sheetName val="应付帐款AP"/>
      <sheetName val="集团应付Affiliates Paybl"/>
      <sheetName val="工程应付Constrc Paybl"/>
      <sheetName val="应交税Tax Paybl"/>
      <sheetName val="预计负债Contng Liability"/>
      <sheetName val="应付费用Accrued Exp"/>
      <sheetName val="其他应付Other Paybl"/>
      <sheetName val="资本金及资本公积Capital"/>
      <sheetName val="留存收益及本年利润RE&amp;Curr Year PL"/>
      <sheetName val="费用Opr Expense"/>
      <sheetName val="其他运营收入及费用Other Income &amp; Exp"/>
      <sheetName val="内部投资抵销表"/>
      <sheetName val="银行存款"/>
      <sheetName val="销售报告"/>
      <sheetName val="成本费用报告"/>
      <sheetName val="银行存款报告"/>
      <sheetName val="融资情况报告"/>
      <sheetName val="固定资产及折旧报告"/>
      <sheetName val="联系电话"/>
      <sheetName val="卸货计量表"/>
      <sheetName val="现金流量表CashFlow"/>
      <sheetName val="银行存款 "/>
      <sheetName val="12月应付帐款"/>
      <sheetName val="银行存款BANK"/>
      <sheetName val="银行存款 Bank"/>
      <sheetName val="应付帐款AP "/>
      <sheetName val="银行存款Bank (2)"/>
      <sheetName val="应付帐款 (2)"/>
      <sheetName val="应付帐款"/>
      <sheetName val="奶量销售MILK SOLD"/>
      <sheetName val="银行BANKS"/>
      <sheetName val="应付款AP"/>
      <sheetName val="应付账款ACC PAYABLE"/>
      <sheetName val="奶量销售报告MILK SOLD"/>
      <sheetName val="8.9－8.14银行存款Banks"/>
      <sheetName val="应付账款AP"/>
      <sheetName val="借款提取BOC-Loan Disbursement "/>
      <sheetName val="承兑汇票统计表P.Notes"/>
      <sheetName val="LC Issued &amp; Due date"/>
      <sheetName val="财务报表七月份牛奶销售"/>
      <sheetName val="First"/>
      <sheetName val="End"/>
      <sheetName val="10.17－10.23银行存款Banks"/>
      <sheetName val="承兑汇票统计表P.Notes  "/>
      <sheetName val="已开信用证LC Issued &amp; Due date"/>
      <sheetName val="10月1日－10月15日牛奶销售Milk Sold"/>
      <sheetName val="Livestock Chart"/>
      <sheetName val="Revenue Drivers"/>
      <sheetName val="Livestock"/>
      <sheetName val="Cattle Plan"/>
      <sheetName val="Feed Cost Sensitivity"/>
      <sheetName val="Feed Usage"/>
      <sheetName val="Feed Price"/>
      <sheetName val="Milk"/>
      <sheetName val="FAssets"/>
      <sheetName val="Equipment List"/>
      <sheetName val="Add Capex Nov 22"/>
      <sheetName val="PL&amp;BS"/>
      <sheetName val="Summary &amp; IRR"/>
      <sheetName val="Funding Sch - USD"/>
      <sheetName val="KPIvsMNAA"/>
      <sheetName val="KPI - Old"/>
      <sheetName val="Population vs Headcounts"/>
      <sheetName val="Overhead Efficiency"/>
      <sheetName val="Population vs EAITBDA"/>
      <sheetName val="Feed Chart"/>
      <sheetName val="Variation"/>
      <sheetName val="Overhead %"/>
      <sheetName val="PL&amp;BS-F1"/>
      <sheetName val="Direct CF Mtd"/>
      <sheetName val="Sale Cows to DXAA"/>
      <sheetName val="PL&amp;BS-F1&amp;F2"/>
      <sheetName val="Funding Sch - USD 5 Farms"/>
      <sheetName val="Milestones"/>
      <sheetName val="Funding Sch - USD 3 Farms"/>
      <sheetName val="DeLaval Payment Schedule"/>
      <sheetName val="CAPEX Bgt - 2012 F1"/>
      <sheetName val="Inter Chk"/>
      <sheetName val="P&amp;L BSheet CFlow "/>
      <sheetName val="SA-Lamp"/>
      <sheetName val="UFPrn20021113090847"/>
      <sheetName val="AR`"/>
      <sheetName val="Prepaid-Deposit"/>
      <sheetName val="Revaluation"/>
      <sheetName val="Accum Depr"/>
      <sheetName val="Cons in Process"/>
      <sheetName val="Construction in Processing"/>
      <sheetName val="Intangible Assets"/>
      <sheetName val="Land sum amortization"/>
      <sheetName val="Preparation"/>
      <sheetName val="Per-Operational"/>
      <sheetName val="long"/>
      <sheetName val="Land lease "/>
      <sheetName val="Construction"/>
      <sheetName val="Affliates Payable"/>
      <sheetName val="Paid in Capital1"/>
      <sheetName val="Capital Reserves"/>
      <sheetName val="Current Year PL"/>
      <sheetName val="Retained Earning (Loss)"/>
      <sheetName val="Profit Distribution-Undistribut"/>
      <sheetName val="Production Overhead"/>
      <sheetName val="G-AExpense"/>
      <sheetName val="Corporate G-A"/>
      <sheetName val="Operating Income-Cost"/>
      <sheetName val="Other Income-Cost"/>
      <sheetName val="Main Cost of Good"/>
      <sheetName val="Other COGS"/>
      <sheetName val="Rounded Difference"/>
      <sheetName val="Other Operating Expense"/>
      <sheetName val="Expenses out of Operating"/>
      <sheetName val="Income out of Operating"/>
      <sheetName val="T310"/>
      <sheetName val="U201 (2)"/>
      <sheetName val="U100 (2)"/>
      <sheetName val="U102"/>
      <sheetName val="U110"/>
      <sheetName val="U120"/>
      <sheetName val="U121"/>
      <sheetName val="U122"/>
      <sheetName val="U130"/>
      <sheetName val="U210 (2)"/>
      <sheetName val="U211"/>
      <sheetName val="U220"/>
      <sheetName val="U230"/>
      <sheetName val="U300"/>
      <sheetName val="U400"/>
      <sheetName val="u500"/>
      <sheetName val="U600"/>
      <sheetName val="AFS Notes"/>
      <sheetName val="U 1000 AFS Note Rec"/>
      <sheetName val="U1100 Yield Analysis"/>
      <sheetName val="U1101 Notes"/>
      <sheetName val="U1200 PL Int Income"/>
      <sheetName val="U1300 PL Int Expenses"/>
      <sheetName val="U1400 Benchmark"/>
      <sheetName val="U1500 Loan Trend"/>
      <sheetName val="U1600 Deposit Trend"/>
      <sheetName val="U1700 BS-PL"/>
      <sheetName val="U1800 Int Rate"/>
      <sheetName val="U 1900 Bal per Monthly report"/>
      <sheetName val="基础数据表清单"/>
      <sheetName val="资料清单"/>
      <sheetName val="SCH-BS 资产负债表"/>
      <sheetName val="SCH-PL 损益表"/>
      <sheetName val="SCH-DPL 损益明细表"/>
      <sheetName val="SCH-EX 营业费用明细表"/>
      <sheetName val="SCH-OIE 营业外收支明细表"/>
      <sheetName val="SCH-1 现金及银行存款"/>
      <sheetName val="SCH-2 存放中央银行"/>
      <sheetName val="SCH-3 存放同业"/>
      <sheetName val="SCH-4 拆放同业"/>
      <sheetName val="SCH-5 应收利息"/>
      <sheetName val="SCH-6 其他应收款"/>
      <sheetName val="SCH-7 坏帐准备"/>
      <sheetName val="SCH-8 同业拆入"/>
      <sheetName val="SCH-9 固定资产及累计折旧"/>
      <sheetName val="SCH-9-1房屋情况"/>
      <sheetName val="短期贷款"/>
      <sheetName val="应收进出口押汇"/>
      <sheetName val="核销贷款明细"/>
      <sheetName val="收回以前年度已核销贷款明细"/>
      <sheetName val="贴现"/>
      <sheetName val="短期投资（人民币） "/>
      <sheetName val="短期投资（外币）"/>
      <sheetName val="长期股权投资"/>
      <sheetName val="长期债权投资（人民币）"/>
      <sheetName val="长期债权投资（外币）"/>
      <sheetName val="提前兑付债券"/>
      <sheetName val="委托业务"/>
      <sheetName val="买入返售证券"/>
      <sheetName val="中长期贷款"/>
      <sheetName val="一逾两呆贷款汇总"/>
      <sheetName val="逾期贷款"/>
      <sheetName val="呆滞贷款"/>
      <sheetName val="呆帐贷款"/>
      <sheetName val="贷款呆账准备"/>
      <sheetName val="固定资产清理"/>
      <sheetName val="资产产权登记表"/>
      <sheetName val="无形资产"/>
      <sheetName val="递延资产"/>
      <sheetName val="抵债资产明细表"/>
      <sheetName val="抵债资产减值准备"/>
      <sheetName val="向中央银行借款"/>
      <sheetName val="短期存款和短期储蓄存款"/>
      <sheetName val="长期存款和长期储蓄存款"/>
      <sheetName val="财政性存款"/>
      <sheetName val="住房周转金"/>
      <sheetName val="同业存放款项"/>
      <sheetName val="同业拆入"/>
      <sheetName val="保证金"/>
      <sheetName val="应付利息"/>
      <sheetName val="其他应付款"/>
      <sheetName val="1632其他应付款明细"/>
      <sheetName val="应交税金"/>
      <sheetName val="卖出回购证券"/>
      <sheetName val="盈余公积及特殊呆帐准备金"/>
      <sheetName val="投资收益"/>
      <sheetName val=" 营业费用"/>
      <sheetName val="营业税金及附加"/>
      <sheetName val="营业外收入"/>
      <sheetName val="营业外支出"/>
      <sheetName val="系统内利息收入与利息支出"/>
      <sheetName val="以前年度损益调整"/>
      <sheetName val="应纳所得税明细表"/>
      <sheetName val="表外项目汇总"/>
      <sheetName val="表外项目-银行承兑汇票"/>
      <sheetName val="表外项目-保函"/>
      <sheetName val="表外项目-信用证"/>
      <sheetName val="经营性租赁承诺"/>
      <sheetName val="资本性支出承诺"/>
      <sheetName val="贷款清单"/>
      <sheetName val="汇率风险分析表"/>
      <sheetName val="流动性风险分析表"/>
      <sheetName val="衍生金融工具明细表"/>
      <sheetName val="现金流量表所需资料"/>
      <sheetName val="关联交易"/>
      <sheetName val="Sch-BS 资产负债表(本外币)"/>
      <sheetName val="现金"/>
      <sheetName val="存放中央银行款项"/>
      <sheetName val="存放同业款项"/>
      <sheetName val="联行往来"/>
      <sheetName val="拆放同业"/>
      <sheetName val="应收利息"/>
      <sheetName val="应收利息变动表"/>
      <sheetName val="坏帐准备"/>
      <sheetName val="其他应收款"/>
      <sheetName val="1631其他应收款明细"/>
      <sheetName val="分行上划准备金"/>
      <sheetName val="固定资产累计折旧"/>
      <sheetName val="SCH-EX 营业费用明细表 (2)"/>
      <sheetName val="A300BS"/>
      <sheetName val="A301PL"/>
      <sheetName val="A400"/>
      <sheetName val="A401PL"/>
      <sheetName val="A500"/>
      <sheetName val="A501"/>
      <sheetName val="A502"/>
      <sheetName val="A1000"/>
      <sheetName val="E310"/>
      <sheetName val="E400"/>
      <sheetName val="E410"/>
      <sheetName val="E500"/>
      <sheetName val="E510"/>
      <sheetName val="E520"/>
      <sheetName val="E530"/>
      <sheetName val="E800"/>
      <sheetName val="E810"/>
      <sheetName val="E900"/>
      <sheetName val="E910"/>
      <sheetName val="E911"/>
      <sheetName val="H200"/>
      <sheetName val="H211"/>
      <sheetName val="H222"/>
      <sheetName val="J210"/>
      <sheetName val="J310"/>
      <sheetName val="K100"/>
      <sheetName val="K200"/>
      <sheetName val="L200"/>
      <sheetName val="L210"/>
      <sheetName val="N100"/>
      <sheetName val="N200"/>
      <sheetName val="N300"/>
      <sheetName val="N500"/>
      <sheetName val="N510"/>
      <sheetName val="N900"/>
      <sheetName val="N910"/>
      <sheetName val="N1000"/>
      <sheetName val="N1010"/>
      <sheetName val="0110"/>
      <sheetName val="P100"/>
      <sheetName val="P110"/>
      <sheetName val="P200"/>
      <sheetName val="P300"/>
      <sheetName val="P900"/>
      <sheetName val="Q200"/>
      <sheetName val="Q400"/>
      <sheetName val="Q600"/>
      <sheetName val="S100"/>
      <sheetName val="S110"/>
      <sheetName val="S110 (2)"/>
      <sheetName val="T300"/>
      <sheetName val="U100"/>
      <sheetName val="U310"/>
      <sheetName val="V10"/>
      <sheetName val="V300"/>
      <sheetName val="V310"/>
      <sheetName val="OS Matters"/>
      <sheetName val="Standard audit marks"/>
      <sheetName val="H100 Workdone list"/>
      <sheetName val="H200 issues"/>
      <sheetName val="H 210Bonds consol"/>
      <sheetName val="H220 Rec"/>
      <sheetName val="H300 Enquity inv"/>
      <sheetName val="H400 for disclosure(PRC)"/>
      <sheetName val="H410 for disclosure(IAS)"/>
      <sheetName val="mgt consol"/>
      <sheetName val=" 4月上划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 V100Letter of guarantee"/>
      <sheetName val="acceptance"/>
      <sheetName val="工作表1"/>
      <sheetName val="A300"/>
      <sheetName val="分行营业部01-BS"/>
      <sheetName val="分行营业部01-PL"/>
      <sheetName val="分行营业部00-BS"/>
      <sheetName val="分行营业部00-PL"/>
      <sheetName val="C400P"/>
      <sheetName val="E400P"/>
      <sheetName val="E600"/>
      <sheetName val="E700"/>
      <sheetName val="E701"/>
      <sheetName val="E1000"/>
      <sheetName val="核销01"/>
      <sheetName val="核销应收利息"/>
      <sheetName val="委托01"/>
      <sheetName val="委托2000"/>
      <sheetName val="H10"/>
      <sheetName val="K100P"/>
      <sheetName val="L100"/>
      <sheetName val="L200P"/>
      <sheetName val="N10"/>
      <sheetName val="N400"/>
      <sheetName val="N600"/>
      <sheetName val="N700"/>
      <sheetName val="N800"/>
      <sheetName val="N900P"/>
      <sheetName val="N1100"/>
      <sheetName val="n1200"/>
      <sheetName val="op"/>
      <sheetName val="P400"/>
      <sheetName val="P500"/>
      <sheetName val="P600"/>
      <sheetName val="P700"/>
      <sheetName val="P800"/>
      <sheetName val="Q100P"/>
      <sheetName val="Q200P"/>
      <sheetName val="Q300"/>
      <sheetName val="Q500"/>
      <sheetName val="Q700"/>
      <sheetName val="S200"/>
      <sheetName val="T100"/>
      <sheetName val="T200"/>
      <sheetName val="U.detail"/>
      <sheetName val="U210"/>
      <sheetName val="U700"/>
      <sheetName val="U800"/>
      <sheetName val="U900"/>
      <sheetName val="U1000"/>
      <sheetName val="U1100"/>
      <sheetName val="u1200"/>
      <sheetName val="U1300"/>
      <sheetName val="U1400"/>
      <sheetName val="V100"/>
      <sheetName val="V200"/>
      <sheetName val="Standard audit marks (2)"/>
      <sheetName val="A410"/>
      <sheetName val="A420"/>
      <sheetName val="A430"/>
      <sheetName val="A440"/>
      <sheetName val="E10 "/>
      <sheetName val="E21 "/>
      <sheetName val="E400 "/>
      <sheetName val="&lt;E730&gt;"/>
      <sheetName val="H300(reference)"/>
      <sheetName val="H310"/>
      <sheetName val="J "/>
      <sheetName val="J110"/>
      <sheetName val="J320"/>
      <sheetName val="N100 "/>
      <sheetName val="N200  "/>
      <sheetName val="N300   "/>
      <sheetName val="N500  "/>
      <sheetName val="N700  "/>
      <sheetName val="N900 "/>
      <sheetName val="O210"/>
      <sheetName val="o310"/>
      <sheetName val="p110 "/>
      <sheetName val="p120"/>
      <sheetName val="Q100 "/>
      <sheetName val="Q200 "/>
      <sheetName val="Q300 "/>
      <sheetName val="Q410"/>
      <sheetName val="Q710"/>
      <sheetName val="S "/>
      <sheetName val="U100(Overall int yield analysis"/>
      <sheetName val="U110(Yield-MM placements）"/>
      <sheetName val="U120(Yield-Loan &amp; adv)"/>
      <sheetName val="U1210"/>
      <sheetName val="discounted bills"/>
      <sheetName val="privo table"/>
      <sheetName val="loan database (2)"/>
      <sheetName val="loan database"/>
      <sheetName val="consol B&amp;S"/>
      <sheetName val="A510"/>
      <sheetName val="C401"/>
      <sheetName val="e302"/>
      <sheetName val="E501"/>
      <sheetName val="E702"/>
      <sheetName val="e801"/>
      <sheetName val="E811"/>
      <sheetName val="E815"/>
      <sheetName val="E820"/>
      <sheetName val="E830"/>
      <sheetName val="e901"/>
      <sheetName val="e902"/>
      <sheetName val="E1010"/>
      <sheetName val="E1020"/>
      <sheetName val="G102"/>
      <sheetName val="k210"/>
      <sheetName val="k310"/>
      <sheetName val="k400"/>
      <sheetName val="N210"/>
      <sheetName val="N211"/>
      <sheetName val="v301"/>
      <sheetName val="徐"/>
      <sheetName val="管理文件清单"/>
      <sheetName val="2000年本外币"/>
      <sheetName val="P&amp;L01"/>
      <sheetName val="Assets and Liabilities"/>
      <sheetName val="U10 (2)"/>
      <sheetName val="outstanding list-k"/>
      <sheetName val="贴现2003"/>
      <sheetName val="贴现2002"/>
      <sheetName val="贴现(总表)"/>
      <sheetName val="贷款清单2002"/>
      <sheetName val="贷款清单2003"/>
      <sheetName val="Q100"/>
      <sheetName val="损益表项目-营业费用 "/>
      <sheetName val="复件"/>
      <sheetName val="利率风险"/>
      <sheetName val="金融工具账面值与公允值之比较"/>
      <sheetName val="逾期附表3"/>
      <sheetName val="逾期附表2"/>
      <sheetName val="逾期附表1"/>
      <sheetName val="1 四川"/>
      <sheetName val="2 北京"/>
      <sheetName val="3 大连"/>
      <sheetName val="4 福建"/>
      <sheetName val="5 广东"/>
      <sheetName val="6甘肃"/>
      <sheetName val="7 贵州"/>
      <sheetName val="8 江苏"/>
      <sheetName val="9 宁波"/>
      <sheetName val="10 山东"/>
      <sheetName val="11 上海"/>
      <sheetName val="12 深圳 "/>
      <sheetName val="13 新疆"/>
      <sheetName val="14 厦门"/>
      <sheetName val="15 云南"/>
      <sheetName val="16 浙江"/>
      <sheetName val="表3-6买汇及贴现"/>
      <sheetName val="表3-7-1短期贷款（对公）"/>
      <sheetName val="表3-8贸易融资"/>
      <sheetName val="表4-1-1中长期贷款（对公）"/>
      <sheetName val="综合"/>
      <sheetName val="调整表"/>
      <sheetName val="表1汇总表"/>
      <sheetName val="表2分类汇总"/>
      <sheetName val="表3流动汇总"/>
      <sheetName val="3-1-1现金"/>
      <sheetName val="(附表)现金盘点表"/>
      <sheetName val="3-1-2银行存款"/>
      <sheetName val="(附表)银行调节表"/>
      <sheetName val="3-1-3其他货币资金"/>
      <sheetName val="3-2短期投资汇总"/>
      <sheetName val="3-2-1短投-股票"/>
      <sheetName val="3-2-2短投-债券"/>
      <sheetName val="3-2-3短投-其他"/>
      <sheetName val="(附表）有价证券盘点表"/>
      <sheetName val="3-3应收票据"/>
      <sheetName val="3-4应收账款"/>
      <sheetName val="(附表)可疑债权调查表"/>
      <sheetName val="(附表)以前坏账查阅表"/>
      <sheetName val="3-5应收股利（利润）"/>
      <sheetName val="3-6应收利息"/>
      <sheetName val="3-7预付账款"/>
      <sheetName val="3-8应收补贴款"/>
      <sheetName val="3-9其他应收款"/>
      <sheetName val="内部往来"/>
      <sheetName val="3-10存货汇总"/>
      <sheetName val="(附表)存货盘点表"/>
      <sheetName val="3-10-1原材料"/>
      <sheetName val="3-10-2材料采购"/>
      <sheetName val="3-10-3在库低耗 "/>
      <sheetName val="3-10-4包装物"/>
      <sheetName val="3-10-5委托加工材料"/>
      <sheetName val="3-10-6产成品"/>
      <sheetName val="3-10-7在产品"/>
      <sheetName val="3-10-8分期收款发出产品"/>
      <sheetName val="3-10-9在用低耗"/>
      <sheetName val="3-10-10委托代销商品"/>
      <sheetName val="3-10-11受托代销商品"/>
      <sheetName val="3-11待摊费用"/>
      <sheetName val="3-12待处理流动净损失"/>
      <sheetName val="3-13一年到期债券"/>
      <sheetName val="3-14其他流动"/>
      <sheetName val="表4长期投资汇总"/>
      <sheetName val="4-1长投-股票"/>
      <sheetName val="4-2长投-债券"/>
      <sheetName val="4-3长投-其他"/>
      <sheetName val="表5固定资产汇总"/>
      <sheetName val="5-1-1房屋建筑物"/>
      <sheetName val="5-1-2构筑物"/>
      <sheetName val="5-1-3管道沟槽"/>
      <sheetName val="5-2-1机器设备"/>
      <sheetName val="(附表)机器设备调查表"/>
      <sheetName val="(附表)进口设备调查表"/>
      <sheetName val="5-2-2车辆"/>
      <sheetName val="(附表)车辆调查表"/>
      <sheetName val="5-2-3电子设备"/>
      <sheetName val="(附表)电子设备调查表"/>
      <sheetName val="5-2-4船舶"/>
      <sheetName val="5-3工程物资"/>
      <sheetName val="5-4-1在建（土建）"/>
      <sheetName val="5-4-2在建（设备）"/>
      <sheetName val="5-5固定资产清理"/>
      <sheetName val="5-6待处理固定净损失"/>
      <sheetName val="6-1无形（土地）"/>
      <sheetName val="6-2无形（其他）"/>
      <sheetName val="7-1开办费"/>
      <sheetName val="7-2长期待摊费用"/>
      <sheetName val="8-1其他长期资产"/>
      <sheetName val="8-2递延税款借项"/>
      <sheetName val="表9流动负债汇总"/>
      <sheetName val="9-1短期借款"/>
      <sheetName val="9-2应付票据"/>
      <sheetName val="9-3应付账款"/>
      <sheetName val="9-4预收账款"/>
      <sheetName val="9-5代销商品款"/>
      <sheetName val="9-6其他应付款"/>
      <sheetName val="9-7应付工资"/>
      <sheetName val="9-8应付福利费"/>
      <sheetName val="9-9应交税金"/>
      <sheetName val="9-10应付利润（股利）"/>
      <sheetName val="9-11其他未交款"/>
      <sheetName val="9-12预提费用"/>
      <sheetName val="9-13一年到期长期负债"/>
      <sheetName val="9-14其他流动负债"/>
      <sheetName val="表10长期负债汇总 "/>
      <sheetName val="10-1长期借款"/>
      <sheetName val="10-2应付债券"/>
      <sheetName val="10-3长期应付款"/>
      <sheetName val="10-4住房周转金"/>
      <sheetName val="10-5其他长期负债"/>
      <sheetName val="10-6递延税款贷项"/>
      <sheetName val="E100(old)"/>
      <sheetName val="WAJE_A231"/>
      <sheetName val="A501_AJE"/>
      <sheetName val="A511_RJE"/>
      <sheetName val="A521_PTB"/>
      <sheetName val="S1-1"/>
      <sheetName val="S2-1"/>
      <sheetName val="S2-2"/>
      <sheetName val="车辆"/>
      <sheetName val="重大设备"/>
      <sheetName val="生产线"/>
      <sheetName val="锅炉状况调查表"/>
      <sheetName val="电子设备状况调查表"/>
      <sheetName val="电梯状况调查表"/>
      <sheetName val="Orders"/>
      <sheetName val="Order-noPrepayment"/>
      <sheetName val="JV&amp;TC"/>
      <sheetName val="Class"/>
      <sheetName val="ChT-F"/>
      <sheetName val="ChT-Q"/>
      <sheetName val="ChT-Area"/>
      <sheetName val="ALL_Chart"/>
      <sheetName val="BJ_Chart"/>
      <sheetName val="SC_Chart"/>
      <sheetName val="QD_Chart"/>
      <sheetName val="SH_Chart"/>
      <sheetName val="SY_Chart"/>
      <sheetName val="BJ"/>
      <sheetName val="QD"/>
      <sheetName val="SH"/>
      <sheetName val="SY"/>
      <sheetName val="configuration"/>
      <sheetName val="FrontPage"/>
      <sheetName val="Data_Entry"/>
      <sheetName val="M1S"/>
      <sheetName val="M5A_M5B"/>
      <sheetName val="M5_M6 Summary"/>
      <sheetName val="M7B"/>
      <sheetName val="M8A"/>
      <sheetName val="AF1"/>
      <sheetName val="MD1"/>
      <sheetName val="MD2"/>
      <sheetName val="FC1"/>
      <sheetName val="FC2"/>
      <sheetName val="Dialogs"/>
      <sheetName val="AutoData"/>
      <sheetName val="上报资产负债表"/>
      <sheetName val="上报损益表"/>
      <sheetName val="现金流量表（月报）"/>
      <sheetName val="补充表"/>
      <sheetName val="填写指南"/>
      <sheetName val="控制汇总表"/>
      <sheetName val="Group list"/>
      <sheetName val="合营及联营公司清单"/>
      <sheetName val="准则差异指南"/>
      <sheetName val="财务公司科目对照表"/>
      <sheetName val="A100-检查清单"/>
      <sheetName val="A300-试算平衡表"/>
      <sheetName val="C100-货币资金"/>
      <sheetName val="D100-短期投资"/>
      <sheetName val="E100-应收票据"/>
      <sheetName val="E200-应收股利"/>
      <sheetName val="E300-应收帐款"/>
      <sheetName val="E310-应收帐款 "/>
      <sheetName val="F100-存货"/>
      <sheetName val="G100-其他应收款"/>
      <sheetName val="G200-预付账款"/>
      <sheetName val="G300-待摊费用"/>
      <sheetName val="A.R 01"/>
      <sheetName val="Livestock3"/>
      <sheetName val="Chart3"/>
      <sheetName val="KPI-F3"/>
      <sheetName val="PL&amp;BS-F3"/>
      <sheetName val="Funding Sch - Farm 3"/>
      <sheetName val="Farm Development Milestone - 3 "/>
      <sheetName val="Farm Development Milestone B"/>
      <sheetName val="Farm Development Milestone - 5"/>
      <sheetName val="KPI - BRAM"/>
      <sheetName val="P&amp;L Masbate"/>
      <sheetName val="Expenses-Masbate"/>
      <sheetName val="MASBATE Cattle Movement &amp; count"/>
      <sheetName val="AR trade "/>
      <sheetName val="other AR "/>
      <sheetName val="AP Local Trade"/>
      <sheetName val="Aug03 CAPEX act vs bud "/>
      <sheetName val="Realized&amp; Unrealized Forex"/>
      <sheetName val="Inventory "/>
      <sheetName val="Interco accounts"/>
      <sheetName val="Prepaid expenses"/>
      <sheetName val="Accrued Other exp"/>
      <sheetName val="CAPEX Form"/>
      <sheetName val="SEAFP FEEDLOT"/>
      <sheetName val="Chart's Data"/>
      <sheetName val="Financial Statements"/>
      <sheetName val="P_L BSheet CFlow "/>
      <sheetName val="AA Consol YTApr03"/>
      <sheetName val="AA Consol Apr03"/>
      <sheetName val="Non-Operating Exp Consol Sheet"/>
      <sheetName val="Corp Exp. Consol Sheet"/>
      <sheetName val="Corp Exp. SA"/>
      <sheetName val="SA-Abattoir"/>
      <sheetName val="SA-HO"/>
      <sheetName val="SA-Prob"/>
      <sheetName val="SEAFP"/>
      <sheetName val="AES Consol"/>
      <sheetName val="Malaysia"/>
      <sheetName val="Depot"/>
      <sheetName val="Export Services"/>
      <sheetName val="APL - Corp"/>
      <sheetName val="SACPRApr30'03"/>
      <sheetName val="AESCPRAPR'03"/>
      <sheetName val="Cross Rateapr03"/>
      <sheetName val="Cross Rate Historical"/>
      <sheetName val="Collateral"/>
      <sheetName val="Disposition"/>
      <sheetName val="Pick Lists"/>
      <sheetName val="AA Consol YTOct03"/>
      <sheetName val="AA Consol Oct03"/>
      <sheetName val="SA Interco summary"/>
      <sheetName val="SEAFP-IntercoSummary"/>
      <sheetName val="AES Consol Excl Malay"/>
      <sheetName val="APL Notes-to-Accounts"/>
      <sheetName val="Malaysia (in APL)"/>
      <sheetName val="Malaysia Expense as Paid by APL"/>
      <sheetName val="SEAFS P&amp;L"/>
      <sheetName val="SEAFS Bal Sheet"/>
      <sheetName val="AASB Bal Sheet"/>
      <sheetName val="AASB P&amp;L"/>
      <sheetName val="AAGroupInterc0-Oct03"/>
      <sheetName val="Cross Rate Oct03"/>
      <sheetName val="AUD-IDR-Peso"/>
      <sheetName val="ROY '03"/>
      <sheetName val="c 0708"/>
      <sheetName val="c 0809"/>
      <sheetName val="c 0910"/>
      <sheetName val="c 1011"/>
      <sheetName val="other slides"/>
      <sheetName val="P&amp;L f2"/>
      <sheetName val="BS f2"/>
      <sheetName val="CF f2"/>
      <sheetName val="P&amp;L f1"/>
      <sheetName val="BS f1"/>
      <sheetName val="CF f1"/>
      <sheetName val="graph敏感性分析"/>
      <sheetName val="T&amp;E"/>
      <sheetName val="Office Exp."/>
      <sheetName val="Jan to May Estimation"/>
      <sheetName val="P&amp;L Estimation"/>
      <sheetName val="assumptions&amp;sens假设"/>
      <sheetName val="Unit Establishment基建"/>
      <sheetName val="Importation of Livestock进口奶牛"/>
      <sheetName val="Livestock Flow"/>
      <sheetName val="Stock Reconcilliation奶牛的预算"/>
      <sheetName val="Milk Production牛奶的生产"/>
      <sheetName val="Livestock Sales牛群销售"/>
      <sheetName val="Production Costs生产成本"/>
      <sheetName val="Sensitivity Analysis"/>
      <sheetName val="Fees calculation"/>
      <sheetName val="Fees calculation (2)"/>
      <sheetName val="PC Inv"/>
      <sheetName val="Flash Report简报(MTD) "/>
      <sheetName val="Flash Report简报(YTD)"/>
      <sheetName val="P&amp;L-YTD全年累计损益"/>
      <sheetName val="P&amp;L-MTD每月损益"/>
      <sheetName val="P&amp;L-MTD 每月损益"/>
      <sheetName val="Graphs图表"/>
      <sheetName val="Assets Mgt 资产管理"/>
      <sheetName val="Assets Mgt"/>
      <sheetName val="Brief"/>
      <sheetName val="CF(GL)Jun"/>
      <sheetName val="Oth Exp Fcst (Apr)"/>
      <sheetName val="Other Exp Fcst"/>
      <sheetName val="Other Exp Fcst (May)"/>
      <sheetName val="Other Exp Fcst (Jul)"/>
      <sheetName val="Sales BD"/>
      <sheetName val="Asset Classes Useful Life"/>
      <sheetName val="WIP Depreciation Template"/>
      <sheetName val="Asset Classes C24 Life"/>
      <sheetName val="Draft Budget Stretch"/>
      <sheetName val=" Stretch by Dept"/>
      <sheetName val="ERE Split"/>
      <sheetName val="F07 Budget Comparison"/>
      <sheetName val="F07 Actual-Forecast"/>
      <sheetName val="Forecast Fixed Costs 07"/>
      <sheetName val="Actuals Fixed Costs 07"/>
      <sheetName val="Original Budget 07"/>
      <sheetName val="Cost Centers"/>
      <sheetName val="Ing &amp; Supp Temp"/>
      <sheetName val="Ing &amp; Supp Nodes"/>
      <sheetName val="Feed"/>
      <sheetName val="Labor"/>
      <sheetName val="Operating Costs Analysis"/>
      <sheetName val="LG"/>
      <sheetName val="FYF-Bud"/>
      <sheetName val="MTD-Bud"/>
      <sheetName val="V2.09"/>
      <sheetName val="IOFC"/>
      <sheetName val="Cow no."/>
      <sheetName val="Instruction Notes"/>
      <sheetName val="F09 Data Sheet"/>
      <sheetName val="Employee List"/>
      <sheetName val="SBU 09 List"/>
      <sheetName val="F10 Data Sheet"/>
      <sheetName val="F11 Data Sheet"/>
      <sheetName val="Structure Data"/>
      <sheetName val="F09 Cap Budget"/>
      <sheetName val="Business case split"/>
      <sheetName val="Forex table"/>
      <sheetName val="Forex for funding (Asia)"/>
      <sheetName val="Inflation rates "/>
      <sheetName val="2009 Inflation Rates Data"/>
      <sheetName val="Forex 2009 Data"/>
      <sheetName val="Spot rates 2008"/>
      <sheetName val="Forex Rates 2008"/>
      <sheetName val="Budget Exchange Rates (HFM)"/>
      <sheetName val="Directory"/>
      <sheetName val="PPI Inflation"/>
      <sheetName val="Population Growth"/>
      <sheetName val="GDP Growth"/>
      <sheetName val="Tax Rates"/>
      <sheetName val="Accounting"/>
      <sheetName val="Milk Growth"/>
      <sheetName val="Stream Yields"/>
      <sheetName val="FX Rates - General"/>
      <sheetName val="FX Rates - F09 Capital Plan"/>
      <sheetName val="BCP Prices"/>
      <sheetName val="Milk Price"/>
      <sheetName val="WACC Rate"/>
      <sheetName val="Risk Mitigation Checklist"/>
      <sheetName val="WorkingCapit۬_x0000_"/>
      <sheetName val="CapitalStructure"/>
      <sheetName val="FinancialStatements"/>
      <sheetName val="MilkSupply"/>
      <sheetName val="ProductionVolume"/>
      <sheetName val="Farms"/>
      <sheetName val="COGS - Fonterra"/>
      <sheetName val="MOPS"/>
      <sheetName val="NonCurrentAssets"/>
      <sheetName val="Bus Improv"/>
      <sheetName val="Wedge"/>
      <sheetName val="FY07 Milk price"/>
      <sheetName val="Appendix Output"/>
      <sheetName val="Gross Margin Bridge"/>
      <sheetName val="Output Tables"/>
      <sheetName val="From Financial File --&gt;"/>
      <sheetName val="Min Int"/>
      <sheetName val="KPIs"/>
      <sheetName val="DCF Mgt Rep"/>
      <sheetName val="Appendix Mgt Rep"/>
      <sheetName val="For D&amp;P Brands team--&gt;"/>
      <sheetName val="Support --&gt;"/>
      <sheetName val="Change"/>
      <sheetName val="Sensitivity BCP"/>
      <sheetName val="Recon Data"/>
      <sheetName val="Chg Analysis"/>
      <sheetName val="WorkingCapital"/>
      <sheetName val="Comparative Pricing"/>
      <sheetName val="Indicator"/>
      <sheetName val="Multiple Ingred"/>
      <sheetName val="Base ckg"/>
      <sheetName val="FinancialStatementsUSD"/>
      <sheetName val="FinancialStatementsLocal"/>
      <sheetName val="EnteredData"/>
      <sheetName val="COGS-BCP"/>
      <sheetName val="SalesVolume"/>
      <sheetName val="COGS-ExBCP"/>
      <sheetName val="INPUTS===&gt;"/>
      <sheetName val="Budget Inputs"/>
      <sheetName val="Actual Inputs"/>
      <sheetName val="Forecast Inputs"/>
      <sheetName val="BFL Forecast"/>
      <sheetName val="CALCS===&gt;"/>
      <sheetName val="OUTPUTS===&gt;"/>
      <sheetName val="Summary by Month"/>
      <sheetName val="Net FX Exposures"/>
      <sheetName val="Revenue Summary"/>
      <sheetName val="EBIT Analysis"/>
      <sheetName val="Waterfall"/>
      <sheetName val="Latest FYF summary"/>
      <sheetName val="Waterfall against BUs PLan"/>
      <sheetName val="NZ milk P&amp;L format"/>
      <sheetName val="NZ Milk Snapshot - milk section"/>
      <sheetName val="Revenue_Statement"/>
      <sheetName val="Key_BS_Indicators"/>
      <sheetName val="Perf. Summary LC"/>
      <sheetName val="Perf. Summary CCY"/>
      <sheetName val="Perf. Summary NZD"/>
      <sheetName val="FLT NZD M's"/>
      <sheetName val="BS Measures"/>
      <sheetName val="BS Debtor Days"/>
      <sheetName val="WCE "/>
      <sheetName val="KPI - LC"/>
      <sheetName val="RONA Bud"/>
      <sheetName val="RONA Act"/>
      <sheetName val="Data Input Sheet"/>
      <sheetName val="Appendix 2"/>
      <sheetName val="P L Analysis"/>
      <sheetName val="ETC Journals"/>
      <sheetName val="Calculation Sheet"/>
      <sheetName val="ETC TB Data"/>
      <sheetName val="USD Cashflow Report"/>
      <sheetName val="Debtors Raw Data"/>
      <sheetName val="CF Raw Data"/>
      <sheetName val="Option Raw Data"/>
      <sheetName val="FY10 Budget"/>
      <sheetName val="Per cow"/>
      <sheetName val="Per kg milk"/>
      <sheetName val="Roger Area"/>
      <sheetName val="Budget-feed"/>
      <sheetName val="Total Op"/>
      <sheetName val="Op-Cows"/>
      <sheetName val="Op-Heifers"/>
      <sheetName val="Op-Calves"/>
      <sheetName val="Alloc"/>
      <sheetName val="Act Re"/>
      <sheetName val="Financial Assessment金融分析"/>
      <sheetName val="TanshanMilkPrice"/>
      <sheetName val="Dep'n, R&amp;M"/>
      <sheetName val="Nutritional Requirements"/>
      <sheetName val="Feed Values"/>
      <sheetName val="GM &amp; Controller Letter"/>
      <sheetName val="Full Year Financial Summary"/>
      <sheetName val="Full Year EBIT Bridge"/>
      <sheetName val="Quarterly Financial Summary "/>
      <sheetName val=" Opportunities &amp; Risks"/>
      <sheetName val="Trade Working Capital"/>
      <sheetName val="Q1 Financial Summary "/>
      <sheetName val="Q1 EBIT Bridge"/>
      <sheetName val="Q2 Financial Summary "/>
      <sheetName val="Q2 EBIT Bridge "/>
      <sheetName val="Q3 Financial Summary "/>
      <sheetName val="Q3 EBIT Bridge "/>
      <sheetName val="Q4 Financial Summary"/>
      <sheetName val="Q4 EBIT Bridge "/>
      <sheetName val="Rev &amp; GM"/>
      <sheetName val="Secured Margin"/>
      <sheetName val="Backlog Unearned"/>
      <sheetName val="Working Capital"/>
      <sheetName val="DIOH"/>
      <sheetName val="Accounts Payable"/>
      <sheetName val="Backlog Unearned(P)"/>
      <sheetName val="Backlog Unearned(M)"/>
      <sheetName val="Backlog Unearned(D)"/>
      <sheetName val="Backlog Unearned(Lastyr)"/>
      <sheetName val="Trade Wokring Capital &amp; ANOA"/>
      <sheetName val="NZ Manuf Temp"/>
      <sheetName val="Sub Category"/>
      <sheetName val="NZ Manuf Nodes"/>
      <sheetName val="May06"/>
      <sheetName val="Jan06Uploaded"/>
      <sheetName val="Jun06 Meeting"/>
      <sheetName val="Title "/>
      <sheetName val="Acc Dep"/>
      <sheetName val="Asset Clearing"/>
      <sheetName val="WIP GL"/>
      <sheetName val="Volumes"/>
      <sheetName val="Gross Margins"/>
      <sheetName val="FinancialStatementsNZD"/>
      <sheetName val="ValuationUSD"/>
      <sheetName val="ValuationNZD"/>
      <sheetName val="USD ,000"/>
      <sheetName val="P&amp;L revised fcst"/>
      <sheetName val="NZ milk P&amp;L excl Mex"/>
      <sheetName val="Snapshot"/>
      <sheetName val="Yangwang"/>
      <sheetName val="Jan08Act"/>
      <sheetName val="Contract-Kingpeng"/>
      <sheetName val="Feb08Inv"/>
      <sheetName val="OSFapiao"/>
      <sheetName val="Forward Currency Contract"/>
      <sheetName val="Capital Commitments"/>
      <sheetName val="sewa rekap"/>
      <sheetName val="Operating lease Commitments"/>
      <sheetName val="Credit Risk"/>
      <sheetName val="Bank loans"/>
      <sheetName val="Others-net (Lain-lain Bersih)"/>
      <sheetName val="Other AR (Piutang lain-lain)"/>
      <sheetName val="Prep exp (Biaya dibayar dimuka)"/>
      <sheetName val="Int Asset (Aset tidak berwujud)"/>
      <sheetName val="Int Asset JCINDIA"/>
      <sheetName val="Other assets (Aset lain-lain)"/>
      <sheetName val="WP OTHER ASSETS (2)"/>
      <sheetName val="Income Tax"/>
      <sheetName val="Income Tax frm auditor"/>
      <sheetName val="diff in tax acc"/>
      <sheetName val="MI (Hak Minoritas)"/>
      <sheetName val="Diff In Value"/>
      <sheetName val="Credit Risk (2)"/>
      <sheetName val="Currency risk "/>
      <sheetName val="Rental Expense"/>
      <sheetName val="Derivative FI"/>
      <sheetName val="WP OTHER ASSETS"/>
      <sheetName val="Long term land rental India"/>
      <sheetName val="PPE MBAI"/>
      <sheetName val="PPE SA"/>
      <sheetName val="Assumption "/>
      <sheetName val="Assumption-Local"/>
      <sheetName val="Assumption-Impor"/>
      <sheetName val="Beg Inv. Cattle "/>
      <sheetName val="Revenue-Local"/>
      <sheetName val="Revenue-Impor"/>
      <sheetName val="COGS-Local"/>
      <sheetName val="COGS-impor"/>
      <sheetName val="P&amp;L BSheet CFlow"/>
      <sheetName val="Average Feed Cost"/>
      <sheetName val="Chart data"/>
      <sheetName val="Notes to Accounts"/>
      <sheetName val="P&amp;L Schedule"/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___"/>
      <sheetName val="__"/>
      <sheetName val="Bank movement 01"/>
      <sheetName val="E85"/>
      <sheetName val="E85-1"/>
      <sheetName val="E85-2"/>
      <sheetName val="E90"/>
      <sheetName val="E140-1"/>
      <sheetName val="E140-2"/>
      <sheetName val="Late client adj"/>
      <sheetName val="Audit Adj"/>
      <sheetName val="D2-1"/>
      <sheetName val="D5-PL"/>
      <sheetName val="D5-BS"/>
      <sheetName val="E15-3"/>
      <sheetName val="E35-1"/>
      <sheetName val="E35-2 "/>
      <sheetName val="E35-2-1"/>
      <sheetName val="E35-4"/>
      <sheetName val="E35-4a"/>
      <sheetName val="E35-5"/>
      <sheetName val="E45-1"/>
      <sheetName val="E45-1-1"/>
      <sheetName val="E45-2"/>
      <sheetName val="E45-3"/>
      <sheetName val="E55 "/>
      <sheetName val="E70"/>
      <sheetName val="E70-1"/>
      <sheetName val="E85-1-1a"/>
      <sheetName val="E85-1-1"/>
      <sheetName val="E85-3"/>
      <sheetName val="E85-3-1"/>
      <sheetName val="E85-7"/>
      <sheetName val="E90-1"/>
      <sheetName val="E90-2"/>
      <sheetName val="E100-1"/>
      <sheetName val="E100-2"/>
      <sheetName val="E100-3"/>
      <sheetName val="E105 "/>
      <sheetName val="E115"/>
      <sheetName val="E130"/>
      <sheetName val="E130-1"/>
      <sheetName val="E130-1-1"/>
      <sheetName val="E130-1-2"/>
      <sheetName val="E130-1-3"/>
      <sheetName val="E130-4"/>
      <sheetName val="E130-4-1"/>
      <sheetName val="E140"/>
      <sheetName val="E140-3"/>
      <sheetName val="E140-200"/>
      <sheetName val="E140-201"/>
      <sheetName val="E150-1"/>
      <sheetName val="E150-1a"/>
      <sheetName val="E150-2"/>
      <sheetName val="E150-2a"/>
      <sheetName val="E150-3"/>
      <sheetName val="E150-4"/>
      <sheetName val="E150-5"/>
      <sheetName val="E150-6"/>
      <sheetName val="E150-7"/>
      <sheetName val="E150-100"/>
      <sheetName val="E150-101"/>
      <sheetName val="A1 400"/>
      <sheetName val="A3 300"/>
      <sheetName val="A3 400"/>
      <sheetName val="A5 110-01"/>
      <sheetName val="A9"/>
      <sheetName val="xxETB"/>
      <sheetName val="xxA5 110"/>
      <sheetName val="xxA5 310"/>
      <sheetName val="xxA5"/>
      <sheetName val="xxA8"/>
      <sheetName val="D5-P&amp;L"/>
      <sheetName val="Z1"/>
      <sheetName val="E55"/>
      <sheetName val="E70_1"/>
      <sheetName val="E90_1"/>
      <sheetName val="E90_2"/>
      <sheetName val="E105"/>
      <sheetName val="E105_1"/>
      <sheetName val="应收帐款2"/>
      <sheetName val="帐龄分析30"/>
      <sheetName val="帐龄分析60"/>
      <sheetName val="帐龄分析90"/>
      <sheetName val="帐龄分析&gt;90"/>
      <sheetName val="汇总"/>
      <sheetName val="Z-1"/>
      <sheetName val="8.3-1"/>
      <sheetName val="Z-2 "/>
      <sheetName val="8.3-2"/>
      <sheetName val="应付账款"/>
      <sheetName val="其他"/>
      <sheetName val="备注"/>
      <sheetName val="Note 16"/>
      <sheetName val="LJE"/>
      <sheetName val="reconciled TB"/>
      <sheetName val="BS SUMMARY"/>
      <sheetName val="summary sheet-finance lease,HP"/>
      <sheetName val="audit programe-finance lease,HP"/>
      <sheetName val="finance lease,HP"/>
      <sheetName val="finance lease,HP pg2"/>
      <sheetName val="Schedule 9"/>
      <sheetName val="Lead schedules recap"/>
      <sheetName val="Notes to analytical review"/>
      <sheetName val="FS and Ratio Analysis"/>
      <sheetName val="CF worksheet 07"/>
      <sheetName val="CF 07"/>
      <sheetName val="Rev&amp;COGS"/>
      <sheetName val="Administrative exp"/>
      <sheetName val="Other op exp"/>
      <sheetName val="Selling exp"/>
      <sheetName val="Finance cost"/>
      <sheetName val="Stat Income"/>
      <sheetName val="HP"/>
      <sheetName val="HP CA"/>
      <sheetName val="Disposal FA"/>
      <sheetName val="Muka 1"/>
      <sheetName val="Muka 2"/>
      <sheetName val="Muka 3"/>
      <sheetName val="Muka 4"/>
      <sheetName val="Muka 5"/>
      <sheetName val="Muka 6"/>
      <sheetName val="Muka 7"/>
      <sheetName val="Muka 8"/>
      <sheetName val="Muka 9"/>
      <sheetName val="Muka 10"/>
      <sheetName val="Slip "/>
      <sheetName val="ListBox"/>
      <sheetName val="Kod Negara "/>
      <sheetName val="Perniagaan"/>
      <sheetName val="Tuntutan"/>
      <sheetName val="Payment"/>
      <sheetName val="S108"/>
      <sheetName val="R 1"/>
      <sheetName val="R 2"/>
      <sheetName val="R 3"/>
      <sheetName val="PC1"/>
      <sheetName val="Rent1"/>
      <sheetName val="Rent2"/>
      <sheetName val="Dir1"/>
      <sheetName val="Dir2"/>
      <sheetName val="SHR1"/>
      <sheetName val="SHR2"/>
      <sheetName val="HK-F1"/>
      <sheetName val="HK-O"/>
      <sheetName val="HK-P"/>
      <sheetName val="HK-PC1"/>
      <sheetName val="LA1"/>
      <sheetName val="Pekerja"/>
      <sheetName val="2D BarCode"/>
      <sheetName val="Kod Negara"/>
      <sheetName val="Ai"/>
      <sheetName val="Aop1"/>
      <sheetName val="Bi"/>
      <sheetName val="B3.1"/>
      <sheetName val="B3.2"/>
      <sheetName val="B9"/>
      <sheetName val="Ci"/>
      <sheetName val="C5.1op"/>
      <sheetName val="C6.3"/>
      <sheetName val="C6.4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Ei"/>
      <sheetName val="Es"/>
      <sheetName val="Fssb"/>
      <sheetName val="Gi"/>
      <sheetName val="Hi"/>
      <sheetName val="Issb"/>
      <sheetName val="Iop01"/>
      <sheetName val="Iop02"/>
      <sheetName val="Ji"/>
      <sheetName val="Jop01"/>
      <sheetName val="Jop02"/>
      <sheetName val="Jssb"/>
      <sheetName val="Li"/>
      <sheetName val="Lop01"/>
      <sheetName val="Lop02"/>
      <sheetName val="Lssb"/>
      <sheetName val="Ni"/>
      <sheetName val="Oi"/>
      <sheetName val="Qi"/>
      <sheetName val="Ri"/>
      <sheetName val="Rs"/>
      <sheetName val="Rop01"/>
      <sheetName val="Rop02"/>
      <sheetName val="Si"/>
      <sheetName val="Ti"/>
      <sheetName val="Ui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summary sheet-trade payables"/>
      <sheetName val="audit programe-trade payables"/>
      <sheetName val="summary of trade payables' circ"/>
      <sheetName val="trade receivable circularisatio"/>
      <sheetName val="sample selection planning-balan"/>
      <sheetName val="Payable-omission test"/>
      <sheetName val="trade creditor circularisation"/>
      <sheetName val="Final note"/>
      <sheetName val="Final note 1"/>
      <sheetName val="Final note 2"/>
      <sheetName val="III-1"/>
      <sheetName val="III-2"/>
      <sheetName val="III-3"/>
      <sheetName val="III-4"/>
      <sheetName val="VII1"/>
      <sheetName val="VII5"/>
      <sheetName val="IX"/>
      <sheetName val="J2-1"/>
      <sheetName val="J3-1"/>
      <sheetName val="N4-1"/>
      <sheetName val="N5-1"/>
      <sheetName val="N7"/>
      <sheetName val="N104-1"/>
      <sheetName val="O2-1"/>
      <sheetName val="P3-1"/>
      <sheetName val="X1.1"/>
      <sheetName val="X1.2"/>
      <sheetName val="X1.3"/>
      <sheetName val="X1.4"/>
      <sheetName val="X2.1"/>
      <sheetName val="X2.2"/>
      <sheetName val="X2.3"/>
      <sheetName val="X2.4"/>
      <sheetName val="Y1"/>
      <sheetName val="ss.1"/>
      <sheetName val="ss.2"/>
      <sheetName val="ss.3"/>
      <sheetName val="ss.4"/>
      <sheetName val="G2.1"/>
      <sheetName val="O1.1"/>
      <sheetName val="Adj "/>
      <sheetName val="W5"/>
      <sheetName val="Ys"/>
      <sheetName val="sumfl"/>
      <sheetName val="defer int"/>
      <sheetName val="RP758"/>
      <sheetName val="960325B"/>
      <sheetName val="960418A"/>
      <sheetName val="hpfr0033"/>
      <sheetName val="HPFR0038"/>
      <sheetName val="HPFR000040"/>
      <sheetName val="camry-SCU9563L"/>
      <sheetName val="camry-SCV2134H"/>
      <sheetName val="merc-SCV2380M"/>
      <sheetName val="camry-SCV8164G"/>
      <sheetName val="camry-SCX7093Z"/>
      <sheetName val="camry-SCX9164P"/>
      <sheetName val="merc-SCY9198L"/>
      <sheetName val="camry-SDA9981G"/>
      <sheetName val="camry-SDB4823H"/>
      <sheetName val="ALU and EC"/>
      <sheetName val="Topsheet"/>
      <sheetName val="ROSM"/>
      <sheetName val="Impact"/>
      <sheetName val="Type controls"/>
      <sheetName val="Processes"/>
      <sheetName val="Subproc"/>
      <sheetName val="BC"/>
      <sheetName val="Audit obj"/>
      <sheetName val="FS Captions"/>
      <sheetName val="Inter - BS"/>
      <sheetName val="Inter -PL"/>
      <sheetName val="DWT Group BS"/>
      <sheetName val="DWT Group PL"/>
      <sheetName val="Malaysia Group BS"/>
      <sheetName val="Malaysia Group PL"/>
      <sheetName val="DNV Group BS"/>
      <sheetName val="DNV Group PL2"/>
      <sheetName val="Consol Journal DWT BS"/>
      <sheetName val="Consol Journals DNV"/>
      <sheetName val="Late Adjustment"/>
      <sheetName val="WS(1)-(2j)"/>
      <sheetName val="WS(3a)- (5d)"/>
      <sheetName val="Co SUMM"/>
      <sheetName val="Co Summ2"/>
      <sheetName val="Cost of sale"/>
      <sheetName val="Selling &amp; Dist"/>
      <sheetName val="SUMM PL"/>
      <sheetName val="SUMM BS"/>
      <sheetName val="CF Work"/>
      <sheetName val="SEGP"/>
      <sheetName val="SEGL"/>
      <sheetName val="NEW FORMAT"/>
      <sheetName val="Bank Facilities"/>
      <sheetName val="ACC Liab"/>
      <sheetName val="CWIP"/>
      <sheetName val="DWT Consol BS"/>
      <sheetName val="DWT Cons Jnls04"/>
      <sheetName val="DWT Consol PL"/>
      <sheetName val="DEPL Group BS"/>
      <sheetName val="DEPL Cos Jnls04"/>
      <sheetName val="DEPL Group PL"/>
      <sheetName val="DNV Cons Jnls04"/>
      <sheetName val="DNV Group PL"/>
      <sheetName val="M'sia Cons Jnls04"/>
      <sheetName val="PV Vacuum BS"/>
      <sheetName val="PV Consol Jnl04"/>
      <sheetName val="PV Vacuum PL"/>
      <sheetName val="Interco-PL"/>
      <sheetName val="Late Adjustments"/>
      <sheetName val="Interco-BS"/>
      <sheetName val="DWT Cons Jnls03"/>
      <sheetName val="DWT Cons Jnls02"/>
      <sheetName val="DEPL Cos Jnls03"/>
      <sheetName val="DEPL Cos Jnls02"/>
      <sheetName val="DNV Cons Jnls03"/>
      <sheetName val="DNV Con Jnls02"/>
      <sheetName val="M'sia Cons Jnls03"/>
      <sheetName val="M'sia Cons Jnl02"/>
      <sheetName val="PV Consol Jnls1"/>
      <sheetName val="Reclassified(PC)"/>
      <sheetName val="Con_CF"/>
      <sheetName val="CF working"/>
      <sheetName val="DWT BS"/>
      <sheetName val="DWT PL"/>
      <sheetName val="DEPL BS"/>
      <sheetName val="DEPL PL"/>
      <sheetName val="DNV Gr BS"/>
      <sheetName val="DNV Gr PL"/>
      <sheetName val="Tw Gr BS"/>
      <sheetName val="TW Gr PL"/>
      <sheetName val="DWT&amp;DEPL Jnls04"/>
      <sheetName val="DNV Jnls04"/>
      <sheetName val="Msia Gr BS"/>
      <sheetName val="Msia Gr PL"/>
      <sheetName val="PV Vac BS"/>
      <sheetName val="PV Vac PL"/>
      <sheetName val="DET Cons Jnl04"/>
      <sheetName val="Sgt activ"/>
      <sheetName val="SEGL(pc)"/>
      <sheetName val="WIP (Group04)"/>
      <sheetName val="Validations"/>
      <sheetName val="Hyp"/>
      <sheetName val="Inco"/>
      <sheetName val="Half Yearly"/>
      <sheetName val="Yearly"/>
      <sheetName val="SuppData"/>
      <sheetName val="Tax - Aust &amp; US only"/>
      <sheetName val="PISE"/>
      <sheetName val="Open Bal"/>
      <sheetName val="U-receipt"/>
      <sheetName val="U-exp test"/>
      <sheetName val="300"/>
      <sheetName val="300.10"/>
      <sheetName val="300.11"/>
      <sheetName val="300.12"/>
      <sheetName val="300.20"/>
      <sheetName val="300.21"/>
      <sheetName val="300.24"/>
      <sheetName val="300.25"/>
      <sheetName val="300.25A"/>
      <sheetName val="300.26"/>
      <sheetName val="300.27"/>
      <sheetName val="300.28.10"/>
      <sheetName val="300.28.20"/>
      <sheetName val="300.29"/>
      <sheetName val="300.31"/>
      <sheetName val="300.34"/>
      <sheetName val="300.35"/>
      <sheetName val="300.36"/>
      <sheetName val="300.37"/>
      <sheetName val="300.41"/>
      <sheetName val="300.43"/>
      <sheetName val="300.52"/>
      <sheetName val="300.53"/>
      <sheetName val="300.61"/>
      <sheetName val="300.61A"/>
      <sheetName val="300.61.1"/>
      <sheetName val="300.62"/>
      <sheetName val="300.63"/>
      <sheetName val="300.72"/>
      <sheetName val="300.73"/>
      <sheetName val="300.81"/>
      <sheetName val="300.83"/>
      <sheetName val="300.90"/>
      <sheetName val="300.91"/>
      <sheetName val="300.92"/>
      <sheetName val="300.93"/>
      <sheetName val="300.94"/>
      <sheetName val="300.94A"/>
      <sheetName val="300.94.10"/>
      <sheetName val="300.94.20"/>
      <sheetName val="300.95"/>
      <sheetName val="300.95A"/>
      <sheetName val="300.96.10A"/>
      <sheetName val="300.96.10"/>
      <sheetName val="300.101"/>
      <sheetName val="300.102"/>
      <sheetName val="300.103"/>
      <sheetName val="300.103.10"/>
      <sheetName val="300.104"/>
      <sheetName val="300.106"/>
      <sheetName val="300.106.10"/>
      <sheetName val="300.107"/>
      <sheetName val="310"/>
      <sheetName val="310.10"/>
      <sheetName val="310.20"/>
      <sheetName val="310.21"/>
      <sheetName val="310.22"/>
      <sheetName val="310.30"/>
      <sheetName val="310.41"/>
      <sheetName val="310.50"/>
      <sheetName val="430.20"/>
      <sheetName val="430.20.1"/>
      <sheetName val="430.20.2"/>
      <sheetName val="430.20.3"/>
      <sheetName val="430.21.10"/>
      <sheetName val="430.22"/>
      <sheetName val="430.40"/>
      <sheetName val="430.50"/>
      <sheetName val="430.51"/>
      <sheetName val="430.61"/>
      <sheetName val="430.62"/>
      <sheetName val="430.63"/>
      <sheetName val="430.90.1"/>
      <sheetName val="430.10"/>
      <sheetName val="230.20"/>
      <sheetName val="200.40.71"/>
      <sheetName val="300.51"/>
      <sheetName val="300.51.1"/>
      <sheetName val="300.61.1.1"/>
      <sheetName val="300.62 "/>
      <sheetName val="300.63 "/>
      <sheetName val="300.71"/>
      <sheetName val="300.71.1"/>
      <sheetName val="300.70.1.1"/>
      <sheetName val="300.93.1"/>
      <sheetName val="300.94.2"/>
      <sheetName val="300.101.10"/>
      <sheetName val="400.10"/>
      <sheetName val="400.20"/>
      <sheetName val="400.30"/>
      <sheetName val="400.40"/>
      <sheetName val="400.50"/>
      <sheetName val="410.10"/>
      <sheetName val="410.20"/>
      <sheetName val="410.21"/>
      <sheetName val="410.30"/>
      <sheetName val="410.40"/>
      <sheetName val="410.41"/>
      <sheetName val="410.42"/>
      <sheetName val="420.10"/>
      <sheetName val="420.20"/>
      <sheetName val="420.21"/>
      <sheetName val="420.22"/>
      <sheetName val="420.30"/>
      <sheetName val="420.31"/>
      <sheetName val="430.21"/>
      <sheetName val="430.30"/>
      <sheetName val="430.60"/>
      <sheetName val="440.10"/>
      <sheetName val="440.20"/>
      <sheetName val="440.30"/>
      <sheetName val="450"/>
      <sheetName val="450.10"/>
      <sheetName val="450.20"/>
      <sheetName val="450.30"/>
      <sheetName val="450.40"/>
      <sheetName val="450.50"/>
      <sheetName val="460"/>
      <sheetName val="460.10"/>
      <sheetName val="460.20"/>
      <sheetName val="470"/>
      <sheetName val="470.10"/>
      <sheetName val="470.20"/>
      <sheetName val="470.20 pg2"/>
      <sheetName val="470.30"/>
      <sheetName val="470.40"/>
      <sheetName val="470.50"/>
      <sheetName val="470.60"/>
      <sheetName val="470.70"/>
      <sheetName val="470.80"/>
      <sheetName val="480"/>
      <sheetName val="480.10"/>
      <sheetName val="480.20"/>
      <sheetName val="500"/>
      <sheetName val="500.10"/>
      <sheetName val="500.20"/>
      <sheetName val="500.20.1"/>
      <sheetName val="500.20.10"/>
      <sheetName val="500.21"/>
      <sheetName val="500.22"/>
      <sheetName val="500.30"/>
      <sheetName val="500.31"/>
      <sheetName val="500.40"/>
      <sheetName val="500.41"/>
      <sheetName val="500.41.1"/>
      <sheetName val="500.42"/>
      <sheetName val="500.50"/>
      <sheetName val="500.51"/>
      <sheetName val="500.60"/>
      <sheetName val="510.10"/>
      <sheetName val="510.20"/>
      <sheetName val="510.21"/>
      <sheetName val="510.30"/>
      <sheetName val="510.31"/>
      <sheetName val="510.40.1"/>
      <sheetName val="510.40.2"/>
      <sheetName val="510.40.3"/>
      <sheetName val="510.50"/>
      <sheetName val="520"/>
      <sheetName val="520.10"/>
      <sheetName val="520.20"/>
      <sheetName val="520.30"/>
      <sheetName val="520.31"/>
      <sheetName val="520.40"/>
      <sheetName val="520.40(outdated)"/>
      <sheetName val="520.41"/>
      <sheetName val="530"/>
      <sheetName val="530.10"/>
      <sheetName val="530.20"/>
      <sheetName val="530.30"/>
      <sheetName val="530.31"/>
      <sheetName val="530.40"/>
      <sheetName val="530.40 (outdated)"/>
      <sheetName val="540"/>
      <sheetName val="540.10"/>
      <sheetName val="540.20"/>
      <sheetName val="540.30"/>
      <sheetName val="540.30pg2"/>
      <sheetName val="540.31"/>
      <sheetName val="540.40"/>
      <sheetName val="600"/>
      <sheetName val="600.10"/>
      <sheetName val="600.20"/>
      <sheetName val="600.30"/>
      <sheetName val="600.40"/>
      <sheetName val="600.50"/>
      <sheetName val="600.60"/>
      <sheetName val="600.70"/>
      <sheetName val="700.20"/>
      <sheetName val="700.40.2"/>
      <sheetName val="700.50"/>
      <sheetName val="700.51"/>
      <sheetName val="700.60.10"/>
      <sheetName val="700.60.20"/>
      <sheetName val="C30"/>
      <sheetName val="C40"/>
      <sheetName val="C40.10"/>
      <sheetName val="C40.20"/>
      <sheetName val="C40.30"/>
      <sheetName val="C40.40"/>
      <sheetName val="C50"/>
      <sheetName val="500.21A"/>
      <sheetName val="180"/>
      <sheetName val="210.10"/>
      <sheetName val="210.20"/>
      <sheetName val="280.10"/>
      <sheetName val="280.20"/>
      <sheetName val="280.30"/>
      <sheetName val="300.28"/>
      <sheetName val="11.Ci"/>
      <sheetName val="11.C1"/>
      <sheetName val="11.C1.1"/>
      <sheetName val="11.C2"/>
      <sheetName val="11.C3"/>
      <sheetName val="11.C4"/>
      <sheetName val="11.C5"/>
      <sheetName val="11.C5.1"/>
      <sheetName val="11.C5.1op"/>
      <sheetName val="11.C6"/>
      <sheetName val="11.C6.1"/>
      <sheetName val="11.C6.2"/>
      <sheetName val="11.C6.3"/>
      <sheetName val="11.C6.4"/>
      <sheetName val="11.C7"/>
      <sheetName val="11.C8"/>
      <sheetName val="11.C9.1"/>
      <sheetName val="11.C9.2"/>
      <sheetName val="11.C9.3"/>
      <sheetName val="11.C9.4"/>
      <sheetName val="11.C9.5"/>
      <sheetName val="11.Cop01"/>
      <sheetName val="11.Cop02"/>
      <sheetName val="11.Cop03"/>
      <sheetName val="11.Cop04"/>
      <sheetName val="11.Cop05"/>
      <sheetName val="11.Cop06"/>
      <sheetName val="11.Cop07"/>
      <sheetName val="11.Cop08"/>
      <sheetName val="Sampling PPE"/>
      <sheetName val="Sampling Inventories"/>
      <sheetName val="Sampling Receivables"/>
      <sheetName val="Samples size_receivables"/>
      <sheetName val="Sampling Payables"/>
      <sheetName val="Samples size_payables"/>
      <sheetName val="Sampling P&amp;L_revenue"/>
      <sheetName val="Sampling P&amp;L_purchase"/>
      <sheetName val="Sampling P&amp;L_opex"/>
      <sheetName val="Samples size_opex"/>
      <sheetName val="Sampling P&amp;L_payroll"/>
      <sheetName val="Samples size_payroll"/>
      <sheetName val="Profit and Loss 2007"/>
      <sheetName val="300.21 &gt;1 category revenue"/>
      <sheetName val="310.40"/>
      <sheetName val="450.20A"/>
      <sheetName val="450.60"/>
      <sheetName val="450.70"/>
      <sheetName val="470.21"/>
      <sheetName val="470.41"/>
      <sheetName val="470.41.10"/>
      <sheetName val="470.61"/>
      <sheetName val="470.90"/>
      <sheetName val="470.91"/>
      <sheetName val="470.91.10"/>
      <sheetName val="470.91A"/>
      <sheetName val="490.10"/>
      <sheetName val="220.10"/>
      <sheetName val="240.20"/>
      <sheetName val="600.20A"/>
      <sheetName val="300.PL Summary"/>
      <sheetName val="300.PL Audit Prog"/>
      <sheetName val="300.TOD-revenue"/>
      <sheetName val="300.TOD - Rev"/>
      <sheetName val="300.DO Sequ test"/>
      <sheetName val="300.TOD Pur"/>
      <sheetName val="300.Cut off Rev"/>
      <sheetName val="300.Cut off Pur"/>
      <sheetName val="300.TOD Exp"/>
      <sheetName val="300.TOD payroll"/>
      <sheetName val="payroll completeness testing"/>
      <sheetName val="300.Reb-Interest"/>
      <sheetName val="400. C&amp;B summary"/>
      <sheetName val="400. Audit Prog"/>
      <sheetName val="400.FD"/>
      <sheetName val="400. Circula"/>
      <sheetName val="410.AR Summary"/>
      <sheetName val="410.AR Audit Prog"/>
      <sheetName val="410.AR Circul"/>
      <sheetName val="410.AR-Recoverability"/>
      <sheetName val="420. OA Summary"/>
      <sheetName val="420. Audit Prog"/>
      <sheetName val="430.Inv Summary"/>
      <sheetName val="430. Audit Prog"/>
      <sheetName val="430. Inv Valuation"/>
      <sheetName val="440.Cons Contract"/>
      <sheetName val="440. Audit Prog"/>
      <sheetName val="440.WIP_Tailored AP"/>
      <sheetName val="440.WIP _disclosure"/>
      <sheetName val="450.Inv in Subsi"/>
      <sheetName val="450.Aud Prog"/>
      <sheetName val="470.PPE"/>
      <sheetName val="470.Audit Prog"/>
      <sheetName val="470. FA Existence"/>
      <sheetName val="470. FA Additional"/>
      <sheetName val="470. FA Disposal"/>
      <sheetName val="470.FA Capitl Commit"/>
      <sheetName val="500.AP Summary"/>
      <sheetName val="500. Audit Prog"/>
      <sheetName val="500. Circular"/>
      <sheetName val="500. Ommission"/>
      <sheetName val="510.OP Summary"/>
      <sheetName val="510.OP Audit Prog"/>
      <sheetName val="540.Tax"/>
      <sheetName val="540.Audit Prog"/>
      <sheetName val="600.Equity Summary"/>
      <sheetName val="600.Audit Prog"/>
      <sheetName val="SumPPE"/>
      <sheetName val="Sampling selection"/>
      <sheetName val="PPE-movements pg1"/>
      <sheetName val="FA_demoWP"/>
      <sheetName val="FA_WP"/>
      <sheetName val="PPE-sighting"/>
      <sheetName val="sighted"/>
      <sheetName val="FA_other test"/>
      <sheetName val="sighted (2)"/>
      <sheetName val="FA-Cap"/>
      <sheetName val="FA-disposal"/>
      <sheetName val="policy"/>
      <sheetName val="220.48"/>
      <sheetName val="220.49.10"/>
      <sheetName val="220.49.11"/>
      <sheetName val="220.49.12"/>
      <sheetName val="Completeness Test"/>
      <sheetName val="Sales - finals"/>
      <sheetName val="Paragon Sales"/>
      <sheetName val="Isetan Sales"/>
      <sheetName val="Takashimaya Sales"/>
      <sheetName val="Capital Sales"/>
      <sheetName val="Other sales"/>
      <sheetName val="Discount Testing - Paragon"/>
      <sheetName val="Discount Testing - TAKA"/>
      <sheetName val="Discount Testing - NAC"/>
      <sheetName val="Discount Testing - Isetan"/>
      <sheetName val="Tickmarks not in use"/>
      <sheetName val="Completeness"/>
      <sheetName val="TODs"/>
      <sheetName val="PP&amp;E-movement in the period PG2"/>
      <sheetName val="TB 2007"/>
      <sheetName val="OJE"/>
      <sheetName val="RJEs"/>
      <sheetName val="480.10+"/>
      <sheetName val="LJEs"/>
      <sheetName val="230.10"/>
      <sheetName val="300.20+"/>
      <sheetName val="300.33++"/>
      <sheetName val="300.30+"/>
      <sheetName val="430.15"/>
      <sheetName val="470.15 Roll"/>
      <sheetName val="600.20+"/>
      <sheetName val="Checklist"/>
      <sheetName val="TAX001"/>
      <sheetName val="430.20.1 FY09"/>
      <sheetName val="430.50.1"/>
      <sheetName val="430.50.1.1"/>
      <sheetName val="430.50.1.2"/>
      <sheetName val="430.50.1.3"/>
      <sheetName val="430.50.1.4"/>
      <sheetName val="430.50.2"/>
      <sheetName val="430.81"/>
      <sheetName val="revenue_test"/>
      <sheetName val="40.6"/>
      <sheetName val="personnel cost"/>
      <sheetName val="expense summary"/>
      <sheetName val="40.1_PPE"/>
      <sheetName val="40.6a_rates"/>
      <sheetName val="売掛金明細"/>
      <sheetName val="CPF smapling"/>
      <sheetName val="300.25 contract"/>
      <sheetName val="sumamry sheet-other payables"/>
      <sheetName val="audit program-other payables"/>
      <sheetName val="other payables"/>
      <sheetName val="Accrual listing"/>
      <sheetName val="sample selection plan-balance s"/>
      <sheetName val="Alokasi Biaya Awal=Audit"/>
      <sheetName val="Ekualisasi Biaya&gt;Combain"/>
      <sheetName val="Susust"/>
      <sheetName val="Ws Jul_2004"/>
      <sheetName val="B_1"/>
      <sheetName val="print std"/>
      <sheetName val="Income-gab"/>
      <sheetName val="Proy Prod LME"/>
      <sheetName val="Proy Prod PGE"/>
      <sheetName val="Income LME"/>
      <sheetName val="Income PGE"/>
      <sheetName val="Sh 17"/>
      <sheetName val="Lap-Keu"/>
      <sheetName val="Value"/>
      <sheetName val="Pdpt"/>
      <sheetName val="Akt-05"/>
      <sheetName val="RekapProd"/>
      <sheetName val="Biaya Cad"/>
      <sheetName val="Bbn-Ush"/>
      <sheetName val="Rc GDLP"/>
      <sheetName val="Standar-2b"/>
      <sheetName val="Standar-2a"/>
      <sheetName val="EXF PK OLAH"/>
      <sheetName val="EXF PK RM"/>
      <sheetName val="Data 1"/>
      <sheetName val="Data 2"/>
      <sheetName val="DATA SM"/>
      <sheetName val="DPem1"/>
      <sheetName val="HitTn1"/>
      <sheetName val="DBg1"/>
      <sheetName val="HitBg1"/>
      <sheetName val="Foto"/>
      <sheetName val="Peta Lokasi"/>
      <sheetName val="WP"/>
      <sheetName val="TBP"/>
      <sheetName val="Huruf-TBP"/>
      <sheetName val="Huruf-INV"/>
      <sheetName val="TBP-GKG"/>
      <sheetName val="Huruf-GKG"/>
      <sheetName val="fax"/>
      <sheetName val="Analisa Tanah"/>
      <sheetName val="Analisa Bangunan"/>
      <sheetName val="Spesifikasi Bangunan"/>
      <sheetName val="PETA SITUASI"/>
      <sheetName val="GAMBAR TANAH"/>
      <sheetName val="DENAH BANGUNAN"/>
      <sheetName val="Format standarisasi"/>
      <sheetName val="data3"/>
      <sheetName val="Bangunan2"/>
      <sheetName val="Data ISIAN"/>
      <sheetName val="Hal-1"/>
      <sheetName val="Hal-2"/>
      <sheetName val="Hal-3"/>
      <sheetName val="Hal-4"/>
      <sheetName val="Checklist PA 1"/>
      <sheetName val="Checklist PA 2"/>
      <sheetName val="Foto-1"/>
      <sheetName val="Foto-2"/>
      <sheetName val="Foto-3"/>
      <sheetName val="Gambar"/>
      <sheetName val="tata kota"/>
      <sheetName val="taksasi"/>
      <sheetName val="Foto-4"/>
      <sheetName val="sketsa data"/>
      <sheetName val="Angka"/>
      <sheetName val="Isian"/>
      <sheetName val="An. Tnh"/>
      <sheetName val="An. Bgn"/>
      <sheetName val="Pengantar"/>
      <sheetName val="Data Aset"/>
      <sheetName val="Data Bangunan"/>
      <sheetName val="Pembanding"/>
      <sheetName val="Foto Aset"/>
      <sheetName val="Standarisasi"/>
      <sheetName val="ue"/>
      <sheetName val="Past_LK"/>
      <sheetName val="Tivi 7-(02022002)+Studio+Invent"/>
      <sheetName val="REKAP STANDAR"/>
      <sheetName val="REKAP  NON STANDAR "/>
      <sheetName val="An. Alm"/>
      <sheetName val="An_ Beton"/>
      <sheetName val="Std-Prod KS"/>
      <sheetName val="Prod- Kandis"/>
      <sheetName val="CM HGU"/>
      <sheetName val="HS - Sumber Sawit"/>
      <sheetName val="Real Prod"/>
      <sheetName val="Real Ppk"/>
      <sheetName val="IDC IV"/>
      <sheetName val="PJP IV"/>
      <sheetName val="IDC III"/>
      <sheetName val="PJP III"/>
      <sheetName val="IDC II"/>
      <sheetName val="PJP II"/>
      <sheetName val="IDC I"/>
      <sheetName val="PJP I"/>
      <sheetName val="ptrial"/>
      <sheetName val="LCC"/>
      <sheetName val="TBM recov s"/>
      <sheetName val="TBM recov ks"/>
      <sheetName val="TBM recov HPT"/>
      <sheetName val="TM recov HPT"/>
      <sheetName val="TM recov ks"/>
      <sheetName val="TM recov s"/>
      <sheetName val="cost recovery"/>
      <sheetName val="LPJ"/>
      <sheetName val="Sum PK"/>
      <sheetName val="Lap.Pen. 1"/>
      <sheetName val="Pen.Tan. 2"/>
      <sheetName val="Pen.Bang. 3"/>
      <sheetName val="Data Psr. 4"/>
      <sheetName val="Bangunan Fisik"/>
      <sheetName val="Foto 5"/>
      <sheetName val="Bangunan IMB"/>
      <sheetName val="Analisis bangunan"/>
      <sheetName val="Foto 5-Alt"/>
      <sheetName val="Foto 5-Alt (2)"/>
      <sheetName val="Foto 5-Alt (3)"/>
      <sheetName val="Foto 5-Alt (4)"/>
      <sheetName val="DENAH"/>
      <sheetName val="N Tnh"/>
      <sheetName val="N Bgn"/>
      <sheetName val="Foto1"/>
      <sheetName val="Foto2"/>
      <sheetName val="dt tnh"/>
      <sheetName val="dt bgn"/>
      <sheetName val="FORM SURVEY"/>
      <sheetName val="ACTIVITY - SAWIT"/>
      <sheetName val="PN OKE"/>
      <sheetName val="MN OKE"/>
      <sheetName val="LC MEKANIS OKE"/>
      <sheetName val="INV PK BANGUNAN OKE"/>
      <sheetName val="INV PO OKE"/>
      <sheetName val="INV INFRAS OKE"/>
      <sheetName val="TBM-0 OKE"/>
      <sheetName val="TBM-0 REHAP"/>
      <sheetName val="TBM-1 REHAP"/>
      <sheetName val="RAB 2008"/>
      <sheetName val="Lembar Isian"/>
      <sheetName val="Harga Aprit"/>
      <sheetName val="1 Rekap Pemupukan"/>
      <sheetName val="3.NORMA_HK"/>
      <sheetName val="2 Rekom comp 2008   "/>
      <sheetName val="UMP.AFD.AA"/>
      <sheetName val="UMP.AFD.BB"/>
      <sheetName val="UMP.AFD.CC"/>
      <sheetName val="UMP.Bibitan"/>
      <sheetName val="kns"/>
      <sheetName val="RAB PLASMA2 THN2008"/>
      <sheetName val="RAB 06-10 (2567,84 Ha)"/>
      <sheetName val="RAB 06-10 (2400 Ha)"/>
      <sheetName val="Pengukuran (KNS)"/>
      <sheetName val="Pengukuran (KT)"/>
      <sheetName val="Pengukuran (PO)"/>
      <sheetName val="01_Drainase"/>
      <sheetName val="02_Jembatan.P"/>
      <sheetName val="03_Jembatan.Box"/>
      <sheetName val="04_Sumur"/>
      <sheetName val="05_Gorong2"/>
      <sheetName val="06_Rumah.G6"/>
      <sheetName val="07_Mobil Kontrak"/>
      <sheetName val="01_Penyiraman"/>
      <sheetName val="02_Penyiangan"/>
      <sheetName val="03_HPT"/>
      <sheetName val="04_Konsolidasi"/>
      <sheetName val="05_Seleksi bbt"/>
      <sheetName val="06_Keamanan"/>
      <sheetName val="07_Infrastruktur"/>
      <sheetName val="08_Pengawas"/>
      <sheetName val="01_Transpor Bibit"/>
      <sheetName val="02_Ecer Bibit"/>
      <sheetName val="03_Buat Jalan Pikul"/>
      <sheetName val="04_Konsolidasi Tanaman"/>
      <sheetName val="05_Menyisip Tanam"/>
      <sheetName val="06_Spot.Lalang"/>
      <sheetName val="07_Wiping Lalang"/>
      <sheetName val="08_Rawat Pring Manual"/>
      <sheetName val="09_Rawat Piringan Cemist"/>
      <sheetName val="10_Perawatan Jalan Pikul"/>
      <sheetName val="11_Semprot Rendahan"/>
      <sheetName val="12_Weding (DAK)"/>
      <sheetName val="13_Rawat Kacangan"/>
      <sheetName val="14_Deteksi HPT(EWS)"/>
      <sheetName val="15_Hama Penyakit"/>
      <sheetName val="16_Pemupukan N"/>
      <sheetName val="17_Pemupukan Borate"/>
      <sheetName val="18_Pemupukan Compound"/>
      <sheetName val="19_Sensus Pokok"/>
      <sheetName val="20_Tunasan,Pruning"/>
      <sheetName val="21_Kastrasi"/>
      <sheetName val="22_Rawat Tapak Timbun"/>
      <sheetName val="23_Rawat Teras(Tp.Kuda)"/>
      <sheetName val="24_Rawat Pagar"/>
      <sheetName val="24_Rawat Jalan"/>
      <sheetName val="24_Rawat Parit"/>
      <sheetName val="24_Mandor"/>
      <sheetName val="24_Mandor (KR)"/>
      <sheetName val="24_Kerani"/>
      <sheetName val="KebutuhanPKU"/>
      <sheetName val="Norma Harga"/>
      <sheetName val="Asumsi.(Kbn)"/>
      <sheetName val="Perbandiangan Norma"/>
      <sheetName val="RAWAT (Jkt)"/>
      <sheetName val="RAWAT(JBI)"/>
      <sheetName val="NormaTBM0"/>
      <sheetName val="CPT_TBM_NORMA (Jkt)"/>
      <sheetName val="CPT_TBM_NORMA (JBI)"/>
      <sheetName val="TBM1"/>
      <sheetName val="TBM2"/>
      <sheetName val="RAB 2008 PLASMA"/>
      <sheetName val="a.PK Umum"/>
      <sheetName val="b.Supervisi"/>
      <sheetName val="c.ATK"/>
      <sheetName val="d.Infra"/>
      <sheetName val="01_Konsolidasi Tanaman"/>
      <sheetName val="02_Transpor Bibit"/>
      <sheetName val="03_Ecer Bibit"/>
      <sheetName val="04_Menyisip Tanam"/>
      <sheetName val="05_Rawat Pagar"/>
      <sheetName val="06_Wiping Lalang"/>
      <sheetName val="07_Spot.Lalang"/>
      <sheetName val="10_Buat Jalan Pikul"/>
      <sheetName val="11_Weding Manual"/>
      <sheetName val="12_Semprot Rendahan"/>
      <sheetName val="16_Sensus Pokok"/>
      <sheetName val="17_Tunasan,Pruning"/>
      <sheetName val="18_Kastrasi"/>
      <sheetName val="19_Perawatan Jalan Pikul"/>
      <sheetName val="20_Rawat Jalan"/>
      <sheetName val="21_Rawat Parit"/>
      <sheetName val="22_Rawat Teras(Tp.Kuda)"/>
      <sheetName val="23_Rawat Tapak Timbun"/>
      <sheetName val="24_Pemupukan N"/>
      <sheetName val="25_Pemupukan Borate"/>
      <sheetName val="26_Pemupukan Compound"/>
      <sheetName val="27-Atk"/>
      <sheetName val="6.Asumsi"/>
      <sheetName val="1.HALAMAN DEPAN"/>
      <sheetName val="2.Rekapitulasi"/>
      <sheetName val="3.KALENDER 2008"/>
      <sheetName val="4.NORMA RAWAT"/>
      <sheetName val="5.HK RAWAT "/>
      <sheetName val="7.CPT TM"/>
      <sheetName val="8.CPT_TM_NORMA"/>
      <sheetName val="9. Circle Weeding Manual "/>
      <sheetName val="10._CPT Chemist"/>
      <sheetName val="11_Buat Rawat TPH Manual"/>
      <sheetName val="12_Weeding Gwg. Manual (DAK)"/>
      <sheetName val="13_Weeding Gwg Chemist"/>
      <sheetName val="14_Deteksi HPT"/>
      <sheetName val="15_Sensus Pokok"/>
      <sheetName val="16_Sensus Produksi"/>
      <sheetName val="17_Analisa Daun"/>
      <sheetName val="18_TANKOS"/>
      <sheetName val="19_Pruning"/>
      <sheetName val="20_Land Aplikasi"/>
      <sheetName val="21 Rawat Jalan"/>
      <sheetName val="1. Rapor Kebun"/>
      <sheetName val="2. Area Statement"/>
      <sheetName val="3.Peta Kebun Inti"/>
      <sheetName val="3a. Peta kebun Plasma1"/>
      <sheetName val="3b. Peta Kebun Plasma 2"/>
      <sheetName val="4. Produksi &amp; Potensi"/>
      <sheetName val="5. Tanam &amp; Sisip"/>
      <sheetName val="6. Peta SPH"/>
      <sheetName val="7. Peta Rawat Inti"/>
      <sheetName val="8. Nursery Sawit"/>
      <sheetName val="9. Progres Rawat TM"/>
      <sheetName val="10. Estate Cost"/>
      <sheetName val="11. Mill Cost"/>
      <sheetName val="12. Progres Tanaman TBM"/>
      <sheetName val="13. DevCost &amp; CTM"/>
      <sheetName val="14. Maintenance Cost Nursery"/>
      <sheetName val="15. Mill Performance"/>
      <sheetName val="16. Standar Kematangan TBS"/>
      <sheetName val="17. ZAO"/>
      <sheetName val="18. Peta Jalan"/>
      <sheetName val="19. Roda PDCA"/>
      <sheetName val="20. Compliance Report"/>
      <sheetName val="21. QCC-SS-QCP"/>
      <sheetName val="PNDKG"/>
      <sheetName val="LR-HD98"/>
      <sheetName val="PBLL"/>
      <sheetName val="RINBI-HD98"/>
      <sheetName val="NER-HD98-99"/>
      <sheetName val="JLSNER-HD98"/>
      <sheetName val="JLSNER-HD99_"/>
      <sheetName val="WEISS2"/>
      <sheetName val="L2 (2)"/>
      <sheetName val="G.O.T"/>
      <sheetName val="1170 "/>
      <sheetName val="TRANSFER PART"/>
      <sheetName val="POTO MAC"/>
      <sheetName val="12-06-ins"/>
      <sheetName val="ii.Ulasan"/>
      <sheetName val="1.Areal Statemen"/>
      <sheetName val="2.AS.Afd"/>
      <sheetName val="3.Peta Kebun"/>
      <sheetName val="04.STO"/>
      <sheetName val="05.Nama staf"/>
      <sheetName val="06. tk"/>
      <sheetName val="07.MUTASI"/>
      <sheetName val="08.MHKK"/>
      <sheetName val="09.HKE"/>
      <sheetName val="10.rumah"/>
      <sheetName val="11.inventaris"/>
      <sheetName val="12.kendaraan"/>
      <sheetName val="13.ch"/>
      <sheetName val="14.Prod"/>
      <sheetName val="15.outpu pt bh"/>
      <sheetName val="16 BY PROD"/>
      <sheetName val="17 UMUM "/>
      <sheetName val="18,REKAP panen"/>
      <sheetName val="19, by panen"/>
      <sheetName val="20,rekap tm"/>
      <sheetName val="21, tm PER TT"/>
      <sheetName val="22,rekap tbm"/>
      <sheetName val="23,rawat tbm"/>
      <sheetName val="24SPK-Pst"/>
      <sheetName val="25 SPK-lkl"/>
      <sheetName val="26 tb"/>
      <sheetName val="27.BBT STATE"/>
      <sheetName val="28.SELEKSI"/>
      <sheetName val="29.KIRIM BBT"/>
      <sheetName val="30 bY BBT"/>
      <sheetName val="31.PETA BBT"/>
      <sheetName val="32.PUPUKan"/>
      <sheetName val="32. stock BHN"/>
      <sheetName val="32. Distribusai ppk"/>
      <sheetName val="33.TRANSIT KEND"/>
      <sheetName val="34.TRANSIR AB"/>
      <sheetName val="35.TRANSIT MSN"/>
      <sheetName val="30.Peta KONDS AREAL"/>
      <sheetName val="Plantation Schedule"/>
      <sheetName val="Standard Yield"/>
      <sheetName val="Production FFB"/>
      <sheetName val="Capex Nucleus (TM &amp; TBM)"/>
      <sheetName val="FA Sheet"/>
      <sheetName val="FCF Valuation"/>
      <sheetName val="FCE Valuation"/>
      <sheetName val="WACC Sheet"/>
      <sheetName val="Comparable Firms"/>
      <sheetName val="Asumsi 2 Unit Bus "/>
      <sheetName val="Rekap BC"/>
      <sheetName val="Rend~CPO"/>
      <sheetName val="FFA"/>
      <sheetName val="Rend~Kernel"/>
      <sheetName val="PO  Olah"/>
      <sheetName val="PK  RM"/>
      <sheetName val="PO  RM"/>
      <sheetName val="% Lbr vs GP"/>
      <sheetName val="Land Aplikasi"/>
      <sheetName val="Smatr"/>
      <sheetName val="janue"/>
      <sheetName val="KONDISI PABRIK LKPMP"/>
      <sheetName val="OLAH VS OT"/>
      <sheetName val="OLAH VS OT (2)"/>
      <sheetName val="graflbr-gp"/>
      <sheetName val="GRAF TBS VS COST"/>
      <sheetName val="PL Des"/>
      <sheetName val="PL Nov"/>
      <sheetName val="PL Okt"/>
      <sheetName val="K.Mesin"/>
      <sheetName val="PICA"/>
      <sheetName val="AN PK"/>
      <sheetName val="LD Okt"/>
      <sheetName val="LD Nov"/>
      <sheetName val="LD Des"/>
      <sheetName val="GRAF SM"/>
      <sheetName val="Through"/>
      <sheetName val="CH Vs Er"/>
      <sheetName val="Qlt CPO"/>
      <sheetName val="Qlt KRN"/>
      <sheetName val="Br Dn"/>
      <sheetName val="ER Vs FFA"/>
      <sheetName val="Qlt Vs ER"/>
      <sheetName val="CPO Loss"/>
      <sheetName val="Proses Ctr"/>
      <sheetName val="Krn Loss"/>
      <sheetName val="NAMA"/>
      <sheetName val="REKAP ST M"/>
      <sheetName val="SRL1"/>
      <sheetName val="SRL2"/>
      <sheetName val="PABRIK (2)"/>
      <sheetName val="Pab SRL 1"/>
      <sheetName val="PO OLAH "/>
      <sheetName val="PO RM "/>
      <sheetName val="DATA LTW"/>
      <sheetName val="PKRAWAT"/>
      <sheetName val="PORAWAT"/>
      <sheetName val="PK RM KEBUN"/>
      <sheetName val="PO RM KEBUN"/>
      <sheetName val="PK UMUM"/>
      <sheetName val="PK PANEN"/>
      <sheetName val="PO PANEN"/>
      <sheetName val="TRANSPOR"/>
      <sheetName val="PO OLAH"/>
      <sheetName val="PK RM PAB"/>
      <sheetName val="PO RM PABR"/>
      <sheetName val="PK O"/>
      <sheetName val="PO O"/>
      <sheetName val="PO RM PAB"/>
      <sheetName val="TON  per Jam"/>
      <sheetName val="TAXREAL"/>
      <sheetName val="BREAK DOWN"/>
      <sheetName val="GRD LTW"/>
      <sheetName val="GRD LTT"/>
      <sheetName val="GRD MMG"/>
      <sheetName val="FFA per jam"/>
      <sheetName val="CPO per PT "/>
      <sheetName val="Karung"/>
      <sheetName val="Ton per jam"/>
      <sheetName val="GRAD"/>
      <sheetName val="% OT"/>
      <sheetName val="Grafik loading"/>
      <sheetName val="Ton Jam  kanban"/>
      <sheetName val="Monitor problem"/>
      <sheetName val="Loading"/>
      <sheetName val="exf"/>
      <sheetName val="KERNEL"/>
      <sheetName val="Sales Graf"/>
      <sheetName val="GRAFIK PRODUKSI"/>
      <sheetName val="Grafik Cost"/>
      <sheetName val="FORM A"/>
      <sheetName val="FORM-B1"/>
      <sheetName val="FORM-C"/>
      <sheetName val="LAP-1"/>
      <sheetName val="LAP-2 "/>
      <sheetName val="dft bns"/>
      <sheetName val="Comparable "/>
      <sheetName val="FORM-ANA3"/>
      <sheetName val="FORM-X-1"/>
      <sheetName val="SURAT PERINTAH KERJA"/>
      <sheetName val="tdk diprint"/>
      <sheetName val="TATAKOTA"/>
      <sheetName val="HAL SURAT"/>
      <sheetName val="_ Lbr vs GP"/>
      <sheetName val="PABRIK _2_"/>
      <sheetName val="Daftar (2)"/>
      <sheetName val="KRT CT"/>
      <sheetName val="SlipBHL"/>
      <sheetName val="HKNE"/>
      <sheetName val="HKNE BLN"/>
      <sheetName val="DFT MEET"/>
      <sheetName val="RkHr (2)"/>
      <sheetName val="dft bns (2)"/>
      <sheetName val="BNS"/>
      <sheetName val="DFT"/>
      <sheetName val="FFB"/>
      <sheetName val="Ukuran Baju Kaos"/>
      <sheetName val="Nutrisi"/>
      <sheetName val="NoMa"/>
      <sheetName val="AbsenS1"/>
      <sheetName val="AbsenS2"/>
      <sheetName val="RkHr"/>
      <sheetName val="EXT POOD"/>
      <sheetName val="Donatur (2)"/>
      <sheetName val="Und-Eka"/>
      <sheetName val="PMTK"/>
      <sheetName val="IJIN LBR"/>
      <sheetName val="Donatur"/>
      <sheetName val="JJG"/>
      <sheetName val="jjg (2)"/>
      <sheetName val="knl"/>
      <sheetName val="cpo(2)"/>
      <sheetName val="cel"/>
      <sheetName val="CPO22"/>
      <sheetName val="Lory"/>
      <sheetName val="Comparable"/>
      <sheetName val="Form Bangunan"/>
      <sheetName val="FORM-X-3"/>
      <sheetName val="SRT "/>
      <sheetName val="TNH"/>
      <sheetName val="FT"/>
      <sheetName val=" ceklist "/>
      <sheetName val="NILZI J KKPA"/>
      <sheetName val="Mobil"/>
      <sheetName val="Q-1 LTT"/>
      <sheetName val="NERACA JUL"/>
      <sheetName val="Data Umum"/>
      <sheetName val="Data Banding"/>
      <sheetName val="FORM-ANA1"/>
      <sheetName val="FORM-ANA2"/>
      <sheetName val="FORM-ANA1 (2)"/>
      <sheetName val="FOTO (2)"/>
      <sheetName val="FOTO (3)"/>
      <sheetName val="RESUME "/>
      <sheetName val="TAX SUMMARY"/>
      <sheetName val="Account"/>
      <sheetName val="FORM-X-2"/>
      <sheetName val="PAGAR"/>
      <sheetName val="PAGAR (2)"/>
      <sheetName val="GIM"/>
      <sheetName val="bebas pakai"/>
      <sheetName val="Add-trans"/>
      <sheetName val="Tranponder"/>
      <sheetName val="Add-rev"/>
      <sheetName val="Pro-Base"/>
      <sheetName val="IS-CF-BS"/>
      <sheetName val="Procentage"/>
      <sheetName val="Sensitif"/>
      <sheetName val="Cover-01"/>
      <sheetName val="D_ISI"/>
      <sheetName val="ikhtisar-1"/>
      <sheetName val="NERACA-2"/>
      <sheetName val="CF-th_5"/>
      <sheetName val="RINGKASAN PNL"/>
      <sheetName val="RINGKASAN HPP"/>
      <sheetName val="CASHFLOW-4"/>
      <sheetName val="PENJNRC_6_9"/>
      <sheetName val="PIUT_KARY_10"/>
      <sheetName val="Stock_11"/>
      <sheetName val="TM_12"/>
      <sheetName val="AT_13"/>
      <sheetName val="HUTDAG_14_17"/>
      <sheetName val="HUT.KONTRAKTOR"/>
      <sheetName val="BIAYA YMH DIBAYAR"/>
      <sheetName val="RINC.laba-rugi"/>
      <sheetName val="JUAL-19"/>
      <sheetName val="HPProd EST"/>
      <sheetName val="HPProd PKS"/>
      <sheetName val="PRODUKSI_24"/>
      <sheetName val="BUDGET_25-26"/>
      <sheetName val="DDB"/>
      <sheetName val="ind bang"/>
      <sheetName val="res bang"/>
      <sheetName val="indikasi "/>
      <sheetName val="Res kml"/>
      <sheetName val="Data 2 EDI"/>
      <sheetName val="Data 1 mesin"/>
      <sheetName val="PERUMAHAN"/>
      <sheetName val="Fasilitas Bang"/>
      <sheetName val="Proses"/>
      <sheetName val="COMP 3"/>
      <sheetName val="SPL 6"/>
      <sheetName val="RES-I"/>
      <sheetName val="1- Tanah"/>
      <sheetName val="3-Resume "/>
      <sheetName val="2-Indikasi(WP)"/>
      <sheetName val="Rangka Beton"/>
      <sheetName val="Rangka Baja"/>
      <sheetName val="Harg Sat Upah, Bahan, Pekerjaan"/>
      <sheetName val="Analisa-BCT"/>
      <sheetName val=")--&gt; Estimasi"/>
      <sheetName val="Estimasi Data Tanah"/>
      <sheetName val="Indikasi (WP)"/>
      <sheetName val="Harsat Fasilitas"/>
      <sheetName val="Proses (90)"/>
      <sheetName val="bct"/>
      <sheetName val="Industri-Group"/>
      <sheetName val="Apartemen 88"/>
      <sheetName val="Tanah "/>
      <sheetName val="WP Rkn + Pluit 64 ok"/>
      <sheetName val="umur"/>
      <sheetName val="Rangka-Baja"/>
      <sheetName val="INDIKASI"/>
      <sheetName val="R- Beton"/>
      <sheetName val="KDB-KLB"/>
      <sheetName val="Tnh Tang"/>
      <sheetName val="Tnh Pabrik"/>
      <sheetName val="KMANIS"/>
      <sheetName val="ILHAMI"/>
      <sheetName val="SPBU"/>
      <sheetName val="3-Resume"/>
      <sheetName val="Data-Umum"/>
      <sheetName val="Hit-Tnh"/>
      <sheetName val="dsr-hit"/>
      <sheetName val="hit-bng"/>
      <sheetName val="Narasi Tnh"/>
      <sheetName val="Narasi Bgn &amp; Sarana"/>
      <sheetName val="Nar-kend"/>
      <sheetName val="Proses-tnh"/>
      <sheetName val="Input-tanah"/>
      <sheetName val="Bang-Non-St"/>
      <sheetName val="prg"/>
      <sheetName val="Bang_Non_St"/>
      <sheetName val="5 yr val"/>
      <sheetName val=" Summ fin."/>
      <sheetName val="prg-old"/>
      <sheetName val="SM-Yanaprima"/>
      <sheetName val="Rsm 1-Bank (5)"/>
      <sheetName val="Rsm 1-Bank (4)"/>
      <sheetName val="Rsm 1-Bank (3)"/>
      <sheetName val="Rsm 1-Bank (2)"/>
      <sheetName val="Rsm 1-Bank"/>
      <sheetName val="Spl PT. IJS"/>
      <sheetName val="Bgnan PT. IJS"/>
      <sheetName val="PT. IJS Cost 1"/>
      <sheetName val="PT. IJS Cost 2"/>
      <sheetName val="Bgn-BCT"/>
      <sheetName val="Bct-2007"/>
      <sheetName val="Draft-PT. IJS"/>
      <sheetName val="Tnh-PT. IJS"/>
      <sheetName val="Tnh Ksg-PT. IJS"/>
      <sheetName val="SM-PT. IJS"/>
      <sheetName val="Gudang I"/>
      <sheetName val="Gudang II"/>
      <sheetName val="Tempat Parkir I"/>
      <sheetName val="Tempat Parkir II"/>
      <sheetName val="Gudang dan bengkel"/>
      <sheetName val="Narasi-Mesin 2009"/>
      <sheetName val="anal Mesin PT Indomulti Jay (2)"/>
      <sheetName val="Stock Barang"/>
      <sheetName val="TANAH   (review)"/>
      <sheetName val="BANG   (Review)"/>
      <sheetName val="RAB (Review)"/>
      <sheetName val="L.BANG"/>
      <sheetName val="TANAH  "/>
      <sheetName val="BANG  "/>
      <sheetName val="HIT BANG"/>
      <sheetName val="WORKING PAPER"/>
      <sheetName val="Narasi Tanah"/>
      <sheetName val="Narasi Bgn"/>
      <sheetName val="Narasi - SPL"/>
      <sheetName val="1.Form X bgn 1"/>
      <sheetName val="KUNJUGAN SURVEY"/>
      <sheetName val="IPA Direct"/>
      <sheetName val="Kriteria IPA"/>
      <sheetName val="Biaya Panen"/>
      <sheetName val="1 HALAMAN DEPAN"/>
      <sheetName val="2 Rekap Panen"/>
      <sheetName val="3 NormaHK"/>
      <sheetName val="4 NormaTRUK"/>
      <sheetName val="5 Farm Traktor"/>
      <sheetName val="6 NORMA PANEN"/>
      <sheetName val="7 NORMA_HKPANEN"/>
      <sheetName val="8 NORMA HK KUTIP"/>
      <sheetName val="9 Norma Lansir"/>
      <sheetName val="10 Asumsi"/>
      <sheetName val="12 Prod 2008"/>
      <sheetName val="pLAN pROD 2008"/>
      <sheetName val="11 BUDGET PANEN"/>
      <sheetName val="BBB JAMBI"/>
      <sheetName val="KSE JAMBI"/>
      <sheetName val="PLASMA1 KSE"/>
      <sheetName val="PLASMA2 KSE"/>
      <sheetName val="PK Rwt"/>
      <sheetName val="PK Pan"/>
      <sheetName val="PK Rwt HPT"/>
      <sheetName val="Transp Pan"/>
      <sheetName val="PO Rwt"/>
      <sheetName val="PK RM Kbn"/>
      <sheetName val="PO RM Kbn"/>
      <sheetName val="Gj Site"/>
      <sheetName val="Ovh Site"/>
      <sheetName val="Fix Ass"/>
      <sheetName val="DTL Transit Tek"/>
      <sheetName val="HA Done CPTCh"/>
      <sheetName val="GeminiProject"/>
      <sheetName val="Kridatama"/>
      <sheetName val="NRO Jan Actual"/>
      <sheetName val="CASH beg Jan"/>
      <sheetName val="Feb PO"/>
      <sheetName val="RevPerMonth"/>
      <sheetName val="S&amp;M G&amp;A"/>
      <sheetName val="Collections"/>
      <sheetName val="Cashflow 2008 USD"/>
      <sheetName val="Cashflow 2008 USD New"/>
      <sheetName val="Summary in mio"/>
      <sheetName val="Cashflow 2008 IDR"/>
      <sheetName val="Revenue Projection"/>
      <sheetName val="Bandwith"/>
      <sheetName val="Operational Expense"/>
      <sheetName val="STNotes"/>
      <sheetName val="BNI Loan"/>
      <sheetName val="CashMar25"/>
      <sheetName val="Cash beg Mar"/>
      <sheetName val="Cash May 13"/>
      <sheetName val="July 4"/>
      <sheetName val="May 27"/>
      <sheetName val="Cash As per July 31"/>
      <sheetName val="Aug 8"/>
      <sheetName val="Programers"/>
      <sheetName val="ProgramNew"/>
      <sheetName val="ProgrammingCost"/>
      <sheetName val="outs prog report"/>
      <sheetName val="Pivot Prog. Cost"/>
      <sheetName val="Capex Projection Summary"/>
      <sheetName val="Capex Detail"/>
      <sheetName val="Home Shopping CAPEX OPEX"/>
      <sheetName val="News OPEX"/>
      <sheetName val="Capex TV station"/>
      <sheetName val="TotalTVProjectCapex"/>
      <sheetName val="JA Aug 16"/>
      <sheetName val="capex tv sum"/>
      <sheetName val="RevProjectBase Sce"/>
      <sheetName val="Estimate Capex (CallCenter)"/>
      <sheetName val="25% DP March"/>
      <sheetName val="Settl 70% March"/>
      <sheetName val="Capex Expense April"/>
      <sheetName val="印尼當地採購軟硬體(TV Shopping)"/>
      <sheetName val="Document Proses TTD (5)"/>
      <sheetName val="Document Proses TTD (4)"/>
      <sheetName val="JADI"/>
      <sheetName val="Sektor "/>
      <sheetName val="SALES2003"/>
      <sheetName val="DAGANG"/>
      <sheetName val="ASUMSI UMUM (Not Print)"/>
      <sheetName val="INVESTMENT All"/>
      <sheetName val="Cost LCC"/>
      <sheetName val="Cost Tanam"/>
      <sheetName val="Cost TBM"/>
      <sheetName val="Cost TM"/>
      <sheetName val="Cost Prenursery"/>
      <sheetName val="Cost Mainnursery"/>
      <sheetName val="Kendaraan Kbn"/>
      <sheetName val="BangKeb"/>
      <sheetName val="Mesin &amp; Inventaris"/>
      <sheetName val="INFRASTR TBM 3"/>
      <sheetName val="Tanah &amp; Pra Ops"/>
      <sheetName val="SGA "/>
      <sheetName val="COGS &amp; Beban Usaha"/>
      <sheetName val="Gaji Kbn"/>
      <sheetName val="Gaji CPO Mill"/>
      <sheetName val="Cost CPO Mill"/>
      <sheetName val="Depre Tanaman"/>
      <sheetName val="Analyst"/>
      <sheetName val="TBS &amp; CPO Price"/>
      <sheetName val="Hist Prod"/>
      <sheetName val="Proyeksi Prod"/>
      <sheetName val="Cost Prod (noprint)"/>
      <sheetName val="KI 08"/>
      <sheetName val="IDC 08"/>
      <sheetName val="KI 09"/>
      <sheetName val="IDC 09"/>
      <sheetName val="KI 10"/>
      <sheetName val="IDC 10"/>
      <sheetName val="KI TBM Lanjut"/>
      <sheetName val="IDC TBM Lanjut"/>
      <sheetName val="KI CPO 1"/>
      <sheetName val="IDC CPO 1"/>
      <sheetName val="KI CPO 2"/>
      <sheetName val="IDC Portion"/>
      <sheetName val="GRANDSUM OK"/>
      <sheetName val="GFA"/>
      <sheetName val="RUPS"/>
      <sheetName val="SALES2004"/>
      <sheetName val="Sektor 2004"/>
      <sheetName val="JADI2004"/>
      <sheetName val="DAGANG2004"/>
      <sheetName val="PEND2004"/>
      <sheetName val="TW II"/>
      <sheetName val="Init"/>
      <sheetName val="SGA"/>
      <sheetName val="Prod Kebun Luar"/>
      <sheetName val="PKS Cost"/>
      <sheetName val="Gaji PKS "/>
      <sheetName val="Kendaraan Kbn (Realisasi)"/>
      <sheetName val="Infrastruktur (2)"/>
      <sheetName val="Realisasi tanam"/>
      <sheetName val="Investment (realisasi)"/>
      <sheetName val="Investment (Blm Realisasi)"/>
      <sheetName val="Investment New"/>
      <sheetName val="KI Kebun Old"/>
      <sheetName val="IDC Kebun Old"/>
      <sheetName val="KI Kebun New"/>
      <sheetName val="IDC Kebun New"/>
      <sheetName val="KI 11"/>
      <sheetName val="IDC 11"/>
      <sheetName val="KI 12"/>
      <sheetName val="IDC 12"/>
      <sheetName val="KI LAnjut TT 10"/>
      <sheetName val="IDC Lanjut TT10"/>
      <sheetName val="KI PKS 45-60"/>
      <sheetName val="IDC PKS 45-60"/>
      <sheetName val="Leas 1"/>
      <sheetName val="Leas 2"/>
      <sheetName val="COP PKS 30"/>
      <sheetName val="COP PKS 30-60"/>
      <sheetName val="COP PKS 45"/>
      <sheetName val="KI PKS 30"/>
      <sheetName val="IDC PKS 30"/>
      <sheetName val="KI PKS 30 Exp 60"/>
      <sheetName val="KI Lanjutan"/>
      <sheetName val="AGST'01"/>
      <sheetName val="JUL'01"/>
      <sheetName val="JUN'01"/>
      <sheetName val="Graph-Rev"/>
      <sheetName val="Graph-Opex"/>
      <sheetName val="Detail Opex"/>
      <sheetName val="Rumus BS"/>
      <sheetName val="RumusTB 1 bln"/>
      <sheetName val="RumusPL"/>
      <sheetName val="PL2001"/>
      <sheetName val="PFC"/>
      <sheetName val="GDR"/>
      <sheetName val="TBH"/>
      <sheetName val="PL2001 (2)"/>
      <sheetName val="SumPerfrmc"/>
      <sheetName val="Graph-Rev (2)"/>
      <sheetName val="Graph COGS (2)"/>
      <sheetName val="Graph COGS"/>
      <sheetName val="Detail Opex (2)"/>
      <sheetName val="Rumus Notes BS"/>
      <sheetName val="Rumus PL Accpac"/>
      <sheetName val="PL All"/>
      <sheetName val="PL PFC"/>
      <sheetName val="PL GDR"/>
      <sheetName val="PL TBH"/>
      <sheetName val="CF PFC"/>
      <sheetName val="CF GDR"/>
      <sheetName val="CF TBH"/>
      <sheetName val="Building PFC"/>
      <sheetName val="Building GDR"/>
      <sheetName val="Rekap Tamu"/>
      <sheetName val="Rumus PL"/>
      <sheetName val="COPA DETAIL"/>
      <sheetName val="fr BS"/>
      <sheetName val="fr PL"/>
      <sheetName val="fr notes BS"/>
      <sheetName val="fr summ PL"/>
      <sheetName val="TH LALU"/>
      <sheetName val="Proyeksi 2005"/>
      <sheetName val="FH &amp; GI"/>
      <sheetName val="FI per Category"/>
      <sheetName val="FH &amp; GI (Non LMIRT)"/>
      <sheetName val="FI per Category (Non LMIRT)"/>
      <sheetName val="FH &amp; GI (2008-2013)"/>
      <sheetName val="FI per Category (2008-2013)"/>
      <sheetName val="Mars"/>
      <sheetName val="Summary Revisi"/>
      <sheetName val="Review Note GAP"/>
      <sheetName val="Pay Back"/>
      <sheetName val="Rkp-Jdwl"/>
      <sheetName val="NONTAN_baru"/>
      <sheetName val="Angsuran per Fasilitas"/>
      <sheetName val="IDC per fasilitas"/>
      <sheetName val="inv per fasilitas"/>
      <sheetName val="Detail-Susut"/>
      <sheetName val="SATUAN BARU"/>
      <sheetName val="HARGA TBS"/>
      <sheetName val="RENCANA LAHAN"/>
      <sheetName val="Tan"/>
      <sheetName val="POTENSI PRODUKSI"/>
      <sheetName val="Sensitivitas"/>
      <sheetName val="T-KERJA"/>
      <sheetName val="Nontan_lama"/>
      <sheetName val="Data-Machine_PKO"/>
      <sheetName val="_x005f_x0000__x005f_x0000__x005f_x0000__x005f_x0000__x0"/>
      <sheetName val="FO"/>
      <sheetName val="COE"/>
      <sheetName val="QTY PRO"/>
      <sheetName val="Rp PRO"/>
      <sheetName val="Amount"/>
      <sheetName val="TOTAL SBU3"/>
      <sheetName val="TOTAL SBU4"/>
      <sheetName val="TOTAL SBU3+4"/>
      <sheetName val="TOTAL existing+project"/>
      <sheetName val="Price Unit"/>
      <sheetName val="Amount (2)"/>
      <sheetName val="15.output pt bh"/>
      <sheetName val="SUMMARY I"/>
      <sheetName val="RAB I"/>
      <sheetName val="Summary II"/>
      <sheetName val="RAB II"/>
      <sheetName val="FIX PRODUKSI"/>
      <sheetName val="Kirana"/>
      <sheetName val="RAB UMUM&amp;PDC KSE"/>
      <sheetName val="KTR KS BLN"/>
      <sheetName val="VER SG"/>
      <sheetName val="Upah SKU 1"/>
      <sheetName val="Matrial"/>
      <sheetName val="PROD KS"/>
      <sheetName val="PICA KS"/>
      <sheetName val="DAILY (KG)"/>
      <sheetName val="Plan actual"/>
      <sheetName val="Realisai Ha"/>
      <sheetName val="NORMA_HK"/>
      <sheetName val="REKAP PUPUK TM"/>
      <sheetName val="PUPUK TM BLOK KECIL"/>
      <sheetName val="REKOMENDASI PUPUK TBM"/>
      <sheetName val="REKAP PUPUK TBM"/>
      <sheetName val="PUPUK TBM BLOK KECIL"/>
      <sheetName val="Jan-Feb"/>
      <sheetName val="Strategy Activity"/>
      <sheetName val=" PERFORMANCE"/>
      <sheetName val=" Monthly Review"/>
      <sheetName val="W.Shop"/>
      <sheetName val="Part"/>
      <sheetName val="F.By Objc"/>
      <sheetName val="F.By Type"/>
      <sheetName val="F.BKL'99 "/>
      <sheetName val="F.PART'99"/>
      <sheetName val="03_Rawat Path Chemis=CPT"/>
      <sheetName val="32.1.Harga pupuk (2)"/>
      <sheetName val="32.3.Harga tools (2)"/>
      <sheetName val="32.2.Harga agrochemical (2)"/>
      <sheetName val="PETUNJUK_ISI"/>
      <sheetName val="TGL_KERJA"/>
      <sheetName val="DEV_COST"/>
      <sheetName val="RWT_TM"/>
      <sheetName val="RWT_TBM"/>
      <sheetName val="REKAP_CAPEX ESTATE"/>
      <sheetName val="T_PANEN"/>
      <sheetName val="ESTATE_COST"/>
      <sheetName val="COST PANEN"/>
      <sheetName val="REKAP_HS"/>
      <sheetName val="REKAP_TBS"/>
      <sheetName val="HA_STATEMENT"/>
      <sheetName val="HS_2012_2013"/>
      <sheetName val="HS_BLOK"/>
      <sheetName val="YIELD_PRO"/>
      <sheetName val="TBS_BLOK"/>
      <sheetName val="LAND_CLEARING"/>
      <sheetName val="BUAT_JALAN"/>
      <sheetName val="BUAT_INFRA"/>
      <sheetName val="PERKERASAN_JALAN"/>
      <sheetName val="TANAM"/>
      <sheetName val="JALAN_BLOK"/>
      <sheetName val="CUCI_PARIT"/>
      <sheetName val="AKSES_BLOK"/>
      <sheetName val="HPT BLOK"/>
      <sheetName val="WDG_BLOK"/>
      <sheetName val="CPT_BLOK"/>
      <sheetName val="LLG_BLOK"/>
      <sheetName val="IPM_BLOK"/>
      <sheetName val="PUPUK TBM_BLOK"/>
      <sheetName val="PUPUK TM_BLOK"/>
      <sheetName val="PUPUK_ORGANIK"/>
      <sheetName val="SENSUS BLOK"/>
      <sheetName val="TUNAS_BLOK"/>
      <sheetName val="TRANSPORT_TBS"/>
      <sheetName val="MPP_CHECKROLL"/>
      <sheetName val="BUM"/>
      <sheetName val="PK_UMUM"/>
      <sheetName val="CSR"/>
      <sheetName val="OPEX_NONTAN"/>
      <sheetName val="INTERNAL RELATIONSHIP"/>
      <sheetName val="SUSTAINABILITY"/>
      <sheetName val="CAPEX_NONTAN"/>
      <sheetName val="Infra"/>
      <sheetName val="NORMA_INFRA"/>
      <sheetName val="PERKERASAN JALAN"/>
      <sheetName val="NORMA_BIAYA"/>
      <sheetName val="HARGA_BORONG"/>
      <sheetName val="VRA"/>
      <sheetName val="DIST_VRA"/>
      <sheetName val="STANDART_CTM"/>
      <sheetName val="BIBITAN"/>
      <sheetName val="STD_RWT"/>
      <sheetName val="WRA"/>
      <sheetName val="ALAT KERJA 2"/>
      <sheetName val="ALAT KERJA"/>
      <sheetName val="05-07"/>
      <sheetName val="AMP01"/>
      <sheetName val="kse_pks"/>
      <sheetName val="AMP MAR"/>
      <sheetName val="pks"/>
      <sheetName val="bbb"/>
      <sheetName val="kse"/>
      <sheetName val="revisi_gltran"/>
      <sheetName val="1_SETUP"/>
      <sheetName val="T.B"/>
      <sheetName val="BA bbt"/>
      <sheetName val="DU bbt-1"/>
      <sheetName val="DU bbt-2"/>
      <sheetName val="DU bbt-3"/>
      <sheetName val="DU bbt-4 "/>
      <sheetName val="DU bbt-5"/>
      <sheetName val="Du bbt-6"/>
      <sheetName val="Du bbt-7"/>
      <sheetName val="Du bbt-8"/>
      <sheetName val="Du bbt-9"/>
      <sheetName val="BA Afd II"/>
      <sheetName val="DU afd2-1"/>
      <sheetName val="DU afd 2-2"/>
      <sheetName val="DU Afd 2-3"/>
      <sheetName val="DU Afd 2-4"/>
      <sheetName val="DU Afd 2-5"/>
      <sheetName val="DU Afd 2-6"/>
      <sheetName val="BA Afd III"/>
      <sheetName val="Du afd III-1"/>
      <sheetName val="Du afd III-2"/>
      <sheetName val="Du afd III-3"/>
      <sheetName val="Du afd III-4"/>
      <sheetName val="Du afd III-5"/>
      <sheetName val="Du afd III-6"/>
      <sheetName val="Du afd III-7"/>
      <sheetName val="Du afd III-8"/>
      <sheetName val="Du afd III-9"/>
      <sheetName val="Du afd III-10"/>
      <sheetName val="Du afd III-11"/>
      <sheetName val="BA PLANT"/>
      <sheetName val="Absensi  JULI 2009"/>
      <sheetName val="Hasil Kerja 3 (2)"/>
      <sheetName val="Premi 4 (2)"/>
      <sheetName val="Lembur 5 (2)"/>
      <sheetName val="DU"/>
      <sheetName val="Slip Gaji (2)"/>
      <sheetName val="T. T. G AFD. OI"/>
      <sheetName val="Buat sirap"/>
      <sheetName val="Langsir Bibit"/>
      <sheetName val="Tanam Sisip"/>
      <sheetName val="CWM"/>
      <sheetName val="Weeding Manual"/>
      <sheetName val="Extra Fooding"/>
      <sheetName val="Byr HO"/>
      <sheetName val="skb"/>
      <sheetName val="k_servis"/>
      <sheetName val="skb_tek"/>
      <sheetName val="LSK"/>
      <sheetName val="202_405"/>
      <sheetName val="202_503"/>
      <sheetName val="PK Rawat"/>
      <sheetName val="Tabur Tankos"/>
      <sheetName val="700_416"/>
      <sheetName val="Transport_Tankos"/>
      <sheetName val="Trans Panen"/>
      <sheetName val="200_423"/>
      <sheetName val="L C"/>
      <sheetName val="RekapDetail"/>
      <sheetName val="EFCTBS"/>
      <sheetName val="efcPP"/>
      <sheetName val="EFC"/>
      <sheetName val="RM Kebun"/>
      <sheetName val="RM Pabrik"/>
      <sheetName val="SUMMARY SPS2"/>
      <sheetName val="INF"/>
      <sheetName val="RWT TBM"/>
      <sheetName val="REKAP_CAPEX"/>
      <sheetName val="TNM LCC"/>
      <sheetName val="TNM SSP SAWIT"/>
      <sheetName val="RWT TBM-0"/>
      <sheetName val="RWT TBM-1"/>
      <sheetName val="RWT TBM-2"/>
      <sheetName val="RWT TBM-3"/>
      <sheetName val="RWT TM"/>
      <sheetName val="CHECKROLL"/>
      <sheetName val="SAWA "/>
      <sheetName val="Budget vs Actual Tonase"/>
      <sheetName val="COA LHM"/>
      <sheetName val="TBM I"/>
      <sheetName val="Parameter1"/>
      <sheetName val="Database Karyawan"/>
      <sheetName val="Master List of 2013"/>
      <sheetName val="Master Data HS Blok"/>
      <sheetName val="Master Data PIC"/>
      <sheetName val="Lampiran Jenis Kecelakaan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Database_Karyawan"/>
      <sheetName val="Master_List_of_2013"/>
      <sheetName val="Master_Data_HS_Blok"/>
      <sheetName val="Master_Data_PIC"/>
      <sheetName val="Lampiran_Jenis_Kecelakaan"/>
      <sheetName val=" CF attachment"/>
      <sheetName val="Fluc"/>
      <sheetName val="T_B"/>
      <sheetName val="DKI@"/>
      <sheetName val="JATIM@"/>
      <sheetName val="JABAR@"/>
      <sheetName val="INTIM@"/>
      <sheetName val="JATENG@"/>
      <sheetName val="SMR@"/>
      <sheetName val="JATENG X"/>
      <sheetName val="intim"/>
      <sheetName val="OPR-99"/>
      <sheetName val="OPR_99"/>
      <sheetName val="BCA_01"/>
      <sheetName val="JATENG_X"/>
      <sheetName val="PABRIK_(2)"/>
      <sheetName val="Sanitasi"/>
      <sheetName val="Kastrasi"/>
      <sheetName val="Pasar IP"/>
      <sheetName val="Rawat Jalan"/>
      <sheetName val="Garuk Piringan"/>
      <sheetName val="Semprot CPT"/>
      <sheetName val="Oles Anak Kayu"/>
      <sheetName val="Pengendalian Lalang"/>
      <sheetName val="PATH MANUAL"/>
      <sheetName val="Deteksi HPT"/>
      <sheetName val="Pruning"/>
      <sheetName val="Data Blok"/>
      <sheetName val="TITI PANEN"/>
      <sheetName val="Pemupukan "/>
      <sheetName val=" PATOK BLOK"/>
      <sheetName val="Pembuatan TPH"/>
      <sheetName val="Prunning Rempes"/>
      <sheetName val="Tarrik goloran"/>
      <sheetName val="SENSUS SISIP"/>
      <sheetName val="Pendukung"/>
      <sheetName val="MAKER"/>
      <sheetName val="Mat List"/>
      <sheetName val="I-Hydrant"/>
      <sheetName val="II-PLUMB REV4"/>
      <sheetName val="II-Plumb"/>
      <sheetName val="III-AC"/>
      <sheetName val="IV-Elect"/>
      <sheetName val="V-Alarm"/>
      <sheetName val="VI-Telp"/>
      <sheetName val="VII-SS"/>
      <sheetName val="VIII-MATV"/>
      <sheetName val="IX-Genset"/>
      <sheetName val="X-Elvtr"/>
      <sheetName val="XI-Gondola"/>
      <sheetName val="XII-CCTV"/>
      <sheetName val="Fill in First"/>
      <sheetName val="Bill No11 Cover"/>
      <sheetName val="Cover11A"/>
      <sheetName val="Bill No.11A"/>
      <sheetName val="Cover11B"/>
      <sheetName val="Bill No.11B"/>
      <sheetName val="11B Cover Gas"/>
      <sheetName val="Bill No.11B gas"/>
      <sheetName val="Bill No.11B gen &amp; collection"/>
      <sheetName val="Cover11C"/>
      <sheetName val="Bill No.11C"/>
      <sheetName val="BQ-M&amp;E GOR MUARA BULIAN"/>
      <sheetName val="Reff"/>
      <sheetName val="MC-QUAY"/>
      <sheetName val="Daya"/>
      <sheetName val="Rekapan (2)"/>
      <sheetName val="Rekapan"/>
      <sheetName val="HOLIN"/>
      <sheetName val="MK HSP1"/>
      <sheetName val="MK HSP.Mandor"/>
      <sheetName val="An Duct 2"/>
      <sheetName val="RABP WBS (5)"/>
      <sheetName val="RABP WBS (6)"/>
      <sheetName val="RABP WBS (7)"/>
      <sheetName val="Hyd&amp;SP"/>
      <sheetName val="MK.Air BS."/>
      <sheetName val="MK Air PN"/>
      <sheetName val="MK Air.BK"/>
      <sheetName val="MK Air.HUJAN"/>
      <sheetName val="lamp kamar"/>
      <sheetName val="EL.REKAP"/>
      <sheetName val="EL.FA"/>
      <sheetName val="EL.SS"/>
      <sheetName val="EL.TELP"/>
      <sheetName val="EL.MATV"/>
      <sheetName val="EL.K TRAY"/>
      <sheetName val="Per Lift"/>
      <sheetName val="Rencana M"/>
      <sheetName val="Sub Con"/>
      <sheetName val="Ncang"/>
      <sheetName val="UANG"/>
      <sheetName val="RAB &amp; RAP"/>
      <sheetName val="Mtrial Schl"/>
      <sheetName val="Mtrl Sch (2)"/>
      <sheetName val="Mtrl (4)"/>
      <sheetName val=" keb daya"/>
      <sheetName val="REKAPRAp"/>
      <sheetName val="Renc Krj M 2"/>
      <sheetName val="Renc Krj M 3"/>
      <sheetName val="Progrs M 4"/>
      <sheetName val="Progrs M 6"/>
      <sheetName val="Progrs M 5"/>
      <sheetName val="Progrs M 7"/>
      <sheetName val="Progrs M 8"/>
      <sheetName val="Progrs M 9"/>
      <sheetName val="Progrs M 10"/>
      <sheetName val="Progrs M 11"/>
      <sheetName val="Progrs M 12"/>
      <sheetName val="SCHEDULE PELAKSANAAN (KURVA S)"/>
      <sheetName val="Renc Krj M 4 Agst_ok"/>
      <sheetName val="Renc Krj M 5 Sept._ok"/>
      <sheetName val="Renc Krj M 6 Sept._ok"/>
      <sheetName val="Renc Krj M 7 Sept._ok"/>
      <sheetName val="Renc Krj M 8 Sept._ok"/>
      <sheetName val="Renc Krj M 9 Okt._ok"/>
      <sheetName val="Renc Krj M 10 Okt._ok"/>
      <sheetName val="Renc Krj M 11 Okt._ok"/>
      <sheetName val="Renc Krj M 12._ok"/>
      <sheetName val="Renc Krj M 13._ok"/>
      <sheetName val="vol pipa"/>
      <sheetName val="Sch  R-1"/>
      <sheetName val="Renc Krj M 1"/>
      <sheetName val="Progress 23"/>
      <sheetName val="Progress 21 REAL "/>
      <sheetName val="Rekap 1 "/>
      <sheetName val="DAFTAR NO_1"/>
      <sheetName val="Pipa Tembaga"/>
      <sheetName val="Pipa Drain"/>
      <sheetName val="DAFTAR NO_2"/>
      <sheetName val="DAFTAR NO_3"/>
      <sheetName val="DAFTAR NO_4"/>
      <sheetName val="Inst. Elektrikal-1"/>
      <sheetName val="BAGIAN I-(PRELIM)"/>
      <sheetName val="Real Cost"/>
      <sheetName val="rincian biaya"/>
      <sheetName val="harga sat"/>
      <sheetName val="Bahan "/>
      <sheetName val="RINC FIN T4  _3_"/>
      <sheetName val="RINC FIN T4  _2_"/>
      <sheetName val="tot_san _2_"/>
      <sheetName val="tot_san"/>
      <sheetName val="GRN_TOT _2_"/>
      <sheetName val="Tot_Ruang"/>
      <sheetName val="Rin_"/>
      <sheetName val="Luas Gross"/>
      <sheetName val="OPTION_1"/>
      <sheetName val="GRN_TOT"/>
      <sheetName val="luar"/>
      <sheetName val="RINC hotel"/>
      <sheetName val="RINC FIN T4 "/>
      <sheetName val="TOT_ME last"/>
      <sheetName val="RIN_ME last"/>
      <sheetName val="daffin"/>
      <sheetName val="sanitaire"/>
      <sheetName val="FF_E"/>
      <sheetName val="Pen. Tot"/>
      <sheetName val="4.1 Pek. Utama"/>
      <sheetName val="4.2 Shaft"/>
      <sheetName val="4.3 (Pen. Tot)"/>
      <sheetName val="4.3.1 (Basement)"/>
      <sheetName val="4.3.2 (Fasilitas)"/>
      <sheetName val="4.3.3 (Ruko)"/>
      <sheetName val="4.3.4 (Podium)"/>
      <sheetName val="4.3.5 (Apartement)"/>
      <sheetName val="4.4 Pek. Luar"/>
      <sheetName val="4.5 Listrik"/>
      <sheetName val="4.6 Sparing"/>
      <sheetName val="Da-Har"/>
      <sheetName val="4.1 Per. Utama"/>
      <sheetName val="4.3A Bas"/>
      <sheetName val="4.3B Fas"/>
      <sheetName val="4.3C RK"/>
      <sheetName val="Har-mat"/>
      <sheetName val="Analisa &amp; Upah"/>
      <sheetName val="BU_ARS R.TGG KBRNGKTN _ANGDES"/>
      <sheetName val="BU_PLB_RUANG TUNGGU_ANGDES"/>
      <sheetName val="BU_STR_KEBERANGKATAN BUS"/>
      <sheetName val="B.U Atap"/>
      <sheetName val="BU_ARS KEBERANGKATAN BUS"/>
      <sheetName val="BU_AREA KEBERANGKATAN"/>
      <sheetName val="Form Back up STR K.ISTR"/>
      <sheetName val="Form Back up ARS K.ISTR"/>
      <sheetName val="BU_PLB_R. IASTIRAHAT"/>
      <sheetName val="Form Back up STR POS KEAMN"/>
      <sheetName val="Form Back up ARS POS KEAMN"/>
      <sheetName val="Form Back up STR POS RTR"/>
      <sheetName val="Form Back up ARS POS RTR"/>
      <sheetName val="3.1.1 BU STR Depo Sampah"/>
      <sheetName val="3.1.2 BU ARS  Depo Sampah"/>
      <sheetName val="BU_BAK KONTROLt"/>
      <sheetName val="Bu_Plb_Kawasan"/>
      <sheetName val="C.1_ BU_LANDSACAPE"/>
      <sheetName val="C.1_ BU_LANDSACAPE_pagar"/>
      <sheetName val="C.2.1_BU-ddg penahan"/>
      <sheetName val="BU_URUGAN"/>
      <sheetName val="HArga BAhan ME"/>
      <sheetName val="Analis ME"/>
      <sheetName val="BAHAN Str-Arc &quot;07 (2)"/>
      <sheetName val="BAHAN Str-Arc &quot;07"/>
      <sheetName val="BAHAN PLB &quot;07"/>
      <sheetName val="HSPK ANALIS"/>
      <sheetName val="HSPK ANALIS LAIN2"/>
      <sheetName val="Analisa LAIN2"/>
      <sheetName val="HSPK BETON)"/>
      <sheetName val="ANALISA BETON"/>
      <sheetName val="HSPK KUSEN"/>
      <sheetName val="ANALISA KUSEN"/>
      <sheetName val="HSPK ME Print"/>
      <sheetName val="Analis ME Print"/>
      <sheetName val="ANALIS PLUMBING"/>
      <sheetName val="ITUNG BESI"/>
      <sheetName val="BU-ARC-SMA"/>
      <sheetName val="BU-ARC-SMP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UNIT ASRAMA"/>
      <sheetName val="UNIT KELAS"/>
      <sheetName val="RekapItem"/>
      <sheetName val="Indoor"/>
      <sheetName val="StadUtama"/>
      <sheetName val="BOQ RAB"/>
      <sheetName val="BOQ Rek"/>
      <sheetName val="RAPNew"/>
      <sheetName val="REKAP U"/>
      <sheetName val="BULNew"/>
      <sheetName val="HSD1"/>
      <sheetName val="Lansekap"/>
      <sheetName val="SSCJalan"/>
      <sheetName val="Anal-Pt"/>
      <sheetName val="Anal-ARS"/>
      <sheetName val="Hit TC"/>
      <sheetName val="Direksi kit"/>
      <sheetName val="BAHAN ME"/>
      <sheetName val="BAHAN_NGAWI_2008"/>
      <sheetName val="HSPK_SNI"/>
      <sheetName val="SNI_EDISI_REV"/>
      <sheetName val="HSPK_KUSEN"/>
      <sheetName val="HSPK_BETON"/>
      <sheetName val="Analis Beton"/>
      <sheetName val="BESTAT_BESI"/>
      <sheetName val="HSPK ME"/>
      <sheetName val="ANALIS PLB"/>
      <sheetName val="HARGA BAHAN MLG"/>
      <sheetName val="ANALISA_KOTA MALANG"/>
      <sheetName val="BESI Pre"/>
      <sheetName val="HARGA BAHAN 2007_MLG"/>
      <sheetName val="HSPK_BETON01"/>
      <sheetName val="ANALISA BETON01"/>
      <sheetName val="MASTER BAHAN ME"/>
      <sheetName val="MASTER Analis ME"/>
      <sheetName val="MASTER HSPK ME"/>
      <sheetName val="penerangan"/>
      <sheetName val="PANEL KABEL"/>
      <sheetName val="Sound Syst"/>
      <sheetName val="LAN"/>
      <sheetName val="Telepone"/>
      <sheetName val="Tataudara"/>
      <sheetName val="PETIR"/>
      <sheetName val="LAMPU OUT DOOR"/>
      <sheetName val="sound system lapangan"/>
      <sheetName val="Penyambungan PLN 147 KVA"/>
      <sheetName val="Penyambungan PDAM "/>
      <sheetName val="Sub Rekap Indoor"/>
      <sheetName val="Sub Rekap Masjid"/>
      <sheetName val="Sub Rekap Infra"/>
      <sheetName val="Sub Rekap Std Ut"/>
      <sheetName val="Sipil Std Ut"/>
      <sheetName val="Ars Std Ut"/>
      <sheetName val="Kabel Feeder"/>
      <sheetName val="Sound Sistem Ged"/>
      <sheetName val="Fire Alarm"/>
      <sheetName val="Instal Data"/>
      <sheetName val="Telephone"/>
      <sheetName val="Kabel tray"/>
      <sheetName val="Tata Udara"/>
      <sheetName val="Petir &amp; Lift"/>
      <sheetName val="Lightning"/>
      <sheetName val="Sound Sistem lap."/>
      <sheetName val="Lap Std Ut"/>
      <sheetName val="Genset &amp; Ph"/>
      <sheetName val="Rekap Indoor"/>
      <sheetName val=" REKAP_SIMPEL"/>
      <sheetName val="Rekap Prog"/>
      <sheetName val="Stadion Utama"/>
      <sheetName val="2.A. NON_STD_POND_DALAM"/>
      <sheetName val="B. REKAP_LANDSCAPE"/>
      <sheetName val="1.2.B NON STD ELEKTRIKAL"/>
      <sheetName val="B.2.2 NON_STD_ME_KAWASAN"/>
      <sheetName val="space frame"/>
      <sheetName val="Analis Pintu Jendela"/>
      <sheetName val="ANALISA railing"/>
      <sheetName val="Analis Railling"/>
      <sheetName val="Analisa Plumb"/>
      <sheetName val="Rekap Std Ut"/>
      <sheetName val="plumb std ut"/>
      <sheetName val="Genset dan PH"/>
      <sheetName val="Rekap Masjid"/>
      <sheetName val="Rekap Infra"/>
      <sheetName val="Penerang"/>
      <sheetName val="Alat &amp; Bahan"/>
      <sheetName val="plt"/>
      <sheetName val="klm"/>
      <sheetName val="bhn,upah,alat"/>
      <sheetName val="Ans Kom Precast"/>
      <sheetName val="A-ars"/>
      <sheetName val="Analisa_str"/>
      <sheetName val="PO-2"/>
      <sheetName val="CSFLOW"/>
      <sheetName val="RAB-ME"/>
      <sheetName val="RAB-ARS"/>
      <sheetName val="RAB-STR"/>
      <sheetName val="PRELI-CAP"/>
      <sheetName val="DISCLAIMER"/>
      <sheetName val="Peta Quarry"/>
      <sheetName val="DAFTAR MPU"/>
      <sheetName val="4-Basic Price"/>
      <sheetName val="4-formulir harga bahan"/>
      <sheetName val="5-ALAT(1)"/>
      <sheetName val="Jembatan Sementara"/>
      <sheetName val="TS - FHISIK (2)"/>
      <sheetName val="RAB-NEGO"/>
      <sheetName val="REKAP-NEGO"/>
      <sheetName val="TS - FHISIK"/>
      <sheetName val="tdk dpk"/>
      <sheetName val="Joint Op"/>
      <sheetName val="Usul alat"/>
      <sheetName val="Stone Crush"/>
      <sheetName val="AMP"/>
      <sheetName val="KONF ASPAL"/>
      <sheetName val="Batch Plan"/>
      <sheetName val="List App"/>
      <sheetName val="Shed Gen"/>
      <sheetName val="BQ &amp; Harga"/>
      <sheetName val="DIVISI-1 MOB"/>
      <sheetName val="DIVISI-2"/>
      <sheetName val="DIVISI-3"/>
      <sheetName val="DIVIS-4"/>
      <sheetName val="DIVISI-5"/>
      <sheetName val="DIVISI-6a"/>
      <sheetName val="DIVISI-7a"/>
      <sheetName val="DIVISI-8"/>
      <sheetName val="Anal ALAT"/>
      <sheetName val="Anal Quarry Igg"/>
      <sheetName val="UMUM INFO"/>
      <sheetName val="srt pnwrn"/>
      <sheetName val="pek-Pers"/>
      <sheetName val="pek- STR"/>
      <sheetName val="Analisa STR (2)"/>
      <sheetName val="HSBU "/>
      <sheetName val="Bill 2.4"/>
      <sheetName val="Bill 2.5 "/>
      <sheetName val="Bill 3.4"/>
      <sheetName val="Bill 3.5"/>
      <sheetName val="Bill 4.4"/>
      <sheetName val="Bill 4.5"/>
      <sheetName val="Bill 5.4"/>
      <sheetName val="Bill 5.5"/>
      <sheetName val="Bill 6.4"/>
      <sheetName val="Bill 6.5"/>
      <sheetName val="Bill 7.4"/>
      <sheetName val="Bill 7.5"/>
      <sheetName val="Bill 8.4"/>
      <sheetName val="Bill 8.5"/>
      <sheetName val="Bill 9.4 "/>
      <sheetName val="Bill 9.5"/>
      <sheetName val="Bill 10.4"/>
      <sheetName val="Bill 10.5"/>
      <sheetName val="Bill 11.4"/>
      <sheetName val="Bill 11.5"/>
      <sheetName val="Bill 12.3"/>
      <sheetName val="Bill 12.4"/>
      <sheetName val="Bill 13.4"/>
      <sheetName val="Bill 13.5"/>
      <sheetName val="Bill 14.3"/>
      <sheetName val="Bill 14.4"/>
      <sheetName val="Bill 16.3"/>
      <sheetName val="Bill No 9 Cover"/>
      <sheetName val="Bill 9 Profit &amp; Attendance"/>
      <sheetName val="23A-TWR A"/>
      <sheetName val="23A-TWR B"/>
      <sheetName val="23A-PDM1"/>
      <sheetName val="23A-PYRUS1"/>
      <sheetName val="23B-CDN1"/>
      <sheetName val="23B-CMR1"/>
      <sheetName val="23C-AK1"/>
      <sheetName val="23C-AK2"/>
      <sheetName val="Rekap Cargo"/>
      <sheetName val="Persp Cargo"/>
      <sheetName val="rekap c"/>
      <sheetName val="OH"/>
      <sheetName val="BOQ STRUKTUR"/>
      <sheetName val="BOQ ARSEKTUR"/>
      <sheetName val="Lit"/>
      <sheetName val="F_bid"/>
      <sheetName val="INSTALASI PIPA"/>
      <sheetName val="HARDWARE"/>
      <sheetName val="Rekap Persiapan"/>
      <sheetName val="Rekap Struktur"/>
      <sheetName val="pek-STR"/>
      <sheetName val="Rekap Arsitektur"/>
      <sheetName val="pek-ARS"/>
      <sheetName val="Analisa ARS (2)"/>
      <sheetName val="pek-MEK"/>
      <sheetName val="pek-ELK"/>
      <sheetName val="pek-Saluran"/>
      <sheetName val="Rekap DBAK"/>
      <sheetName val="ME UMY"/>
      <sheetName val="Septictank"/>
      <sheetName val="speck"/>
      <sheetName val="Geotek"/>
      <sheetName val="Gal"/>
      <sheetName val="Kls B"/>
      <sheetName val="Kls c"/>
      <sheetName val="Parkir"/>
      <sheetName val="Parkir (2)"/>
      <sheetName val="JARAK"/>
      <sheetName val="NP-8.1"/>
      <sheetName val="NP-9"/>
      <sheetName val="NP-8"/>
      <sheetName val="NP-7(1)"/>
      <sheetName val="NP-(7)2"/>
      <sheetName val="NP-7(3)"/>
      <sheetName val="NP-7"/>
      <sheetName val="Cerucuk"/>
      <sheetName val="NP-6"/>
      <sheetName val="NP-5"/>
      <sheetName val="NP-4"/>
      <sheetName val="NP-3"/>
      <sheetName val="NP-2"/>
      <sheetName val="NP_1"/>
      <sheetName val="AAAAAAA"/>
      <sheetName val="Inves alat"/>
      <sheetName val="RAP_jln"/>
      <sheetName val="analisa_alat"/>
      <sheetName val="RAB_DURI"/>
      <sheetName val="RAB.BATANG"/>
      <sheetName val="utama batang"/>
      <sheetName val="Analisa-duri"/>
      <sheetName val="Analisa-batang"/>
      <sheetName val="sub-duri"/>
      <sheetName val="Schedule-duri"/>
      <sheetName val="Kerb"/>
      <sheetName val="Marka"/>
      <sheetName val="Prime Coat"/>
      <sheetName val="Tack Coat"/>
      <sheetName val="AC-WC"/>
      <sheetName val="AC-BC"/>
      <sheetName val="Kls A"/>
      <sheetName val="REKAP_Duri"/>
      <sheetName val="utama duri"/>
      <sheetName val="analisa DURI2"/>
      <sheetName val="antek_DURI"/>
      <sheetName val="Rekap_Batang"/>
      <sheetName val="anateknis"/>
      <sheetName val="Schedule-batang"/>
      <sheetName val="GRAND REKAPITULASI"/>
      <sheetName val="RAB_G.ADM. PUSAT_(1)"/>
      <sheetName val="RAB_R. KELAS_(2.A)"/>
      <sheetName val="RAB_R. KELAS_(2.B)"/>
      <sheetName val="RAB_LABORAT_(3)"/>
      <sheetName val="RAB_PERPUST_(4)"/>
      <sheetName val="RAB_AULA UTAMA_(5)"/>
      <sheetName val="RAB_AULA SEDANG_(6)"/>
      <sheetName val="RAB_ASRAMA_(7.A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panjang kabel site feeder"/>
      <sheetName val="panjang kabel telp."/>
      <sheetName val="BHN_PENRNGN &amp; KTK-KNTK"/>
      <sheetName val="PENRNGN &amp; KTK-KNTK"/>
      <sheetName val="BAHAN CCTV"/>
      <sheetName val="CCTV &amp; SECURITY"/>
      <sheetName val="BAHAN TELEPON"/>
      <sheetName val="BAHAN PANEL "/>
      <sheetName val="BAHAN PANEL TM"/>
      <sheetName val="Bahan Pro Kebakaran"/>
      <sheetName val="Pro Kebakaran"/>
      <sheetName val="BAHAN KBL. LSTRK TM"/>
      <sheetName val="CATU DAYA"/>
      <sheetName val="BAHAN TATA SUARA"/>
      <sheetName val="TATA SUARA"/>
      <sheetName val="BAHAN KBL LSTRK TR"/>
      <sheetName val="BAHAN PROTEKSI PETIR"/>
      <sheetName val="PROTEKSI PETIR"/>
      <sheetName val="panjang kabel site feeder "/>
      <sheetName val="panjang kabel telp. "/>
      <sheetName val="RAB-PERS"/>
      <sheetName val="ANL-PERS"/>
      <sheetName val="HSBU"/>
      <sheetName val="ANL-STR"/>
      <sheetName val="NEW CONTRACT &gt;500M"/>
      <sheetName val="NEW CONTRACT UP TO 500M"/>
      <sheetName val="AMENDMENT &gt;10%"/>
      <sheetName val="AMENDMENT UP TO 10%"/>
      <sheetName val="DETAIL GOODS &gt; 500M"/>
      <sheetName val="DETAIL GOODS UP TO 500M"/>
      <sheetName val="ONGOING CONTRACT"/>
      <sheetName val="EV"/>
      <sheetName val="NewP50"/>
      <sheetName val="NewP90 Rev"/>
      <sheetName val="NewP10"/>
      <sheetName val="Reality check"/>
      <sheetName val="delta newp90-newp50"/>
      <sheetName val="OrigP10"/>
      <sheetName val="OrigP90"/>
      <sheetName val="Delta orig P50-P90"/>
      <sheetName val="OrigP50"/>
      <sheetName val="NewP90"/>
      <sheetName val="Risk (2)"/>
      <sheetName val="alat,bahan,sub_str_RAP"/>
      <sheetName val="Dasar_RAP"/>
      <sheetName val="ANALISA RAP"/>
      <sheetName val="BQ_RAB"/>
      <sheetName val="daf. bh, upah_RAB"/>
      <sheetName val="4-Basic Price (2)"/>
      <sheetName val="Perhitungan Mobilisasi Alat"/>
      <sheetName val="5-ALAT (2)"/>
      <sheetName val="Agg Halus &amp; Kasar"/>
      <sheetName val="Agg A"/>
      <sheetName val="Agg B"/>
      <sheetName val="Agg C"/>
      <sheetName val="4-Analisa Quarry"/>
      <sheetName val="D6 ASBT"/>
      <sheetName val="D7(1)"/>
      <sheetName val="D7(2)"/>
      <sheetName val="D7(3)"/>
      <sheetName val="D7(4)"/>
      <sheetName val="D8(1)"/>
      <sheetName val="D8(2)"/>
      <sheetName val="D10 LS-Rutin"/>
      <sheetName val="D10 Kuantitas"/>
      <sheetName val="D10 Analisa HSP"/>
      <sheetName val="D2 pracetak V (11)"/>
      <sheetName val="OVERALL-REV"/>
      <sheetName val="Piling Works"/>
      <sheetName val="EXWORK LEVEL 2 CIVIL STRUCTU "/>
      <sheetName val="EXWORK LEVEL-3 CIVIL STRUCTURAL"/>
      <sheetName val="BA EXWORK JUNE 12 (CONTR)"/>
      <sheetName val="ERECT LEVEL-2 CIVIL STRUCTU (2)"/>
      <sheetName val="ERECT LEVEL-3 CIVIL STRUCTURAL"/>
      <sheetName val="BA EREC JUNE 12 (CONTR)"/>
      <sheetName val="BA Ex-work Pilling Works"/>
      <sheetName val="BA Erection Pilling Works"/>
      <sheetName val="TANYA MMR"/>
      <sheetName val="Cover Paket"/>
      <sheetName val="KABEL TM"/>
      <sheetName val="KABEL TR"/>
      <sheetName val="2.4."/>
      <sheetName val="BQ-E20-02(Rp)"/>
      <sheetName val="Cover PJT"/>
      <sheetName val="Rkmnds Compound (2)"/>
      <sheetName val="Sisa Keb Juli"/>
      <sheetName val="2008 (BARU)"/>
      <sheetName val="2008 PT. SIP"/>
      <sheetName val="RUNGUN"/>
      <sheetName val="Data Rini"/>
      <sheetName val="Per Afd simpan dikebun saja"/>
      <sheetName val="Per Afd simpan dikebun saja (2)"/>
      <sheetName val="N Lead (1)"/>
      <sheetName val="A.4"/>
      <sheetName val="F2.1"/>
      <sheetName val="J1.2"/>
      <sheetName val="K3-CIP"/>
      <sheetName val="L1-PDE Oct.05"/>
      <sheetName val="PDE Summ-MS1"/>
      <sheetName val="PDE Summ-MS2"/>
      <sheetName val="PDE Summ-MS3"/>
      <sheetName val="L1.7"/>
      <sheetName val="L1.8"/>
      <sheetName val="P1.1"/>
      <sheetName val="Accr Int SCB"/>
      <sheetName val="Accr Int BNP"/>
      <sheetName val="P2.1"/>
      <sheetName val="PDE-MS1"/>
      <sheetName val="PDE-MS2"/>
      <sheetName val="PDE Sum-MS3"/>
      <sheetName val="TOC Purchase"/>
      <sheetName val="P2-BNP"/>
      <sheetName val="P2-SCB"/>
      <sheetName val="P2-TSS"/>
      <sheetName val="JURNAL1205"/>
      <sheetName val="wssales"/>
      <sheetName val="agingAP"/>
      <sheetName val="cap yR_current month _auc_1"/>
      <sheetName val="cap yr _ current yr ms1"/>
      <sheetName val="text"/>
      <sheetName val="F8.TOC"/>
      <sheetName val="G2.2"/>
      <sheetName val="K2.1"/>
      <sheetName val="L1.PDE"/>
      <sheetName val="L1.4"/>
      <sheetName val="L1.5"/>
      <sheetName val="L1.6"/>
      <sheetName val="L1.9 TOC"/>
      <sheetName val="L1.10"/>
      <sheetName val="P2.1-BNP"/>
      <sheetName val="P2.2-SCB"/>
      <sheetName val="P2.3-TSS"/>
      <sheetName val="U3.2.1"/>
      <sheetName val="P_UJ_2005"/>
      <sheetName val="unused"/>
      <sheetName val="Point Discussion"/>
      <sheetName val="CF."/>
      <sheetName val="N-6"/>
      <sheetName val="Inventories (2)"/>
      <sheetName val="PSP F"/>
      <sheetName val="F100 (FG)"/>
      <sheetName val="F110 (NRV Test)"/>
      <sheetName val="F200 (Raw materials)"/>
      <sheetName val="F300 (Molten Glass)"/>
      <sheetName val="F400 (Semi finished product)"/>
      <sheetName val="F500 (Manufacturing supplies)"/>
      <sheetName val="F600 (Refractory material)"/>
      <sheetName val="F700 (Repair parts)"/>
      <sheetName val="F800 (Slow moving analysis)"/>
      <sheetName val="F810 (Slow moving summary)"/>
      <sheetName val="F002 (Rollforward SO)"/>
      <sheetName val="NAP"/>
      <sheetName val="Trial Ledger"/>
      <sheetName val="B.1.1.1"/>
      <sheetName val="Rincian Penyusutan"/>
      <sheetName val="C3-RM Detail"/>
      <sheetName val="C3-FG Detail"/>
      <sheetName val="packcont PRO"/>
      <sheetName val="PL pro"/>
      <sheetName val="INVpro"/>
      <sheetName val="PACK LST"/>
      <sheetName val="INVOUT"/>
      <sheetName val="shipadv"/>
      <sheetName val="PACDE"/>
      <sheetName val="MSM03"/>
      <sheetName val="NewP3S"/>
      <sheetName val="Rubah"/>
      <sheetName val="pacdec"/>
      <sheetName val="P3S"/>
      <sheetName val="Check List"/>
      <sheetName val="O5.1 PPN"/>
      <sheetName val="Detail PPh 22"/>
      <sheetName val="O-5-1"/>
      <sheetName val="SFKLN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Sub10"/>
      <sheetName val="RawData"/>
      <sheetName val="RawHeader"/>
      <sheetName val="O Lead KANG"/>
      <sheetName val="O1. Recon VAT"/>
      <sheetName val="O1. VAT REKAP"/>
      <sheetName val="O1.1 VAT REKAP SPM-GL"/>
      <sheetName val="O1.2vat out SPM"/>
      <sheetName val="VAT OUT GL"/>
      <sheetName val="NRetur SPM"/>
      <sheetName val="SPM x GL"/>
      <sheetName val="15A"/>
      <sheetName val="16A"/>
      <sheetName val="25A"/>
      <sheetName val="25B"/>
      <sheetName val="38A"/>
      <sheetName val="Add 43"/>
      <sheetName val="WTB BS CP 08"/>
      <sheetName val="WTB PL CP 08"/>
      <sheetName val="WTB BS SEED 08"/>
      <sheetName val="WTB PL SEED 08"/>
      <sheetName val="WTB BS Combined 08"/>
      <sheetName val="WTB PL Combined 08"/>
      <sheetName val="SRM-Supporting"/>
      <sheetName val="CF2008"/>
      <sheetName val="Def Tax 08"/>
      <sheetName val="Recons Comm VS Fiscal"/>
      <sheetName val="OPEX Breakdown"/>
      <sheetName val="AJE-RJE 08"/>
      <sheetName val="CAJE 08"/>
      <sheetName val="Provision &amp; Accrual 08"/>
      <sheetName val="Provision &amp; Accrual 07"/>
      <sheetName val="Provision &amp; Accrual Details"/>
      <sheetName val="Foreign Cry"/>
      <sheetName val="SRM-PL"/>
      <sheetName val="SRM - CIT"/>
      <sheetName val="Detail_FA"/>
      <sheetName val="TSB"/>
      <sheetName val="P&amp;L $"/>
      <sheetName val="OP $"/>
      <sheetName val="POM"/>
      <sheetName val="POM $"/>
      <sheetName val="Prov-Inv"/>
      <sheetName val="Prov-Inv (USD)"/>
      <sheetName val="Sales Schedule"/>
      <sheetName val="Sales Detail"/>
      <sheetName val="Interest cpt"/>
      <sheetName val="Rub"/>
      <sheetName val="Rub $"/>
      <sheetName val="3b"/>
      <sheetName val="3c"/>
      <sheetName val="FERTILIZER"/>
      <sheetName val="detail LC"/>
      <sheetName val="10a"/>
      <sheetName val="10b"/>
      <sheetName val="FA Rp"/>
      <sheetName val="11Rp"/>
      <sheetName val="FA$"/>
      <sheetName val="11$"/>
      <sheetName val="13a"/>
      <sheetName val="13b"/>
      <sheetName val="13c"/>
      <sheetName val="Staff  Cost"/>
      <sheetName val="MILANO"/>
      <sheetName val="DefTax 2008"/>
      <sheetName val="O-5 DefTax 2008"/>
      <sheetName val="DEFTAX per EY TTSB"/>
      <sheetName val="DEF TAX CLIENT TTSB"/>
      <sheetName val="DEFTAX per EY PI"/>
      <sheetName val="DEF TAX CLIENT PI"/>
      <sheetName val="Labor cost PI"/>
      <sheetName val="DEF TAX per EY PP"/>
      <sheetName val="DEF TAX CLIENT PP"/>
      <sheetName val="Labor Cost PP"/>
      <sheetName val="DEF TAX CLIENT DLP EY"/>
      <sheetName val="DEF TAX CLIENT DLP"/>
      <sheetName val="labor Cost DLP"/>
      <sheetName val="jan'10"/>
      <sheetName val="vra log tsb jan'10"/>
      <sheetName val="feb'10"/>
      <sheetName val="vra log tsb feb'10"/>
      <sheetName val="mar'10"/>
      <sheetName val="vra log tsb mar'10"/>
      <sheetName val="apr'10"/>
      <sheetName val="vra log tsb apr'10"/>
      <sheetName val="mei'10"/>
      <sheetName val="vra log tsb mei'10"/>
      <sheetName val="jun'10"/>
      <sheetName val="vra log tsb jun'10"/>
      <sheetName val="A5 "/>
      <sheetName val="A3 WTB IDR"/>
      <sheetName val="Comparison MA VS CP (Audited)"/>
      <sheetName val="BS IDR"/>
      <sheetName val="PL IDR"/>
      <sheetName val="Detail Report"/>
      <sheetName val="WTB CP$ PL"/>
      <sheetName val="WTB CP$ BS"/>
      <sheetName val="A3 WTB $"/>
      <sheetName val="O_2_1 Report presentation"/>
      <sheetName val="Def tax 2009 (EY)"/>
      <sheetName val="LABA (RUGI) FISKAL"/>
      <sheetName val="ENTERTAIN"/>
      <sheetName val="E.1 AI-RO Summary"/>
      <sheetName val="E.1.1 AI-RO Advance Project"/>
      <sheetName val="E.2 AI-CK Summary"/>
      <sheetName val="E.3 AI-EK Summary"/>
      <sheetName val="Pre-tax"/>
      <sheetName val="Harvest-MAT"/>
      <sheetName val="Research-MAT"/>
      <sheetName val="Fertilizer-MAT"/>
      <sheetName val="Reconciliation of tax"/>
      <sheetName val="Cashflow statement"/>
      <sheetName val="RateUSD"/>
      <sheetName val="Trial Balance Attc.1"/>
      <sheetName val="long service entitlements"/>
      <sheetName val="STAFF RELATED EXP"/>
      <sheetName val="sales|general|FFB"/>
      <sheetName val="SALES FFB"/>
      <sheetName val="SALES CPO"/>
      <sheetName val="SALES PK"/>
      <sheetName val="Sales variance analysis"/>
      <sheetName val="Business Mapping"/>
      <sheetName val="Hectare Statement"/>
      <sheetName val="Nursery Attc.2"/>
      <sheetName val="Land clearing exp.Attc3"/>
      <sheetName val="General Charges EXP.attch4"/>
      <sheetName val="FA Register Attc.5 "/>
      <sheetName val="Advances.attch6"/>
      <sheetName val="Inventories.Attch7"/>
      <sheetName val="contract&amp;agreement.attch8"/>
      <sheetName val="Prepayments.attch9"/>
      <sheetName val="Disposal.attch10"/>
      <sheetName val="Account payable.attch11"/>
      <sheetName val="Accruals.attch12"/>
      <sheetName val="Pph21.attch13"/>
      <sheetName val="Summary of PPH 21"/>
      <sheetName val="VATreconciliation.attch14 "/>
      <sheetName val="Monthly VAT report"/>
      <sheetName val="Gratuity-Ikhtisar"/>
      <sheetName val="Gratuity-Act Calc"/>
      <sheetName val="Gratuity-Formula"/>
      <sheetName val="Interest- BANK loan"/>
      <sheetName val="Rabo interest comp."/>
      <sheetName val="CDC-INTEREST"/>
      <sheetName val="INTEREST OTHR LOAN"/>
      <sheetName val="Interest- BANK ONLY"/>
      <sheetName val="iNTEREST ALLOCATION"/>
      <sheetName val="Format of interest calculat"/>
      <sheetName val="Trial Balance Attc_1"/>
      <sheetName val="Sector"/>
      <sheetName val="Executive Summary (2)"/>
      <sheetName val="Ex Summary Contd  (2)"/>
      <sheetName val="Ex Summary Contd "/>
      <sheetName val="Approvals"/>
      <sheetName val="Approvals &amp; Land Compensation"/>
      <sheetName val="Hect Statement ABSK"/>
      <sheetName val="Nursery Contd"/>
      <sheetName val="Nursery Cond."/>
      <sheetName val="Immature Upkeep"/>
      <sheetName val="Land Clearing"/>
      <sheetName val="Block Survey &amp; Roads"/>
      <sheetName val="Fertilizer MT"/>
      <sheetName val="Immature Maintenence 1"/>
      <sheetName val="Immature Mantenence 2"/>
      <sheetName val="Immature Maintenence 3"/>
      <sheetName val="Immature Maintenence 4"/>
      <sheetName val="Rain Fall &amp; HR Info"/>
      <sheetName val="Visitors &amp; Expatriates"/>
      <sheetName val="GL-AGTS"/>
      <sheetName val="TB-SPT"/>
      <sheetName val="TB-MLY"/>
      <sheetName val="O001 (Taxation)"/>
      <sheetName val="O100 (PPh 21)"/>
      <sheetName val="(39)8.1A"/>
      <sheetName val="Gab-edit new"/>
      <sheetName val="Gabungan-edit"/>
      <sheetName val="Bank (3)"/>
      <sheetName val="REK.BANK (2)"/>
      <sheetName val="per unit bank"/>
      <sheetName val="b&amp;p"/>
      <sheetName val="odb"/>
      <sheetName val="per unit kas"/>
      <sheetName val="A-HC"/>
      <sheetName val="A-OC"/>
      <sheetName val="Bahan-OC (2)"/>
      <sheetName val="Bahan-OC"/>
      <sheetName val="Bahan-HC (2)"/>
      <sheetName val="Bahan-HC"/>
      <sheetName val="penyisihan pius"/>
      <sheetName val="Bahan Baku"/>
      <sheetName val="BP-(Inter,Access,Packing)"/>
      <sheetName val="Finish good"/>
      <sheetName val="K.4CASHINBANK"/>
      <sheetName val="K.5CASHONHAND"/>
      <sheetName val="K.6DEPOSIT"/>
      <sheetName val="HJULS"/>
      <sheetName val="Anls04"/>
      <sheetName val="Anls05"/>
      <sheetName val="PJ"/>
      <sheetName val="PW"/>
      <sheetName val="HPP++"/>
      <sheetName val="412src2"/>
      <sheetName val="SELISIHKURSSOURCE"/>
      <sheetName val="Revised Estimate Civil"/>
      <sheetName val="Pool Estimate"/>
      <sheetName val="Load Bearing fdn"/>
      <sheetName val="Batu Bukit Retaining Wall "/>
      <sheetName val="Landscape Estimate"/>
      <sheetName val="Out door shower"/>
      <sheetName val="6 x 4 Pool"/>
      <sheetName val="Rest"/>
      <sheetName val="Pathway &amp; Parking"/>
      <sheetName val="Sanitary"/>
      <sheetName val="Kitchen App."/>
      <sheetName val="ANLS_BESI_KNTR. GUB.REV.1"/>
      <sheetName val="RAB_KNTR. GUBERNUR (A.)"/>
      <sheetName val="ANLS_BESI_KNTR. DINAS ( B1 )"/>
      <sheetName val="RAB_KNTR. DINAS. (B1)"/>
      <sheetName val="RAB_KNTR. DINAS. (B2) "/>
      <sheetName val="ANLS_BESI_KNTR. DINAS ( B2)"/>
      <sheetName val="RAB_AULA (C.)"/>
      <sheetName val="RAB_KANTIN (D.)"/>
      <sheetName val="RAB_GARASI (E.)"/>
      <sheetName val="RAB_RUANG M &amp; E (F.)"/>
      <sheetName val="DAFTAR HARGA.STR"/>
      <sheetName val="DFT. HRG. UPAH &amp; MATERIAL.STR"/>
      <sheetName val="ANLS_BETON KTN &amp; AULA"/>
      <sheetName val="ANLS_BETON RUANG M&amp;E"/>
      <sheetName val="Fire "/>
      <sheetName val="BAS 2"/>
      <sheetName val="anl pp"/>
      <sheetName val="inst"/>
      <sheetName val="anl duct"/>
      <sheetName val="anl lst"/>
      <sheetName val=" (COVERt)"/>
      <sheetName val="Persiapan(OK)"/>
      <sheetName val="B.Kantor&amp;Auditorium(A1&amp;A2) (ok)"/>
      <sheetName val="Bang.Production&amp;Gudang(B) (ok) "/>
      <sheetName val="B.Utility(OK)"/>
      <sheetName val="Jembtan utilitas (Ok)"/>
      <sheetName val="Gardu PLN (ok)"/>
      <sheetName val="R.T.Sopir &amp; Adm (Ok)"/>
      <sheetName val="Pagar,jln,sal ( Ok )"/>
      <sheetName val="Mekanikal (Plambing)"/>
      <sheetName val="Pek.Terassering"/>
      <sheetName val="FUTURE (PROVSUM)"/>
      <sheetName val="Rekapitulasi Paket-1"/>
      <sheetName val="AN.BETON"/>
      <sheetName val="ANALISA STR &amp; ARS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SEC"/>
      <sheetName val="Lionel"/>
      <sheetName val="James"/>
      <sheetName val="SM Bgn"/>
      <sheetName val="SM Tnh"/>
      <sheetName val="RESUME  (2)"/>
      <sheetName val="Nil_angka1"/>
      <sheetName val="anal 1"/>
      <sheetName val="Periode"/>
      <sheetName val="Now"/>
      <sheetName val="Old vs New"/>
      <sheetName val="D-Krd"/>
      <sheetName val="Pend Dit"/>
      <sheetName val="Krd Deb"/>
      <sheetName val="PvtValDeb"/>
      <sheetName val="PvtDeb"/>
      <sheetName val="PvtvalMU"/>
      <sheetName val="PivotMU"/>
      <sheetName val="Korporasi"/>
      <sheetName val="Komersial"/>
      <sheetName val="Lancar"/>
      <sheetName val="DPK"/>
      <sheetName val="Diragukan"/>
      <sheetName val="Macet"/>
      <sheetName val="Konsumen"/>
      <sheetName val="Pvt Kol"/>
      <sheetName val="Rkp1-5"/>
      <sheetName val="cek blokir"/>
      <sheetName val="__4DEB_KREDIT__FINISH_"/>
      <sheetName val="Kom1"/>
      <sheetName val="Kom2"/>
      <sheetName val="Kom3"/>
      <sheetName val="Kom5"/>
      <sheetName val="Kor1"/>
      <sheetName val="Kor2"/>
      <sheetName val="Kor3"/>
      <sheetName val="Q1.4 Memo"/>
      <sheetName val="Q1.4 Detail of BA"/>
      <sheetName val="Q1.4.1 Nature of BA Transaction"/>
      <sheetName val="17.7-Direct Offshore Loan"/>
      <sheetName val="pak"/>
      <sheetName val="Projectcost"/>
      <sheetName val="npv"/>
      <sheetName val="P.Jimmy"/>
      <sheetName val="P.Jimmy (2)"/>
      <sheetName val="tumbuh"/>
      <sheetName val="AMORTISASI SOL"/>
      <sheetName val="atmrnew"/>
      <sheetName val="kk.bank"/>
      <sheetName val="Kesbank"/>
      <sheetName val="Kesbank-NEW"/>
      <sheetName val="CAMEL"/>
      <sheetName val="JASINDO"/>
      <sheetName val="BOSOWA"/>
      <sheetName val="ULTRA JAYA"/>
      <sheetName val="ANUGRAH PRIMA"/>
      <sheetName val="KID"/>
      <sheetName val="C-4 Index"/>
      <sheetName val="C-4 (LEAD)"/>
      <sheetName val="C-4 LEAD"/>
      <sheetName val="C-4.4"/>
      <sheetName val="C-4.3"/>
      <sheetName val="C-4.5"/>
      <sheetName val="C-4 Syariah"/>
      <sheetName val="E-2.2 int receivable"/>
      <sheetName val="U-  1.5.2"/>
      <sheetName val="U-1.5.2"/>
      <sheetName val="U-1.5.2.1"/>
      <sheetName val="U-1.5.2.2"/>
      <sheetName val="REPORT (2)"/>
      <sheetName val="OutputDoc"/>
      <sheetName val="URC Code"/>
      <sheetName val="GL Correction"/>
      <sheetName val="C5.BO-Lead"/>
      <sheetName val="MS ARPs"/>
      <sheetName val="C5.1 Detai - SB"/>
      <sheetName val="C5.1.1BO-TRADING"/>
      <sheetName val="C5.1.2 BO-AFS"/>
      <sheetName val="C5.1.3 BO-HTM"/>
      <sheetName val="C5.2.1 BMEL"/>
      <sheetName val="C5.2.2 HK"/>
      <sheetName val="C5.2.3 CIB"/>
      <sheetName val="C5.2.4 SPORE"/>
      <sheetName val="C5.2a Summary"/>
      <sheetName val="PPAP-Rating"/>
      <sheetName val="Market Price"/>
      <sheetName val="Dec-Audited"/>
      <sheetName val="Sep-Audited"/>
      <sheetName val="Dec-Un"/>
      <sheetName val="Sep-Un"/>
      <sheetName val="KasInTransit-Dec07-Sep07-AllCur"/>
      <sheetName val="KasInTransit-Dec07-Dec06-AllCur"/>
      <sheetName val="Pivot-KasInTransit-Dec07"/>
      <sheetName val="Pivot-KasInTransit-Sep07"/>
      <sheetName val="Pivot-KasInTransit-Dec06"/>
      <sheetName val="KasInTransit-Dec07"/>
      <sheetName val="KasInTransit-Sep07"/>
      <sheetName val="KasInTransit-Dec06"/>
      <sheetName val="KasUtama-Dec07-Sep07-AllCur"/>
      <sheetName val="KasUtama-Dec07-Dec06-AllCurr"/>
      <sheetName val="KasUtama-Dec07-Dec06-PerCurr"/>
      <sheetName val="Pivot-KasUtama-Dec07"/>
      <sheetName val="KasUtama-Dec07"/>
      <sheetName val="Pivot-KasUtama-Dec06"/>
      <sheetName val="KasUtama-Dec06"/>
      <sheetName val="Pivot-KasUtama-Sep07"/>
      <sheetName val="KasUtama-Sep07"/>
      <sheetName val="Selisih ATM"/>
      <sheetName val="7.1-derivatives details"/>
      <sheetName val="Est. loss on Cont &amp; Comm"/>
      <sheetName val="HOASS"/>
      <sheetName val="HOLIAB"/>
      <sheetName val="J1.1.1"/>
      <sheetName val="J1.2.1"/>
      <sheetName val="J1.2.2"/>
      <sheetName val="J1.3"/>
      <sheetName val="J1.3.1"/>
      <sheetName val="J1.3.2"/>
      <sheetName val="J1.3.3"/>
      <sheetName val="J1.4"/>
      <sheetName val="J1.4.1"/>
      <sheetName val="J1.5"/>
      <sheetName val="J1.5.1"/>
      <sheetName val="J1.5.2"/>
      <sheetName val="J1.6"/>
      <sheetName val="J1.6.1"/>
      <sheetName val="J1.6.2"/>
      <sheetName val="J1.7"/>
      <sheetName val="J1.7.1"/>
      <sheetName val="J1.7.2"/>
      <sheetName val="J1.8"/>
      <sheetName val="J1.8.1"/>
      <sheetName val="J1.8.2"/>
      <sheetName val="J1.9"/>
      <sheetName val="J1.9.1"/>
      <sheetName val="J1.9.2"/>
      <sheetName val="J1.10"/>
      <sheetName val="J1.10.1"/>
      <sheetName val="J1.10.2"/>
      <sheetName val="J1.11"/>
      <sheetName val="Koreksi RAK"/>
      <sheetName val="Koreksi Audit"/>
      <sheetName val="NAktiva"/>
      <sheetName val="NPasiva"/>
      <sheetName val="Aktap"/>
      <sheetName val="Print-Rin.Psv"/>
      <sheetName val="Print-Rin.Akt"/>
      <sheetName val="input-Rin.Psv"/>
      <sheetName val="input-Rin.Akt"/>
      <sheetName val="input-So.AKT"/>
      <sheetName val="Input-So.PAS"/>
      <sheetName val="Input-RAK Debet"/>
      <sheetName val="Input-RAK Kredit"/>
      <sheetName val="input-Adm"/>
      <sheetName val="Data-Syariah"/>
      <sheetName val="Notes Audit Report"/>
      <sheetName val="Detail Overhead"/>
      <sheetName val="Details Penjualan"/>
      <sheetName val="Details G&amp;A"/>
      <sheetName val="Details Other Income-expense"/>
      <sheetName val="Lap KomKon - Publikasi"/>
      <sheetName val="PRJE_OK"/>
      <sheetName val="CAJE_OK"/>
      <sheetName val="D-4 Reporting_OK"/>
      <sheetName val="D-4 Analysis_OK"/>
      <sheetName val="D-4 (Top Schedule)_OK"/>
      <sheetName val="D-4.1"/>
      <sheetName val="D-4.1-Details"/>
      <sheetName val="D-4.2"/>
      <sheetName val="D-4.2-Details"/>
      <sheetName val="D-4.3"/>
      <sheetName val="D-4.3-Details"/>
      <sheetName val="D-4.4"/>
      <sheetName val="D-4.4-Details"/>
      <sheetName val="D-4.5"/>
      <sheetName val="D-5 Analysis_OK"/>
      <sheetName val="D-5 Reporting_OK"/>
      <sheetName val="PAJE_OK"/>
      <sheetName val="D-5 (Top Schedule)_OK"/>
      <sheetName val="D-5.1"/>
      <sheetName val="D-5.1-Details"/>
      <sheetName val="D-5.2"/>
      <sheetName val="D-5.2-Details"/>
      <sheetName val="D-5.3"/>
      <sheetName val="D-5.3-Details"/>
      <sheetName val="D-5.4"/>
      <sheetName val="D-5.4-Details"/>
      <sheetName val="D-5.5_OK"/>
      <sheetName val="ComCon For Reporting_OK"/>
      <sheetName val="Estimated ComCon"/>
      <sheetName val="Summary PAJE-PRJE"/>
      <sheetName val="Y (Top Schedule)_OK"/>
      <sheetName val="PAJE-PRJE OFF"/>
      <sheetName val="S-1.4 Analysis_OK"/>
      <sheetName val="S-1.4 Reporting_OK"/>
      <sheetName val="S-1.4(Top Schedule)_OK"/>
      <sheetName val="S-1.4.1_OK"/>
      <sheetName val="S-1.4.2_OK"/>
      <sheetName val="S-1.4.3_OK"/>
      <sheetName val="S-1.4.4_OK"/>
      <sheetName val="S-1.4.5_OK"/>
      <sheetName val="S-1.4.6_OK"/>
      <sheetName val="S-1.4.7_OK"/>
      <sheetName val="S-1.4.8_OK"/>
      <sheetName val="S-1.4.9_OK"/>
      <sheetName val="S-2.5 Analysis_OK"/>
      <sheetName val="S-2.5 (Top Schedule)_ok"/>
      <sheetName val="S-2.5 Reporting"/>
      <sheetName val="S-2.5.1_OK"/>
      <sheetName val="S-2.5.2_OK"/>
      <sheetName val="S-2.5.3_OK"/>
      <sheetName val="S-2.5.4_OK"/>
      <sheetName val="S-2.5.5_OK"/>
      <sheetName val="S-2.5.6_OK"/>
      <sheetName val="S-2.5.7"/>
      <sheetName val="Rating"/>
      <sheetName val="Significant Branch"/>
      <sheetName val="ATMR_OK"/>
      <sheetName val="ATMR-Rinci LC_OK"/>
      <sheetName val="Stnd By LC_OK"/>
      <sheetName val="ATMR-Rinci BG_OK"/>
      <sheetName val="Outstanding Refinancing"/>
      <sheetName val="Rainfall &amp; TK"/>
      <sheetName val="Panen &amp; Cost "/>
      <sheetName val="GC &amp; Upkeep"/>
      <sheetName val="Immature "/>
      <sheetName val="Prog. Pupuk "/>
      <sheetName val="Apl. Pupuk"/>
      <sheetName val="S.JALUR &amp; P.JALUR "/>
      <sheetName val="S.PRNG &amp; P.PRG "/>
      <sheetName val="SLK SPR &amp; P.SLK "/>
      <sheetName val="RYP &amp; TRHTB "/>
      <sheetName val="CHB &amp; MOP "/>
      <sheetName val=" UREA &amp; CCM "/>
      <sheetName val="COPX  "/>
      <sheetName val="MDG &amp; TKS "/>
      <sheetName val="PRNG "/>
      <sheetName val="rekap Bahan"/>
      <sheetName val="RAB-JEMB"/>
      <sheetName val="ANAL_bab_1"/>
      <sheetName val="UM31_jln"/>
      <sheetName val="ANAL_jln"/>
      <sheetName val="UM31_jembt"/>
      <sheetName val="ANAL_jembt"/>
      <sheetName val="BOQ FORM FOR INQUIRY"/>
      <sheetName val="FORM OF PROPOSAL RFP-003"/>
      <sheetName val="合成単価作成表-BLDG"/>
      <sheetName val="뜃맟뭁돽띿맟?-BLDG"/>
      <sheetName val="合成??作成表-BLDG"/>
      <sheetName val="崌惉扨壙嶌惉?-BLDG"/>
      <sheetName val="??-BLDG"/>
      <sheetName val="?-BLDG"/>
      <sheetName val="‡¬’P‰¿ì¬?-BLDG"/>
      <sheetName val="合成単価作成表_BLDG"/>
      <sheetName val="AkumDA_AsetLainnya"/>
      <sheetName val="DA_AsetLainnya"/>
      <sheetName val="NB_AsetLainnya"/>
      <sheetName val="FullDataFA"/>
      <sheetName val="PeerolehanSD31Des09"/>
      <sheetName val="DA"/>
      <sheetName val="AkumDA"/>
      <sheetName val="NilBuk"/>
      <sheetName val="01 - Pusat"/>
      <sheetName val="ADJ01"/>
      <sheetName val="11 - Jagorawi"/>
      <sheetName val="ADJ11"/>
      <sheetName val="12 - CTC"/>
      <sheetName val="ADJ12"/>
      <sheetName val="13 - Jakarta Cikampek"/>
      <sheetName val="ADJ13"/>
      <sheetName val="14 - Jakarta Tangerang"/>
      <sheetName val="ADJ14"/>
      <sheetName val="15 - Purbaleunyi"/>
      <sheetName val="ADJ15"/>
      <sheetName val="16 - Citarum"/>
      <sheetName val="ADJ16"/>
      <sheetName val="17 - Surabaya Gempol"/>
      <sheetName val="ADJ17"/>
      <sheetName val="51 - Semarang"/>
      <sheetName val="ADJ51"/>
      <sheetName val="52 - Belmera"/>
      <sheetName val="ADJ52"/>
      <sheetName val="53 - Palikanci"/>
      <sheetName val="ADJ53"/>
      <sheetName val="TB (Unaudited) 30-06-2007"/>
      <sheetName val="TB mutasi"/>
      <sheetName val="journal client"/>
      <sheetName val="Combine 31-12-2006"/>
      <sheetName val="Combine 30-06-2007"/>
      <sheetName val="ELIMINASI(Audited)"/>
      <sheetName val="Rincian Beban"/>
      <sheetName val="Rincian Pendapatan tol"/>
      <sheetName val="Rincian Kas dan Bank"/>
      <sheetName val="JORR2 (A)"/>
      <sheetName val="JORR2 (B)"/>
      <sheetName val="JORR2 (C)"/>
      <sheetName val="Doc.contr."/>
      <sheetName val="IPO"/>
      <sheetName val="KSO"/>
      <sheetName val="Acrued AccPayable"/>
      <sheetName val="Highlight"/>
      <sheetName val="REKHUT2006"/>
      <sheetName val="Changes Des"/>
      <sheetName val="REKHUT2005"/>
      <sheetName val="BOND-SUM"/>
      <sheetName val="SLA-SUM"/>
      <sheetName val="BLS-SUM"/>
      <sheetName val="Existing"/>
      <sheetName val="Tol.Rev"/>
      <sheetName val="adj-int.cap"/>
      <sheetName val="Data Operasional"/>
      <sheetName val="JORR2 sum"/>
      <sheetName val="defre"/>
      <sheetName val="invcost"/>
      <sheetName val="Proj-B1"/>
      <sheetName val="Proj-B2"/>
      <sheetName val="C-W2S"/>
      <sheetName val="CPF (2)"/>
      <sheetName val="Sem-Bawen"/>
      <sheetName val="Gempas"/>
      <sheetName val="JORR"/>
      <sheetName val="Cipularang"/>
      <sheetName val="Bogor RR"/>
      <sheetName val="CPF"/>
      <sheetName val="Oth.Tol.Rev"/>
      <sheetName val="Empl.Exp."/>
      <sheetName val="Diferences with RKAP"/>
      <sheetName val="Simulation2"/>
      <sheetName val="Proj-1"/>
      <sheetName val="Proj-2"/>
      <sheetName val="Proj-3"/>
      <sheetName val="Proj-4"/>
      <sheetName val="Proj-5"/>
      <sheetName val="Proj-6"/>
      <sheetName val="Proj-7"/>
      <sheetName val="Proj-8"/>
      <sheetName val="Proj-9"/>
      <sheetName val="Proj-10"/>
      <sheetName val="Proj-11"/>
      <sheetName val="Proj-12"/>
      <sheetName val="Proj-13"/>
      <sheetName val="Proj-14"/>
      <sheetName val="Proj-15"/>
      <sheetName val="IR"/>
      <sheetName val="Prosedur BUA&amp;Pej"/>
      <sheetName val="Lead sheet(TS)"/>
      <sheetName val="Rincian beban operasi"/>
      <sheetName val="BPPperbln-dirlab"/>
      <sheetName val="BPPperbln-sol,lis,pack"/>
      <sheetName val="BPPperbln-pemel"/>
      <sheetName val="BPPperbln-lain"/>
      <sheetName val="Analisa Biaya"/>
      <sheetName val="Biayaperbln"/>
      <sheetName val="Proj-16"/>
      <sheetName val="Proj-17"/>
      <sheetName val="Proj-18"/>
      <sheetName val="SIMULATION"/>
      <sheetName val="MENU UTAMA"/>
      <sheetName val="REKHUT2006 (tw)"/>
      <sheetName val="month pmt"/>
      <sheetName val="MAN1"/>
      <sheetName val="MAN2"/>
      <sheetName val="MAN3"/>
      <sheetName val="LOAN-SUM"/>
      <sheetName val="BCA1"/>
      <sheetName val="BCA-2"/>
      <sheetName val="BCA-3"/>
      <sheetName val="BCA-4"/>
      <sheetName val="BCA-5"/>
      <sheetName val="BCA-6"/>
      <sheetName val="BCA-7"/>
      <sheetName val="JAB-1"/>
      <sheetName val="BU1"/>
      <sheetName val="BN1"/>
      <sheetName val="SBI 3M"/>
      <sheetName val="JORR1"/>
      <sheetName val="DKI-288"/>
      <sheetName val="DKI-294"/>
      <sheetName val="DKI-295"/>
      <sheetName val="DKI-299"/>
      <sheetName val="DKI-300"/>
      <sheetName val="DKI-302"/>
      <sheetName val="DKI-307"/>
      <sheetName val="DKI-SUM"/>
      <sheetName val="MAN-516"/>
      <sheetName val="MAN-519"/>
      <sheetName val="MAN-SUM"/>
      <sheetName val="BNI-678"/>
      <sheetName val="BTN-796"/>
      <sheetName val="AN.AC-BC"/>
      <sheetName val="MET.AC-BC"/>
      <sheetName val="AN.AC-WC"/>
      <sheetName val="MET.AC-WC"/>
      <sheetName val="AN base B"/>
      <sheetName val="MET Base B"/>
      <sheetName val="Matons"/>
      <sheetName val="ANMPUdll"/>
      <sheetName val="PemecahBatu"/>
      <sheetName val="PlantAspal"/>
      <sheetName val="Upah,Bahan,Alat"/>
      <sheetName val="MOBILI"/>
      <sheetName val="Disubkontr"/>
      <sheetName val="SchePant-bant"/>
      <sheetName val="Sche1b"/>
      <sheetName val="Sche1c"/>
      <sheetName val="MPUPnyd-Siberuk"/>
      <sheetName val="dkhSpPenyandingan-Siberuk"/>
      <sheetName val="SUMPnyd-Siberuk"/>
      <sheetName val="LampPenawaran"/>
      <sheetName val="O&amp;O"/>
      <sheetName val="metpektambah"/>
      <sheetName val="METODE3"/>
      <sheetName val="KEBALT"/>
      <sheetName val="NATURAL"/>
      <sheetName val="FINE BASE"/>
      <sheetName val="FINE ASP"/>
      <sheetName val="COARSE BASE"/>
      <sheetName val="COARSE ASPAL"/>
      <sheetName val="PASIR"/>
      <sheetName val="BT KALI"/>
      <sheetName val="GRAVEL"/>
      <sheetName val="AGREGAT"/>
      <sheetName val="CAPEX2010"/>
      <sheetName val="SPJT (juta)"/>
      <sheetName val="SPOJT (JUTA)"/>
      <sheetName val="PERIODIK (JUTA)"/>
      <sheetName val="KAPASITAS (JUTA)"/>
      <sheetName val="Usaha Lain"/>
      <sheetName val="UMUM-Lattor(juta)"/>
      <sheetName val="TIP-Lattor(juta)"/>
      <sheetName val="UMUM-GDG(juta)"/>
      <sheetName val="CAB-UMUM-GDG"/>
      <sheetName val="SPOJT"/>
      <sheetName val="SPJT"/>
      <sheetName val="Kel-INV"/>
      <sheetName val="Penyel JORR-Cipul-Others"/>
      <sheetName val="PERIODIK"/>
      <sheetName val="PST-TIP-PK"/>
      <sheetName val="CAB-TIP-PK"/>
      <sheetName val="PST-UMUM-PK"/>
      <sheetName val="CAB-UMUM-PK"/>
      <sheetName val="PST-UMUM-GDG"/>
      <sheetName val="____00"/>
      <sheetName val="Ledger Konsol 07"/>
      <sheetName val="100A1"/>
      <sheetName val="100A2"/>
      <sheetName val="110D"/>
      <sheetName val="120"/>
      <sheetName val="130"/>
      <sheetName val="130D1"/>
      <sheetName val="130D2"/>
      <sheetName val="140"/>
      <sheetName val="140D1"/>
      <sheetName val="140D2"/>
      <sheetName val="170"/>
      <sheetName val="170F1"/>
      <sheetName val="170D"/>
      <sheetName val="195"/>
      <sheetName val="200C1"/>
      <sheetName val="200E"/>
      <sheetName val="210 C1"/>
      <sheetName val="APT"/>
      <sheetName val="230F1"/>
      <sheetName val="230F2"/>
      <sheetName val="230F3"/>
      <sheetName val="230D1"/>
      <sheetName val="230D2"/>
      <sheetName val="230D3"/>
      <sheetName val="230D3.2"/>
      <sheetName val="230D4"/>
      <sheetName val="230D6"/>
      <sheetName val="300F1"/>
      <sheetName val="300F2"/>
      <sheetName val="300F3"/>
      <sheetName val="300F4"/>
      <sheetName val="300F5"/>
      <sheetName val="300F6"/>
      <sheetName val="300F7"/>
      <sheetName val="300F8"/>
      <sheetName val="300F9"/>
      <sheetName val="300F10"/>
      <sheetName val="300F11"/>
      <sheetName val="300F12"/>
      <sheetName val="300F13"/>
      <sheetName val="300F14"/>
      <sheetName val="300F15"/>
      <sheetName val="300F16"/>
      <sheetName val="300F17"/>
      <sheetName val="300F18"/>
      <sheetName val="300F19"/>
      <sheetName val="300F20"/>
      <sheetName val="310F"/>
      <sheetName val="310D1"/>
      <sheetName val="320"/>
      <sheetName val="380"/>
      <sheetName val="390"/>
      <sheetName val="390F1"/>
      <sheetName val="390F2"/>
      <sheetName val="390D1"/>
      <sheetName val="390D2"/>
      <sheetName val="390D3"/>
      <sheetName val="390D4"/>
      <sheetName val="390D5"/>
      <sheetName val="200000000"/>
      <sheetName val="300000000"/>
      <sheetName val="FY 2003"/>
      <sheetName val="Rasio-rasio"/>
      <sheetName val="Notes Consol-Aktiva Tetap"/>
      <sheetName val="Notes Consol-2003_BS"/>
      <sheetName val="Notes Consol-2003_PL"/>
      <sheetName val="rekap penj lain"/>
      <sheetName val="Rekon Pajak"/>
      <sheetName val="Elemination Entry 2003"/>
      <sheetName val="peny piutang"/>
      <sheetName val="Rincian hutang"/>
      <sheetName val="Perubahan Ekuitas"/>
      <sheetName val="Net-off hutang piutang"/>
      <sheetName val="Net-off Jaminan"/>
      <sheetName val="penj AT"/>
      <sheetName val="Follow up"/>
      <sheetName val="WBS1-Consol"/>
      <sheetName val="WBS2-Consol"/>
      <sheetName val="WPL-Consol"/>
      <sheetName val="PAJE&amp;CAJE Hotel"/>
      <sheetName val="Imbalan Kerja APM Com"/>
      <sheetName val="APM-KP"/>
      <sheetName val="FA HO 2011"/>
      <sheetName val="Jurnal Konsolidasi"/>
      <sheetName val="PAJE Induk"/>
      <sheetName val="emp.benefit exp benefit split"/>
      <sheetName val="SALES &amp;MARKETING12"/>
      <sheetName val="ADM&amp;GENERAL12"/>
      <sheetName val="OPSTATE 2012"/>
      <sheetName val="FA-Consol 2010"/>
      <sheetName val="Mutasi imbalan kerja hotel"/>
      <sheetName val="FA-Consol 2009"/>
      <sheetName val="STP"/>
      <sheetName val="Products"/>
      <sheetName val="TrfToBlend"/>
      <sheetName val="SalesReg"/>
      <sheetName val="RequisForSample"/>
      <sheetName val="ProdPivot"/>
      <sheetName val="TrfToBlendPivot"/>
      <sheetName val="ProdBlendPivot"/>
      <sheetName val="RequisForSamplePivot"/>
      <sheetName val="SalesPivot"/>
      <sheetName val="HProd"/>
      <sheetName val="HTrfToBlend"/>
      <sheetName val="HSalesReg"/>
      <sheetName val="HRequisForSample"/>
      <sheetName val="SCHE."/>
      <sheetName val="METH"/>
      <sheetName val="SDY"/>
      <sheetName val="SDY-rev"/>
      <sheetName val="Mob."/>
      <sheetName val="u_Alat"/>
      <sheetName val="LAMP_3"/>
      <sheetName val="Inti"/>
      <sheetName val="Conf."/>
      <sheetName val="ROUTINE"/>
      <sheetName val="STF (2)"/>
      <sheetName val="alt-cimangkok"/>
      <sheetName val="DLM"/>
      <sheetName val="MJR"/>
      <sheetName val="BALT"/>
      <sheetName val="LMP.1"/>
      <sheetName val="LMP.2"/>
      <sheetName val="RTN"/>
      <sheetName val="ANA (BAK)"/>
      <sheetName val="MET (BAK)"/>
      <sheetName val="CMK"/>
      <sheetName val="Perhitungan RAB"/>
      <sheetName val="Galian drainase.sal."/>
      <sheetName val="Pas.Batu Mortar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MET-BAB-04"/>
      <sheetName val="MET-BAB-06"/>
      <sheetName val="MET-BAB-06b"/>
      <sheetName val="MET-bab-08"/>
      <sheetName val="BOQ (2)"/>
      <sheetName val="ANALISA DIV-7"/>
      <sheetName val="bab 7"/>
      <sheetName val="HSD (2)"/>
      <sheetName val="sc-peralatan"/>
      <sheetName val="sc-bahan"/>
      <sheetName val="Kebutuhan bahan"/>
      <sheetName val="staf (2)"/>
      <sheetName val="peralatan utama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SCH pekerjaan (2)"/>
      <sheetName val="DAFT PERALATAN"/>
      <sheetName val="SCH MOB (2)"/>
      <sheetName val="SCH bahan (2)"/>
      <sheetName val="REK ANAK"/>
      <sheetName val="BOQ ANAK"/>
      <sheetName val="HSD UPAH"/>
      <sheetName val="HSD BAHAN"/>
      <sheetName val="HSD ALAT"/>
      <sheetName val="FINISHER"/>
      <sheetName val="SPRAYER"/>
      <sheetName val="COMPRESSOR"/>
      <sheetName val="CONCRETE MIXER"/>
      <sheetName val="CRANE"/>
      <sheetName val="DUMP TRUCK 3-4"/>
      <sheetName val="DUMP TRUCK "/>
      <sheetName val="DUMP TRUCK  TRONTON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RETRIBUSI"/>
      <sheetName val="jadwal alat"/>
      <sheetName val="SCH pekerjaan"/>
      <sheetName val="HSD BAHAN (2)"/>
      <sheetName val="HSD ALAT (2)"/>
      <sheetName val="CH Met Bab"/>
      <sheetName val="Ana M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Sub Kont"/>
      <sheetName val="Myr"/>
      <sheetName val="SCH (3)"/>
      <sheetName val="SRT PNW"/>
      <sheetName val="MO&amp;DEMOB"/>
      <sheetName val="HSD upah (2)"/>
      <sheetName val="HSD bhn + ONGKOS"/>
      <sheetName val="HSD alt"/>
      <sheetName val="MET.PEL"/>
      <sheetName val="METODE (3)"/>
      <sheetName val="PERALATAN MINIMUM"/>
      <sheetName val="subkontrakkan"/>
      <sheetName val="ANA ONGKOS ANGKUT"/>
      <sheetName val="HSD bhn (2)"/>
      <sheetName val="ANA MOB ALT"/>
      <sheetName val="ANA RUTIN 1"/>
      <sheetName val="MET ANA RUTIN"/>
      <sheetName val="HSD bhn"/>
      <sheetName val="PERSONILUTAMA"/>
      <sheetName val="METODE (4)"/>
      <sheetName val="lamp 9"/>
      <sheetName val="AC-BC-balance"/>
      <sheetName val="AC-WC-balance"/>
      <sheetName val="Pas. Batu Mortar balance"/>
      <sheetName val="Pas. Batu Mortar(FE)"/>
      <sheetName val="Bahu(L) bal"/>
      <sheetName val="SATER PUMP"/>
      <sheetName val="Mat Bab 02"/>
      <sheetName val="Sheet7 (2)"/>
      <sheetName val="D716 (1)A"/>
      <sheetName val="Harga Bahan (2)"/>
      <sheetName val="OH "/>
      <sheetName val="Mob&amp;Demob"/>
      <sheetName val="SCH (V.2)"/>
      <sheetName val="Harga dari pak salis "/>
      <sheetName val="AHDSB"/>
      <sheetName val="Pengadaan Agg Halus &amp; Kasar"/>
      <sheetName val="Ongk. Bahan"/>
      <sheetName val="Pek. Gal. Drainase"/>
      <sheetName val="urugan Biasa-Pilihan"/>
      <sheetName val="P. Bdn Jln"/>
      <sheetName val="Agg. Kls A &amp; B"/>
      <sheetName val="Prime &amp; Tck Coat"/>
      <sheetName val="AC-WC Add. 4 cm"/>
      <sheetName val="Beton &amp; Baja"/>
      <sheetName val="Pas. Batu"/>
      <sheetName val="Lain2x"/>
      <sheetName val="list upah"/>
      <sheetName val="analisa-1"/>
      <sheetName val="analisa-2"/>
      <sheetName val="MetodKerja"/>
      <sheetName val="PENG"/>
      <sheetName val="lamp.6"/>
      <sheetName val="lamp.7"/>
      <sheetName val="Lamp.8"/>
      <sheetName val="lamp.9"/>
      <sheetName val="lamp.10"/>
      <sheetName val="cv"/>
      <sheetName val="lamp.11"/>
      <sheetName val="nonABRI"/>
      <sheetName val="REK (anak)"/>
      <sheetName val="BOQ (anak)"/>
      <sheetName val="ANA(2a)"/>
      <sheetName val="ANA (2b)"/>
      <sheetName val="SCH-anak"/>
      <sheetName val="SCH -INDUK"/>
      <sheetName val="SCH (alat)"/>
      <sheetName val="SCH (orang)"/>
      <sheetName val="ANA (2b) (bak)"/>
      <sheetName val="IND (2)"/>
      <sheetName val="350 kolompi"/>
      <sheetName val="716,1"/>
      <sheetName val="gorong2"/>
      <sheetName val="galianPVC"/>
      <sheetName val="K175"/>
      <sheetName val="BETON"/>
      <sheetName val="DIV.2-6"/>
      <sheetName val="DIV.7810"/>
      <sheetName val="DIV.ALAT"/>
      <sheetName val="stone"/>
      <sheetName val="lam.pen"/>
      <sheetName val="LAM.5ALT"/>
      <sheetName val="SRT.DUK.ALAT"/>
      <sheetName val="SRT.KET"/>
      <sheetName val="STAF.INTI"/>
      <sheetName val="Rincian RABP"/>
      <sheetName val="RABP"/>
      <sheetName val="Analisa LS Mobilisasi"/>
      <sheetName val="Drainase"/>
      <sheetName val="Class B, bahu"/>
      <sheetName val="Berbutir"/>
      <sheetName val="Peng Kondisi"/>
      <sheetName val="Harian"/>
      <sheetName val="Pembayaran Utama"/>
      <sheetName val="Schedule.1"/>
      <sheetName val="Kapasitas Plant Btu"/>
      <sheetName val="Kapasitas Plan Aspal"/>
      <sheetName val="Analisa Material Onsite"/>
      <sheetName val="Daftar Subkon"/>
      <sheetName val="Type Balok"/>
      <sheetName val="Type Kolom"/>
      <sheetName val="Besi-Mnl"/>
      <sheetName val="Kolom Bulat"/>
      <sheetName val="Klm-Mnl"/>
      <sheetName val="Pelat"/>
      <sheetName val="Blk-Mnl"/>
      <sheetName val="Sekolah"/>
      <sheetName val="Student"/>
      <sheetName val="Perpust"/>
      <sheetName val="R.makan"/>
      <sheetName val="Asrama Pa"/>
      <sheetName val="Asrama Pi"/>
      <sheetName val="Guru"/>
      <sheetName val="Kep.Sek"/>
      <sheetName val="Gardu PLN"/>
      <sheetName val="R.POMPA"/>
      <sheetName val="Serb.Gun"/>
      <sheetName val="Toilet"/>
      <sheetName val="ANA-BAB-02"/>
      <sheetName val="GALI DRAIN"/>
      <sheetName val="PAS BT MORTAR"/>
      <sheetName val="GORONG2 50"/>
      <sheetName val="GORONG2  100"/>
      <sheetName val="GORONG2 20"/>
      <sheetName val="GEOTEX"/>
      <sheetName val="PIPA POROUS"/>
      <sheetName val="ANA-BAB-03"/>
      <sheetName val="GALI BIASA"/>
      <sheetName val="GALI BATU"/>
      <sheetName val="GALI STR 0-2M"/>
      <sheetName val="GALI STR 2-4M "/>
      <sheetName val="COLD MILL"/>
      <sheetName val="TNP COLD MILL"/>
      <sheetName val="TMBH ANGK"/>
      <sheetName val="TIMB"/>
      <sheetName val="TIMB PIL"/>
      <sheetName val="TIMB RAWA"/>
      <sheetName val="SUBGRADE"/>
      <sheetName val="ANA-BAB-04"/>
      <sheetName val="AGG A BAHU"/>
      <sheetName val="AGG B BAHU"/>
      <sheetName val="ANA-BAB-05"/>
      <sheetName val="ANA-BAB-06"/>
      <sheetName val="PRIME CT"/>
      <sheetName val="TACK CT"/>
      <sheetName val="ACWC"/>
      <sheetName val="ACWC MOD"/>
      <sheetName val="ACWC LEVELING"/>
      <sheetName val=" ACWC MOD LEVELING"/>
      <sheetName val="ACBC"/>
      <sheetName val="ACBC MOD"/>
      <sheetName val="ACBC LEVELING"/>
      <sheetName val="ACBC MOD LEVELING "/>
      <sheetName val="ACBASE"/>
      <sheetName val="ACBASE MOD"/>
      <sheetName val="ACBASE LEVELING"/>
      <sheetName val="ACBASE MOD LEVELING "/>
      <sheetName val="MACADAM"/>
      <sheetName val="ANA-BAB-07"/>
      <sheetName val="BETON K400"/>
      <sheetName val="BETON K350"/>
      <sheetName val="BETON K250"/>
      <sheetName val="BETON K175"/>
      <sheetName val="BETON SIKLOP K175"/>
      <sheetName val="U24 MANUAL"/>
      <sheetName val="U24 MEKANIK"/>
      <sheetName val="U32 MANUAL"/>
      <sheetName val="U32 MEKANIK"/>
      <sheetName val="D32 MANUAL"/>
      <sheetName val="D32 MEKANIK"/>
      <sheetName val="D39 MANUAL"/>
      <sheetName val="D39 MEKANIK"/>
      <sheetName val="PENY.PANC.BAJA"/>
      <sheetName val="PEM. PANC.BAJA"/>
      <sheetName val="PENY.PANC.BETON"/>
      <sheetName val="PEM. PANC.BETON"/>
      <sheetName val="TIANG BOR BETON"/>
      <sheetName val="PAS BATU MEKANIK"/>
      <sheetName val="PAS BATU MANUAL"/>
      <sheetName val="PAS BATU KOS DIISI"/>
      <sheetName val="PAS BATU KOS"/>
      <sheetName val="BRONJONG"/>
      <sheetName val="ANA-BAB-08"/>
      <sheetName val="AGG A MINOR"/>
      <sheetName val="AGG B MINOR"/>
      <sheetName val="CAMP.ASP.PANAS"/>
      <sheetName val="MACADAM MINOR"/>
      <sheetName val="GALIAN BH MINOR"/>
      <sheetName val="RAMBU JLN ENG"/>
      <sheetName val="RAMBU JLN HIGH GRADE"/>
      <sheetName val="MARKA NON THERMO "/>
      <sheetName val="MARKA THERMO"/>
      <sheetName val="PATOK PENGARAH"/>
      <sheetName val="PATOK KM"/>
      <sheetName val="REL PENGAMAN"/>
      <sheetName val="ANA LS rutin"/>
      <sheetName val="konfir"/>
      <sheetName val="MET-BAB-7.5(3)"/>
      <sheetName val="SCH backup"/>
      <sheetName val="metod"/>
      <sheetName val="alat min"/>
      <sheetName val="alat backup"/>
      <sheetName val="ALT(lamp.9)"/>
      <sheetName val="subkon(lamp.11)"/>
      <sheetName val="lamp.12a"/>
      <sheetName val="lamp.13"/>
      <sheetName val="ANA 2b"/>
      <sheetName val="Daftar Kuantitas &amp; Harga"/>
      <sheetName val="Skedul Terinci"/>
      <sheetName val="Skedul Terinci rev 1"/>
      <sheetName val="Mob Plan Material"/>
      <sheetName val="Mob Plan Material rev 1"/>
      <sheetName val="Mob Plan Alat"/>
      <sheetName val="Mob Plan Alat rev 1"/>
      <sheetName val="Skedul Mobilisasi SC n AMP"/>
      <sheetName val="Material rev 1"/>
      <sheetName val="10.1 (1)"/>
      <sheetName val="10.1 (2)"/>
      <sheetName val="10.1 (3)"/>
      <sheetName val="10.1 (4)"/>
      <sheetName val="quary"/>
      <sheetName val="Rekap Rutin"/>
      <sheetName val="Lump Sum Rutin"/>
      <sheetName val="Kap Pemecah Batu"/>
      <sheetName val="Kap AMP"/>
      <sheetName val="Harga S Dasar"/>
      <sheetName val="Material O Site"/>
      <sheetName val="Kebutuhan Alat"/>
      <sheetName val="Jadual"/>
      <sheetName val="Jadual alat"/>
      <sheetName val="Jadual bahan"/>
      <sheetName val="Mata Pem Utama"/>
      <sheetName val="Daftar Lamp"/>
      <sheetName val="Data Kontrak"/>
      <sheetName val="Data Proyek"/>
      <sheetName val="SRT (2)"/>
      <sheetName val="kon"/>
      <sheetName val="LMP.13"/>
      <sheetName val="LMP 8"/>
      <sheetName val="ana alat"/>
      <sheetName val="I Kualifikasi"/>
      <sheetName val="SRT PER"/>
      <sheetName val="Analisa Scflding"/>
      <sheetName val="Upah bhn mat"/>
      <sheetName val="Lalin"/>
      <sheetName val="BOQ "/>
      <sheetName val="ANA LS (2)"/>
      <sheetName val="sCD aLAT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  <sheetName val="baladewa"/>
      <sheetName val="kb kos"/>
      <sheetName val="SCH  (2)"/>
      <sheetName val="SCH "/>
      <sheetName val="Lamp.3"/>
      <sheetName val="Meth "/>
      <sheetName val="bab-02"/>
      <sheetName val="bab-03"/>
      <sheetName val="bab-05"/>
      <sheetName val="bab-06"/>
      <sheetName val="bab-07"/>
      <sheetName val="bab-08"/>
      <sheetName val="bab-11"/>
      <sheetName val="Peng."/>
      <sheetName val="k-300"/>
      <sheetName val="tack"/>
      <sheetName val="BAHAN Ars"/>
      <sheetName val="1.19 Lalin"/>
      <sheetName val="1.20(1) Lab"/>
      <sheetName val="1.20(3)b Mob Alat"/>
      <sheetName val="1.20(3)c Kt.Lap"/>
      <sheetName val="1.20(1)b AS Built Dw"/>
      <sheetName val="1.19(3)a Spanduk"/>
      <sheetName val="1.19(3)b SELEBARAN"/>
      <sheetName val="SK.13(1) Sewa Kend Sg"/>
      <sheetName val="2.01 Pembersihan"/>
      <sheetName val="3.01(1) Pemb. BETON"/>
      <sheetName val="3.01(8) Bongkar GRail PJU dll"/>
      <sheetName val="4.03(2) Gal B Buang"/>
      <sheetName val="4.03(1) Gal B Timbun"/>
      <sheetName val="4.05 Borrow"/>
      <sheetName val="6.09(3) Perforated"/>
      <sheetName val="6.09(4) Sub Drain"/>
      <sheetName val="7.01 Per Tanah Ds"/>
      <sheetName val="8.01(1) Lap AGR A"/>
      <sheetName val="9.08(1) Rigid D Wire t=30"/>
      <sheetName val="9.08(1)b Rigid D Wire t=27"/>
      <sheetName val="9.08(2) Rigid t=27"/>
      <sheetName val="9.08(2)b Rigid t=30"/>
      <sheetName val="9.08(2)c Rigid t=27"/>
      <sheetName val="9.09(1) LC=10"/>
      <sheetName val="12.08(1) Marka T-1"/>
      <sheetName val="12.08(2) Marka T-2"/>
      <sheetName val="11.01(1) 1 Baja Struktur"/>
      <sheetName val="11.01(2)a R Plafond"/>
      <sheetName val="11.01(2)b R Bj Slsr"/>
      <sheetName val="11.01(2)b R Bj Slsr (2)"/>
      <sheetName val="12.10(1)a CB T-A"/>
      <sheetName val="12.10(1)b CB T-B"/>
      <sheetName val="12.10(1)c MCB"/>
      <sheetName val="14.01(2)7 Cat Besi"/>
      <sheetName val="14.01(1).e Kerb"/>
      <sheetName val="14.04(1) ACP"/>
      <sheetName val="14.07.1 Atap"/>
      <sheetName val="14.09.1 Curtain WG"/>
      <sheetName val="14.05.1b Louver"/>
      <sheetName val="14.01(9).1b Gardu"/>
      <sheetName val="14.01(9).1c KSPT"/>
      <sheetName val="14.13.1c"/>
      <sheetName val="SCH.1."/>
      <sheetName val="ANA.2"/>
      <sheetName val="RTN.4a"/>
      <sheetName val="MOS.5"/>
      <sheetName val="Minat"/>
      <sheetName val="Srt.Mob"/>
      <sheetName val="Tunduk"/>
      <sheetName val="RET"/>
      <sheetName val="Jam"/>
      <sheetName val="jlh.alat"/>
      <sheetName val="SCH.alat"/>
      <sheetName val="SCH.1. (%)"/>
      <sheetName val="Untitled"/>
      <sheetName val="MC 2013"/>
      <sheetName val="PT ADHI KARYA (GT)"/>
      <sheetName val="lm7_11"/>
      <sheetName val="laru_kbn"/>
      <sheetName val="POTENSI-update (B&amp;D&amp;E&amp;F)"/>
      <sheetName val="GREEN MENGANTI REGENCY-ok"/>
      <sheetName val="SCHEDUL PENERIMAAN"/>
      <sheetName val="POTENSI-update"/>
      <sheetName val="BISNIS PLAN"/>
      <sheetName val="KAV"/>
      <sheetName val="Rinci Retensi"/>
      <sheetName val="Rinci KPR"/>
      <sheetName val="Rinci UM"/>
      <sheetName val="Rinci jual"/>
      <sheetName val="CashFlow BAG"/>
      <sheetName val="CF-BAG"/>
      <sheetName val="RAB "/>
      <sheetName val="ExcSum"/>
      <sheetName val="CashFlow-Pres"/>
      <sheetName val="Hpp3"/>
      <sheetName val="tahap 1 cluster B &amp; D"/>
      <sheetName val="BISNIS PLAN LAMA"/>
      <sheetName val="schedule thp 1"/>
      <sheetName val="stock juni 2011"/>
      <sheetName val="Potensi Jan 13"/>
      <sheetName val="hi light-lap"/>
      <sheetName val="POTENSI ter-update"/>
      <sheetName val="pembatalan"/>
      <sheetName val="batal"/>
      <sheetName val="konf."/>
      <sheetName val="Rab All"/>
      <sheetName val="Rab aju baru"/>
      <sheetName val="Rab tahap I"/>
      <sheetName val="Rab tahap II"/>
      <sheetName val="Rab tahap III"/>
      <sheetName val="Rab All new"/>
      <sheetName val="Penambahan Penj_"/>
      <sheetName val="POTENSI-update BAG"/>
      <sheetName val="Agregat Kelas A"/>
      <sheetName val="Agregat Kelas B"/>
      <sheetName val="Agregat Kelas C"/>
      <sheetName val="TDD"/>
      <sheetName val="TSSEL"/>
      <sheetName val="TSDEL"/>
      <sheetName val="TSU"/>
      <sheetName val="TSL"/>
      <sheetName val="TSE"/>
      <sheetName val="TST"/>
      <sheetName val="TSD"/>
      <sheetName val="TSS"/>
      <sheetName val="DET"/>
      <sheetName val="DED"/>
      <sheetName val="DTU"/>
      <sheetName val="DTN"/>
      <sheetName val="DTL"/>
      <sheetName val="DTE"/>
      <sheetName val="DTT"/>
      <sheetName val="DTD"/>
      <sheetName val="DTS"/>
      <sheetName val="ANLAT"/>
      <sheetName val="LARUH"/>
      <sheetName val="BQQ"/>
      <sheetName val="Lalu-Lintas"/>
      <sheetName val="Mandiri (2)"/>
      <sheetName val="Kas 2"/>
      <sheetName val="PANIN BMS"/>
      <sheetName val="kas 1"/>
      <sheetName val="KAS JMP"/>
      <sheetName val="nop15"/>
      <sheetName val="LOS"/>
      <sheetName val="B-S"/>
      <sheetName val="I-S"/>
      <sheetName val="Limit ad. Realisasi"/>
      <sheetName val="Limit ad. Proyeksi"/>
      <sheetName val="Angsuran KUR"/>
      <sheetName val="_43_9_"/>
      <sheetName val="21s"/>
      <sheetName val="24b"/>
      <sheetName val="CF Budget vs CF Plan"/>
      <sheetName val="CFR 0310 vs CFP 0410 "/>
      <sheetName val="CF Konsol "/>
      <sheetName val="Kebun "/>
      <sheetName val="C&amp;T "/>
      <sheetName val="Pabrik "/>
      <sheetName val="Kantor Perwakilan "/>
      <sheetName val="KK CFP JAKARTA"/>
      <sheetName val="KK CFP JAMBI-Site"/>
      <sheetName val="HK-KHL Bukit Hijau Apr'10"/>
      <sheetName val="HK-KHL Bukit Hijau Mei'10 "/>
      <sheetName val="HK-KHL Bukit Hijau Juni'10"/>
      <sheetName val="HK-KHL Taman Raja Apr'10"/>
      <sheetName val="HK-KHL Taman Raja Mei'10 "/>
      <sheetName val="HK-KHL Taman Raja Juni'10"/>
      <sheetName val="Kas Bank Site"/>
      <sheetName val="Real 01-15 (SIte)"/>
      <sheetName val="Est 16-31 (Site)"/>
      <sheetName val="Pby TBS Exsternal"/>
      <sheetName val="Gaji &amp; Upah Kebun (2)"/>
      <sheetName val="Biaya Overhead Ktr Pwk &amp; Kebun"/>
      <sheetName val="Cash Flow Budget"/>
      <sheetName val="GAJI PHL "/>
      <sheetName val="REAL  MARET "/>
      <sheetName val="AFD.7 OK  "/>
      <sheetName val="PSJ"/>
      <sheetName val="DPCache_REKAP (2)"/>
      <sheetName val="PBG_2"/>
      <sheetName val="PBG1"/>
      <sheetName val="PBG_3"/>
      <sheetName val="PBG_5MAS"/>
      <sheetName val="PBG_6"/>
      <sheetName val="PBG_8"/>
      <sheetName val="APPI"/>
      <sheetName val="BanjarBaru"/>
      <sheetName val="KKP"/>
      <sheetName val="Logging"/>
      <sheetName val="RBH"/>
      <sheetName val="TotalMakin"/>
      <sheetName val="PBG_1 test1"/>
      <sheetName val="PBG_1 test2"/>
      <sheetName val="JobCode"/>
      <sheetName val="STD_Jab_HO"/>
      <sheetName val="notulen 7 mar"/>
      <sheetName val="Ulasan"/>
      <sheetName val="Tng Krj"/>
      <sheetName val="crh hjn PUD"/>
      <sheetName val="crh hjn KUM"/>
      <sheetName val="PETA PUD"/>
      <sheetName val="PETA thn tnm KUMP"/>
      <sheetName val="prod 2"/>
      <sheetName val="prod3"/>
      <sheetName val="bypnn"/>
      <sheetName val="bytm"/>
      <sheetName val="bytbm"/>
      <sheetName val="bytlctb"/>
      <sheetName val="byprod"/>
      <sheetName val="pupuk_anOrg"/>
      <sheetName val="as _08"/>
      <sheetName val="Areal Statemen_MUTASI"/>
      <sheetName val="Areal Statemen_BULANAN"/>
      <sheetName val="rekap AS"/>
      <sheetName val="I kum"/>
      <sheetName val="II kum"/>
      <sheetName val="III kum"/>
      <sheetName val="IV kum"/>
      <sheetName val="POSISI TENAGA KERJA"/>
      <sheetName val="DETAIL TNG KRJ"/>
      <sheetName val="PRODUKSI_TBS _2_"/>
      <sheetName val="PRODUKSI_TBS"/>
      <sheetName val="ACTION PLANT _2_"/>
      <sheetName val="PETA POTENSI PRODUKSI"/>
      <sheetName val="KEBUTUHAN PERUMAHAN"/>
      <sheetName val="CAPEX_DETAIL"/>
      <sheetName val="TRANSIT_DETAIL"/>
      <sheetName val="Pk prod"/>
      <sheetName val="crew"/>
      <sheetName val="bgn-2"/>
      <sheetName val="bgn-1"/>
      <sheetName val="Ptanah"/>
      <sheetName val="data tanah"/>
      <sheetName val="tanah (2)"/>
      <sheetName val="1-COVER"/>
      <sheetName val="2-Daftar Isi"/>
      <sheetName val="3-Pendahuluan"/>
      <sheetName val="4-Cover DLM"/>
      <sheetName val="5-LAP T&amp;B"/>
      <sheetName val="6.MESIN  (3)"/>
      <sheetName val="6.MESIN  (2)"/>
      <sheetName val="6.MESIN "/>
      <sheetName val="7.KENDARAAN"/>
      <sheetName val="Foto Kendaraan SBE"/>
      <sheetName val="8-LAP Tan"/>
      <sheetName val="7-LAP PBRK"/>
      <sheetName val="Laporan Inventaris"/>
      <sheetName val="Laporan Kendaraan"/>
      <sheetName val="Data 3"/>
      <sheetName val="AST"/>
      <sheetName val="Lembar Sirkulasi"/>
      <sheetName val="Cover PBRK"/>
      <sheetName val="Data 4"/>
      <sheetName val="Text NP Tanah (2)"/>
      <sheetName val="Text NP Tanah"/>
      <sheetName val="Text Likuidasi Tanah"/>
      <sheetName val="Text Total NP"/>
      <sheetName val="Text Total"/>
      <sheetName val="COPYWRITE"/>
      <sheetName val="Cap Exp"/>
      <sheetName val="Other Costs"/>
      <sheetName val="Mining Costs"/>
      <sheetName val="Loader.exc"/>
      <sheetName val="Geo ROM"/>
      <sheetName val="Equip Costs"/>
      <sheetName val="Own&amp;Op Cost"/>
      <sheetName val="Mat'l Costs"/>
      <sheetName val="MAINT"/>
      <sheetName val="Lab.Cost Plant"/>
      <sheetName val="Lab.Cost Mining"/>
      <sheetName val="Pow.Req"/>
      <sheetName val="Cal'cs"/>
      <sheetName val="QUAL."/>
      <sheetName val="Eq.hire"/>
      <sheetName val="Sulphur Graph"/>
      <sheetName val="Sum  Sensitivities"/>
      <sheetName val="NPV Summary"/>
      <sheetName val="Input Sheet"/>
      <sheetName val="Unit Cost detail"/>
      <sheetName val="Unit Costs Graph"/>
      <sheetName val="Jul 2014"/>
      <sheetName val="SS Site"/>
      <sheetName val="Map KTU"/>
      <sheetName val="INVES"/>
      <sheetName val="mop"/>
      <sheetName val="Site Proyek"/>
      <sheetName val="DISTRIBUSI GJ"/>
      <sheetName val="KBT-KHT (2)"/>
      <sheetName val="Absen KBT-KHT"/>
      <sheetName val="Master Natura"/>
      <sheetName val="Payment Slip"/>
      <sheetName val="RWTTM_DIST"/>
      <sheetName val="RKT_RWT"/>
      <sheetName val="RKT_PNN"/>
      <sheetName val="RKT_CPN"/>
      <sheetName val="RKT_TPN"/>
      <sheetName val="RKT_BUM"/>
      <sheetName val="RKT_PKU"/>
      <sheetName val="RKT_CSR"/>
      <sheetName val="RKT_SHE"/>
      <sheetName val="RKT_MPP"/>
      <sheetName val="RKT_REPAIR"/>
      <sheetName val="RKT_RAC"/>
      <sheetName val="YPH_PROFILE"/>
      <sheetName val="RKT_NONTAN Revisi"/>
      <sheetName val="RKT_NONTAN"/>
      <sheetName val="CAP_NONTAN Revisi"/>
      <sheetName val="RKT_TBM"/>
      <sheetName val="RKT_INFRA"/>
      <sheetName val="RKT_BLOK"/>
      <sheetName val="RKT_IMAS"/>
      <sheetName val="RKT_LC"/>
      <sheetName val="RKT_TERAS"/>
      <sheetName val="RKT_TNM"/>
      <sheetName val="RKT_KCG"/>
      <sheetName val="RKT_JLN"/>
      <sheetName val="RKT_PRT"/>
      <sheetName val="RKT_JBT"/>
      <sheetName val="RKT_BBT"/>
      <sheetName val="NORMA"/>
      <sheetName val="NORMA-ALAT"/>
      <sheetName val="PD2"/>
      <sheetName val="REK-RWT"/>
      <sheetName val="REK-PNN"/>
      <sheetName val="MPP1"/>
      <sheetName val="RWT-HK"/>
      <sheetName val="RWT-CHM"/>
      <sheetName val="RWT-PPK"/>
      <sheetName val="ALT-KBN"/>
      <sheetName val="PNN-HK"/>
      <sheetName val="PNN-TPN"/>
      <sheetName val="PNN-UND"/>
      <sheetName val="RUN-BBM"/>
      <sheetName val="RUN-SPT"/>
      <sheetName val="PK-UMM"/>
      <sheetName val="SUM-COST"/>
      <sheetName val="RWT-UND"/>
      <sheetName val="KACANGAN"/>
      <sheetName val="INV-TEKNIK"/>
      <sheetName val="TERAS MANUAL"/>
      <sheetName val="BUAT PARIT MNL (HRN)"/>
      <sheetName val="PARIT MANUAL BRG"/>
      <sheetName val="NORMA LC + TBM 0"/>
      <sheetName val="NORMA TBM 1"/>
      <sheetName val="PEMUPUKAN (BLN TNM)"/>
      <sheetName val="plan vs real mupuk kg&amp;ha"/>
      <sheetName val="HECTARE STATEMENT LCC"/>
      <sheetName val="HA STATEMENT SD DES 08"/>
      <sheetName val="DATA TANAM KARET"/>
      <sheetName val="PANCANG"/>
      <sheetName val="IMAS TUMBANG"/>
      <sheetName val="IMAS TUMBANG (FISIK)"/>
      <sheetName val="HA STATEMENT SD DES 08 TBM"/>
      <sheetName val="IMAS TUMBANG 2007"/>
      <sheetName val="Setting"/>
      <sheetName val="FISIK_RAB_2000"/>
      <sheetName val="ocean_voyage"/>
      <sheetName val="NILZI_J_KKPA"/>
      <sheetName val="List_PT"/>
      <sheetName val="MASTER BLOK UPDATE"/>
      <sheetName val="SETTING DATA"/>
      <sheetName val="CPO Feb-Mar"/>
      <sheetName val="CPO-Mei"/>
      <sheetName val="CPO Juni"/>
      <sheetName val="Per Transportir"/>
      <sheetName val="CPO Juli-TID"/>
      <sheetName val="CPO Juli-Orgnl"/>
      <sheetName val="BAST CPO-7"/>
      <sheetName val="CPO Agst-Orgnl"/>
      <sheetName val="CPO Agsts TID"/>
      <sheetName val="BAST CPO-8"/>
      <sheetName val="CPO 26-8-Orgnl"/>
      <sheetName val="CPO 26-8-TID"/>
      <sheetName val="BAST CPO-26-8"/>
      <sheetName val="Pemakaian Solar 26-8"/>
      <sheetName val="CPO 5-9-Orgnl "/>
      <sheetName val="CPO 5-9-TID"/>
      <sheetName val="BAST CPO-5-9 "/>
      <sheetName val="Pemakaian Solar 5-9 "/>
      <sheetName val="CPO 16-9-TID Orl"/>
      <sheetName val="CPO 16-9-TID "/>
      <sheetName val="BAST CPO-16-9 HP"/>
      <sheetName val="BAST CPO-16-9 SM"/>
      <sheetName val="Pemakaian Solar 16-9 "/>
      <sheetName val="CPO 6-10-TID Orl"/>
      <sheetName val="CPO 6-10-TID"/>
      <sheetName val="BAST CPO-6-10 HP"/>
      <sheetName val="BAST CPO-6-10 SM"/>
      <sheetName val="Pemakaian Solar 6-10"/>
      <sheetName val="CPO 27-10-Orgnl"/>
      <sheetName val="BAST CPO-27-10 SM"/>
      <sheetName val="BAST CPO-27-10 HP"/>
      <sheetName val="kmb"/>
      <sheetName val="Pemakaian Solar 27-10"/>
      <sheetName val="CPO 9-11-Orgnl "/>
      <sheetName val="BAST CPO-9-11 SM"/>
      <sheetName val="BAST CPO-9-11 HP"/>
      <sheetName val="kmb 9-11-04"/>
      <sheetName val="Pemakaian Solar 9-11"/>
      <sheetName val="CPO 7-12-Orgnl"/>
      <sheetName val="BAST CPO-7-12 SM"/>
      <sheetName val="BAST CPO-7-12 HP"/>
      <sheetName val="KMB 7-12-04"/>
      <sheetName val="Pemakaian Solar 7-12"/>
      <sheetName val="glacc1"/>
      <sheetName val="Coklat"/>
      <sheetName val="Estate Map"/>
      <sheetName val="Master Date"/>
      <sheetName val="GjBn2001"/>
      <sheetName val="Data Pendukung"/>
      <sheetName val="42-staff cost"/>
      <sheetName val="43-RPT"/>
      <sheetName val="45-capital commit"/>
      <sheetName val="46-Lease in comm"/>
      <sheetName val="47A"/>
      <sheetName val="biz segment"/>
      <sheetName val="geographical segment"/>
      <sheetName val="WP-Bank"/>
      <sheetName val="other cred"/>
      <sheetName val="19a"/>
      <sheetName val="31a"/>
      <sheetName val="XXX0"/>
      <sheetName val="XXX1"/>
      <sheetName val="XXX2"/>
      <sheetName val="Cover _2_"/>
      <sheetName val="Bas01"/>
      <sheetName val="Est_FFB02"/>
      <sheetName val="Da_Kar"/>
      <sheetName val="SmryExpd03_06"/>
      <sheetName val="LbrScdl08_09"/>
      <sheetName val="Structure10"/>
      <sheetName val="oki"/>
      <sheetName val="p nsihombing"/>
      <sheetName val="i ginting"/>
      <sheetName val="Var_Cst31"/>
      <sheetName val="all bagian"/>
      <sheetName val="account code new"/>
      <sheetName val="antisipasi"/>
      <sheetName val="HS INTI"/>
      <sheetName val="Master Tgl"/>
      <sheetName val="REPORT VRA"/>
      <sheetName val="310r"/>
      <sheetName val="600B"/>
      <sheetName val="600 C"/>
      <sheetName val="640"/>
      <sheetName val="640B"/>
      <sheetName val="640 A"/>
      <sheetName val="640 C"/>
      <sheetName val="640 F"/>
      <sheetName val="660"/>
      <sheetName val="660B"/>
      <sheetName val="660 C"/>
      <sheetName val="800"/>
      <sheetName val="800B"/>
      <sheetName val="Mutasi LR"/>
      <sheetName val="Bank Umum Konvensional"/>
      <sheetName val="Bank Umum Syariah"/>
      <sheetName val="BPR Konvensional"/>
      <sheetName val="BPR Syariah"/>
      <sheetName val="PPAP FISKAL"/>
      <sheetName val="COA-Audit"/>
      <sheetName val="JK "/>
      <sheetName val="LDR-Lamp1"/>
      <sheetName val="KPMM-Lamp2"/>
      <sheetName val="KAP-PPAP-Lamp3"/>
      <sheetName val="Rentabilitas-Lamp4"/>
      <sheetName val="Lamp-5 LH"/>
      <sheetName val="Lamp-5 Review LH"/>
      <sheetName val="rinc BUA"/>
      <sheetName val="DRAFT_IND"/>
      <sheetName val="aruskas07"/>
      <sheetName val="JKaruskas07"/>
      <sheetName val="ledger konsol"/>
      <sheetName val="TREND_ASET"/>
      <sheetName val="TREND_LDR"/>
      <sheetName val="TREND_PYD"/>
      <sheetName val="TREND_CR"/>
      <sheetName val="TREND_CAR"/>
      <sheetName val="TREND_NPL"/>
      <sheetName val="LIKUIDITAS"/>
      <sheetName val="TR"/>
      <sheetName val="Data Analisa"/>
      <sheetName val="excel"/>
      <sheetName val="jurnal_harian"/>
      <sheetName val="PERMODALAN"/>
      <sheetName val="segmen_drop_market"/>
      <sheetName val="Analisa Marketing"/>
      <sheetName val="LIST DROPING"/>
      <sheetName val="LIST ANGSURAN"/>
      <sheetName val="DEBT AKTIF"/>
      <sheetName val="DEBTALL"/>
      <sheetName val="91101"/>
      <sheetName val="91101.I"/>
      <sheetName val="droping_marketing"/>
      <sheetName val="debituri"/>
      <sheetName val="LrM"/>
      <sheetName val="LrMon"/>
      <sheetName val="HrgDana"/>
      <sheetName val="Kompar"/>
      <sheetName val="tks2"/>
      <sheetName val="tks"/>
      <sheetName val="JK YE"/>
      <sheetName val="Temuan-Lamp5"/>
      <sheetName val="Temuan Interim 2009 (YE)"/>
      <sheetName val="Temuan Interim 2009"/>
      <sheetName val="DEBTAKTIF"/>
      <sheetName val="LRMONTH"/>
      <sheetName val="KOMPAR."/>
      <sheetName val="ROA"/>
      <sheetName val="GRAFIK AD"/>
      <sheetName val="TARGET &amp; REAL. NERACA"/>
      <sheetName val="TARGET &amp; REAL. L R"/>
      <sheetName val="CASH_FLOW"/>
      <sheetName val="100D"/>
      <sheetName val="110F"/>
      <sheetName val="200 C1"/>
      <sheetName val="200D"/>
      <sheetName val="210 D1"/>
      <sheetName val="210D2"/>
      <sheetName val="230F2.1"/>
      <sheetName val="230F4"/>
      <sheetName val="230F5"/>
      <sheetName val="230D5"/>
      <sheetName val="310J1"/>
      <sheetName val="310J2"/>
      <sheetName val="310J3"/>
      <sheetName val="320 F1"/>
      <sheetName val="350"/>
      <sheetName val="Est komit kontin"/>
      <sheetName val="200G"/>
      <sheetName val="200F1.1"/>
      <sheetName val="200F1.2"/>
      <sheetName val="200F2.1"/>
      <sheetName val="200F2.2"/>
      <sheetName val="200F3"/>
      <sheetName val="210C1"/>
      <sheetName val="210G1"/>
      <sheetName val="230C1"/>
      <sheetName val="300F1.1"/>
      <sheetName val="300F1.2"/>
      <sheetName val="300F1.3"/>
      <sheetName val="300F1.4"/>
      <sheetName val="300F1.5"/>
      <sheetName val="300F1.6"/>
      <sheetName val="300F2.1"/>
      <sheetName val="300F2.2"/>
      <sheetName val="300F2.3"/>
      <sheetName val="300F2.4"/>
      <sheetName val="300F2.5"/>
      <sheetName val="300F2.6"/>
      <sheetName val="300F2.7"/>
      <sheetName val="300F3.1"/>
      <sheetName val="300F3.2"/>
      <sheetName val="300F3.3"/>
      <sheetName val="300F3.4"/>
      <sheetName val="300F3.5"/>
      <sheetName val="300F3.6"/>
      <sheetName val="300F3.7"/>
      <sheetName val="300F3.8"/>
      <sheetName val="310F1"/>
      <sheetName val="Susunan Pengurus"/>
      <sheetName val="tangguhan"/>
      <sheetName val="JKaruskas06"/>
      <sheetName val="aruskas06"/>
      <sheetName val="JKaruskas05"/>
      <sheetName val="aruskas05"/>
      <sheetName val="Ledger Konsol 06"/>
      <sheetName val="thll"/>
      <sheetName val="900F "/>
      <sheetName val="Fiskal PPAP"/>
      <sheetName val="Fiskal Des'07"/>
      <sheetName val="BY. KORFIS"/>
      <sheetName val="32092"/>
      <sheetName val="32073"/>
      <sheetName val="32111"/>
      <sheetName val="32049"/>
      <sheetName val="10929"/>
      <sheetName val="20911"/>
      <sheetName val="42319"/>
      <sheetName val="42311"/>
      <sheetName val="10311"/>
      <sheetName val="10315"/>
      <sheetName val="41111"/>
      <sheetName val="10839"/>
      <sheetName val="32124"/>
      <sheetName val="41122"/>
      <sheetName val="600D10"/>
      <sheetName val="200C1 (2)"/>
      <sheetName val="Konf Giro"/>
      <sheetName val="Konf Tab"/>
      <sheetName val="Konf Dep"/>
      <sheetName val="DES_07"/>
      <sheetName val="NOV_07"/>
      <sheetName val="OKT_07"/>
      <sheetName val="BP01"/>
      <sheetName val="BP02"/>
      <sheetName val="BP03"/>
      <sheetName val="BP04"/>
      <sheetName val="Be'ol"/>
      <sheetName val="BP05"/>
      <sheetName val="BP06"/>
      <sheetName val="new BeNdoL"/>
      <sheetName val="Pinjaman (tgl)"/>
      <sheetName val="KOL_EXCL x_PRGRM"/>
      <sheetName val="48 (2)"/>
      <sheetName val="Down Grade"/>
      <sheetName val="adm&amp;provisi"/>
      <sheetName val="195F2"/>
      <sheetName val="200 D1"/>
      <sheetName val="650F"/>
      <sheetName val="Jurnal Disetujui"/>
      <sheetName val="JK Audit"/>
      <sheetName val="AT FIS 08"/>
      <sheetName val="Koreksi Fiskal TRI"/>
      <sheetName val="Perhit Japrod"/>
      <sheetName val="RES_TRUK"/>
      <sheetName val="020a"/>
      <sheetName val="020b"/>
      <sheetName val="020c"/>
      <sheetName val="Drop-down List of Answers"/>
      <sheetName val="020d"/>
      <sheetName val="020e"/>
      <sheetName val="175"/>
      <sheetName val="190"/>
      <sheetName val="330"/>
      <sheetName val="360"/>
      <sheetName val="370"/>
      <sheetName val="395"/>
      <sheetName val="455"/>
      <sheetName val="590"/>
      <sheetName val="620"/>
      <sheetName val="700"/>
      <sheetName val="750"/>
      <sheetName val="840.01"/>
      <sheetName val="840.02"/>
      <sheetName val="1500"/>
      <sheetName val="2500"/>
      <sheetName val="230B"/>
      <sheetName val="230 D1 New"/>
      <sheetName val="230 F1"/>
      <sheetName val="230 D11"/>
      <sheetName val="230 D3"/>
      <sheetName val="230 D4"/>
      <sheetName val="230 D5"/>
      <sheetName val="230 D6"/>
      <sheetName val="230 D7"/>
      <sheetName val="230 D8"/>
      <sheetName val="230 D9"/>
      <sheetName val="230 D10"/>
      <sheetName val="230D3( Interim)"/>
      <sheetName val="230D4( Interim)"/>
      <sheetName val="AYDA"/>
      <sheetName val="FA2006"/>
      <sheetName val="FinalDec02 (version 1)"/>
      <sheetName val="Notes26.Liquidity Risk"/>
      <sheetName val="GL Corr"/>
      <sheetName val=" D1.5 Lead PL"/>
      <sheetName val="D1.6 Interest Income"/>
      <sheetName val="REPORT "/>
      <sheetName val="D1.5.1 Matrix "/>
      <sheetName val="D.1.5.5 Missclsfy"/>
      <sheetName val="D1.5.1.1 Pricing"/>
      <sheetName val="D1.5.1.1 MTN mtm"/>
      <sheetName val="D1.5.1.1 Telkom PN"/>
      <sheetName val="D1.5.1.2 Unrlzd TRA"/>
      <sheetName val="D1.5.1.3 Unrlzd AFS"/>
      <sheetName val="D1.5.2 RollFw-AFS"/>
      <sheetName val="D1.5.3 RollFw-TRA"/>
      <sheetName val="D1.5.4 Sale SBI"/>
      <sheetName val="D1.6.1 Interest SBI"/>
      <sheetName val="D1.6.2 OS SBI"/>
      <sheetName val="Redemp"/>
      <sheetName val="GL Opic"/>
      <sheetName val="Purch SBI HTM"/>
      <sheetName val="Mansek"/>
      <sheetName val="BI-DAERAH"/>
      <sheetName val="WPMG"/>
      <sheetName val="C-NERACA"/>
      <sheetName val="36.00.01"/>
      <sheetName val="DATA EY-1"/>
      <sheetName val="Margin"/>
      <sheetName val="Sales Deduction"/>
      <sheetName val="GL Sales"/>
      <sheetName val="GL COGS"/>
      <sheetName val="COGS Reval"/>
      <sheetName val="COGS Reval Summ"/>
      <sheetName val="Be4 Adj"/>
      <sheetName val="After Adj"/>
      <sheetName val="GL2"/>
      <sheetName val="INK"/>
      <sheetName val="B4 Adjustment"/>
      <sheetName val="Units_of_Measure"/>
      <sheetName val="C3 RM Detail"/>
      <sheetName val="C3 FG Detail"/>
      <sheetName val="RM &amp; Slow"/>
      <sheetName val="STO Report"/>
      <sheetName val="FG Obsolete"/>
      <sheetName val="RM Exception"/>
      <sheetName val="RM Plate"/>
      <sheetName val="SC Sum"/>
      <sheetName val="Summary Individual Juli"/>
      <sheetName val="Summary Individual"/>
      <sheetName val="Pivod Juli"/>
      <sheetName val="Adj IA"/>
      <sheetName val="A1.1 Memo"/>
      <sheetName val="A1.1.1"/>
      <sheetName val="A1.1.2"/>
      <sheetName val="A1.1.3"/>
      <sheetName val="A.1.1.8"/>
      <sheetName val="A1.2 Memo"/>
      <sheetName val="A1.2.1"/>
      <sheetName val="A1.2.2"/>
      <sheetName val="A1.2.3"/>
      <sheetName val="A1.2.7"/>
      <sheetName val="A1.2.8"/>
      <sheetName val="A1.2.9"/>
      <sheetName val="A1.2.10"/>
      <sheetName val="A.1.2.11"/>
      <sheetName val="A1.2.15"/>
      <sheetName val="A1.2.16"/>
      <sheetName val="A12.17"/>
      <sheetName val="A1.2.18"/>
      <sheetName val="A1.2.19"/>
      <sheetName val="A1.2.20"/>
      <sheetName val="A1.2.21"/>
      <sheetName val="A1.2.22"/>
      <sheetName val="A1.2.23"/>
      <sheetName val="A1.2.24"/>
      <sheetName val="A1.2.25"/>
      <sheetName val="A1.2.26"/>
      <sheetName val="A1.2.27"/>
      <sheetName val="A1.2.28"/>
      <sheetName val="A1.2.29"/>
      <sheetName val="A1.2.30"/>
      <sheetName val="A1.2.31"/>
      <sheetName val="A1.2.32"/>
      <sheetName val="A1.2.33"/>
      <sheetName val="T2.1.34"/>
      <sheetName val="T1.2.35"/>
      <sheetName val="A2.1.36"/>
      <sheetName val="A1.2.37"/>
      <sheetName val="A1.2.38"/>
      <sheetName val="A1.2.39"/>
      <sheetName val="A1.2.42"/>
      <sheetName val="A1.2.43"/>
      <sheetName val="A1.2.44"/>
      <sheetName val="A1.2.45"/>
      <sheetName val="A1.2.46"/>
      <sheetName val="A1.2.47"/>
      <sheetName val="A1.2.48"/>
      <sheetName val="A1.2.49"/>
      <sheetName val="A.1.2.50"/>
      <sheetName val="A.1.2.51"/>
      <sheetName val="List Prd tp 240"/>
      <sheetName val="Umum khusus"/>
      <sheetName val="Draf Kontrol"/>
      <sheetName val="SL vs SL"/>
      <sheetName val="All Jurnal Details"/>
      <sheetName val="All Jurnal Summary"/>
      <sheetName val="CRSF"/>
      <sheetName val="Rekon SL CRSF"/>
      <sheetName val="List Sp Debitur"/>
      <sheetName val="Deb Details"/>
      <sheetName val="Dep All Details"/>
      <sheetName val="Form Adj per Fasilitas"/>
      <sheetName val="Reklas ADJ"/>
      <sheetName val="List COA"/>
      <sheetName val="Master Prod Type"/>
      <sheetName val="PPAWD_Bank"/>
      <sheetName val="Summary Konsol_loan"/>
      <sheetName val="10.a Report_JP"/>
      <sheetName val="10.b Sector ekonomi"/>
      <sheetName val="Summmary Kap"/>
      <sheetName val="Restru&amp;Property_pub"/>
      <sheetName val="Kredit Restru_pub"/>
      <sheetName val="KUK_Kol_pub"/>
      <sheetName val="KUK_Pub"/>
      <sheetName val="KYD_koreksi"/>
      <sheetName val="Terkait_fm061208"/>
      <sheetName val="Restru"/>
      <sheetName val="10.e Kredit bermasalah"/>
      <sheetName val="Kredit Restrukturisasi"/>
      <sheetName val="Report PPAP telah dibentuk"/>
      <sheetName val="10f. pembiayaan syariah"/>
      <sheetName val="10.i Report Terkait"/>
      <sheetName val="10.k Kredit restru_2008"/>
      <sheetName val="38.Nama pihak terkait"/>
      <sheetName val="Report PPAP Syriah_Bank"/>
      <sheetName val="Olahan_2"/>
      <sheetName val="Debitur Restrukturisasi_CIB"/>
      <sheetName val="Loan downgraded"/>
      <sheetName val="PPAP telah dibentuk"/>
      <sheetName val="Olahan_JP"/>
      <sheetName val="Olahan_syariah"/>
      <sheetName val="Terkait_update"/>
      <sheetName val="BPI_JP"/>
      <sheetName val="BPI_sector economi"/>
      <sheetName val="BPI_LBU"/>
      <sheetName val="BPI_rincian klient"/>
      <sheetName val="Simulasi Pemisahan BPI"/>
      <sheetName val="Movement PPAP (2)"/>
      <sheetName val="PPAP _Bank RP"/>
      <sheetName val="PPAP_ VLS"/>
      <sheetName val="Movement PPAP"/>
      <sheetName val="PPAP_PL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l1"/>
      <sheetName val="(U3-2) Realised forex loss"/>
      <sheetName val="(U3) Unrealised forex gain-loss"/>
      <sheetName val="(U3-1) Realised forex gain"/>
      <sheetName val="U3-1"/>
      <sheetName val="BPR - Conclusion"/>
      <sheetName val="F-8(FSA)"/>
      <sheetName val="F-9b"/>
      <sheetName val="F-9c"/>
      <sheetName val="RCD-1-1"/>
      <sheetName val="C-6"/>
      <sheetName val="C-6a"/>
      <sheetName val="M MM"/>
      <sheetName val="Pnl-10"/>
      <sheetName val="10-2"/>
      <sheetName val="30-Note"/>
      <sheetName val="CF workings"/>
      <sheetName val="Pg7"/>
      <sheetName val="Turnover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A6-1l1"/>
      <sheetName val="A6-1l2"/>
      <sheetName val="A3-7"/>
      <sheetName val="E "/>
      <sheetName val="K-1 "/>
      <sheetName val="31072001"/>
      <sheetName val="31082001"/>
      <sheetName val="30092001"/>
      <sheetName val="31102001"/>
      <sheetName val="30112001"/>
      <sheetName val="A8 PM"/>
      <sheetName val="AP110 (supp)"/>
      <sheetName val="Reminder-IR"/>
      <sheetName val="G-50 -1-IR"/>
      <sheetName val="G-50 -2-IR"/>
      <sheetName val="UB-20-IR"/>
      <sheetName val="UB-21-IR"/>
      <sheetName val="RCD -401-IR"/>
      <sheetName val="RCD-402-IR"/>
      <sheetName val="Materiality-IR"/>
      <sheetName val="Cashflow-IR"/>
      <sheetName val="BPR balance sheet-IR"/>
      <sheetName val="BPR profit &amp; loss-IR"/>
      <sheetName val="BPR BS analysis-IR"/>
      <sheetName val="BPR PL analysis-IR"/>
      <sheetName val="B-1-IR"/>
      <sheetName val="BB-1-IR"/>
      <sheetName val="A8-IR"/>
      <sheetName val="F-4-IR"/>
      <sheetName val="OSM-Prefinal"/>
      <sheetName val="OSM-Feb05"/>
      <sheetName val="B7|1"/>
      <sheetName val="B7|2"/>
      <sheetName val="B10|1"/>
      <sheetName val="B10|2"/>
      <sheetName val="B11|1"/>
      <sheetName val="B11|2"/>
      <sheetName val="F-8(na)"/>
      <sheetName val="E-6|1"/>
      <sheetName val="E - APS Debt"/>
      <sheetName val="I-1|1"/>
      <sheetName val="N (IR)"/>
      <sheetName val="N-Note"/>
      <sheetName val="Sum-Proll"/>
      <sheetName val="&lt;F&gt;"/>
      <sheetName val="WHT"/>
      <sheetName val="BBA"/>
      <sheetName val="Contract"/>
      <sheetName val="Words"/>
      <sheetName val="HP-03"/>
      <sheetName val="bond 2"/>
      <sheetName val="bond"/>
      <sheetName val="Stks"/>
      <sheetName val="vouch"/>
      <sheetName val="Aircft"/>
      <sheetName val="FA_Rec"/>
      <sheetName val="SCH B"/>
      <sheetName val="SCH 4 - 7"/>
      <sheetName val="AP110(SUP)"/>
      <sheetName val="APP110"/>
      <sheetName val="APP(4)"/>
      <sheetName val="B-20"/>
      <sheetName val="RCD(2)"/>
      <sheetName val="APP(3)"/>
      <sheetName val="C-50"/>
      <sheetName val="C-51"/>
      <sheetName val="L-100"/>
      <sheetName val="M-20"/>
      <sheetName val="APP-2"/>
      <sheetName val="BB-100"/>
      <sheetName val="CC-20"/>
      <sheetName val="CC-21"/>
      <sheetName val="FF-1b"/>
      <sheetName val="kk-10"/>
      <sheetName val="kk-20"/>
      <sheetName val="PP "/>
      <sheetName val="PP-10"/>
      <sheetName val="APP(5)"/>
      <sheetName val="L-12"/>
      <sheetName val="AA-1"/>
      <sheetName val="AA-10"/>
      <sheetName val="BB-20"/>
      <sheetName val="NN-10"/>
      <sheetName val="NN-20"/>
      <sheetName val="FF-50"/>
      <sheetName val="ODint"/>
      <sheetName val="Proof of Associate"/>
      <sheetName val="BPR1"/>
      <sheetName val="BPR2"/>
      <sheetName val="OS 1(FOR CLIENT DISTRIBUTION)"/>
      <sheetName val="A3-1-1"/>
      <sheetName val="A3-1-2"/>
      <sheetName val="A3-1-3"/>
      <sheetName val="A2 - 5"/>
      <sheetName val="A2 - 6"/>
      <sheetName val="Inter- Company Reconciliation"/>
      <sheetName val="Outstanding Matters (2)"/>
      <sheetName val="A2 - 5 (2)"/>
      <sheetName val="A8-6 (1)"/>
      <sheetName val="A8-2(1)"/>
      <sheetName val="A3-1-4"/>
      <sheetName val="A3 - 3"/>
      <sheetName val="A3 - 4"/>
      <sheetName val="10-3"/>
      <sheetName val="BPR summary"/>
      <sheetName val="os client"/>
      <sheetName val="RCD 300"/>
      <sheetName val="FEM(NA)"/>
      <sheetName val="Matters for discussion(NA)"/>
      <sheetName val="FEM APPENDIX 1"/>
      <sheetName val="FEM APPENDIX 2"/>
      <sheetName val="F-1&amp;2 adj"/>
      <sheetName val="F-3 adj"/>
      <sheetName val="10-20"/>
      <sheetName val="F-9-1"/>
      <sheetName val="F-9 SS"/>
      <sheetName val="F-14"/>
      <sheetName val="M|MM"/>
      <sheetName val="U Disclosure"/>
      <sheetName val="U-8"/>
      <sheetName val="U-9"/>
      <sheetName val="U-7"/>
      <sheetName val="DD-5"/>
      <sheetName val="FF-1 Tax Comp"/>
      <sheetName val="FF-2 DT"/>
      <sheetName val="FF-3 CA"/>
      <sheetName val="FF-4 Proof"/>
      <sheetName val="FF-6 (2)"/>
      <sheetName val="30-4"/>
      <sheetName val="AF-Notes"/>
      <sheetName val="Adm97"/>
      <sheetName val="A2|1"/>
      <sheetName val="A3|1"/>
      <sheetName val="F3|1"/>
      <sheetName val="FF1"/>
      <sheetName val="FF2"/>
      <sheetName val="K1-K9"/>
      <sheetName val="P&amp;L-Co"/>
      <sheetName val="P&amp;L-Gr"/>
      <sheetName val="ConF-1"/>
      <sheetName val="ConF-2"/>
      <sheetName val="ConF-3"/>
      <sheetName val="CPAJE"/>
      <sheetName val="WRK"/>
      <sheetName val="A-MEMO"/>
      <sheetName val="N-5"/>
      <sheetName val="U-Gr"/>
      <sheetName val="U-Sh"/>
      <sheetName val="U-ShG"/>
      <sheetName val="U-Aril"/>
      <sheetName val="U-Gen"/>
      <sheetName val="U-Fam"/>
      <sheetName val="OS "/>
      <sheetName val="G-4-2"/>
      <sheetName val="J-71"/>
      <sheetName val="J-72"/>
      <sheetName val="J-73"/>
      <sheetName val="F-8 (FSL)"/>
      <sheetName val="F-8 (MASB)-Recon"/>
      <sheetName val="M-MM"/>
      <sheetName val="G-35"/>
      <sheetName val="G-35-1"/>
      <sheetName val="G-35-2"/>
      <sheetName val="G-35-3"/>
      <sheetName val="Std Tickmarks"/>
      <sheetName val="AP (110)"/>
      <sheetName val="F-1|2"/>
      <sheetName val="Udisc"/>
      <sheetName val="FSA (Attach)"/>
      <sheetName val="BPR."/>
      <sheetName val="UTB"/>
      <sheetName val="BIS LIST-C1 21 (2)"/>
      <sheetName val="BIS LIST-C1 20 (2)"/>
      <sheetName val="BIS LIST-C2 18"/>
      <sheetName val="BIS LIST-C2 19"/>
      <sheetName val="BIS LIST-C2 20"/>
      <sheetName val="BIS LIST-C2 21"/>
      <sheetName val="BIS LIST-NTH 18"/>
      <sheetName val="BIS LIST-NTH 19"/>
      <sheetName val="BIS LIST-NTH 20"/>
      <sheetName val="BIS LIST-NTH 21"/>
      <sheetName val="BIS LIST-NTH 19 (2)"/>
      <sheetName val="BIS LIST-NTH 18 (2)"/>
      <sheetName val="BIS LIST-STH 20 (2)"/>
      <sheetName val="BIS LIST-STH 21 (2)"/>
      <sheetName val="BIS LIST-C1 18 (2)"/>
      <sheetName val="BIS LIST-C1 19 (2)"/>
      <sheetName val="BIS LIST-C1 19 (3)"/>
      <sheetName val="BIS LIST-EC 18 (2)"/>
      <sheetName val="BIS LIST-EC 19 (2)"/>
      <sheetName val="BIS LIST-STH 18 (2)"/>
      <sheetName val="BIS LIST-EC 20 (2)"/>
      <sheetName val="BIS LIST-EC 21 (2)"/>
      <sheetName val="GVF"/>
      <sheetName val=" IB-PL-GROUP"/>
      <sheetName val=" IB-PL-YTD VS BGT"/>
      <sheetName val="DCA"/>
      <sheetName val="GFS"/>
      <sheetName val=" IB-PL-MONTH"/>
      <sheetName val=" IB-PL-YTD"/>
      <sheetName val="IBBS"/>
      <sheetName val="inter-co Calculation"/>
      <sheetName val=" IB-PL-4CAST"/>
      <sheetName val="IBBS-4CAST"/>
      <sheetName val="GOPEX"/>
      <sheetName val="GMVF "/>
      <sheetName val="CONSOLFULL"/>
      <sheetName val="inter-co full"/>
      <sheetName val="ITSB"/>
      <sheetName val="ADTRANTZ"/>
      <sheetName val="SPSSB"/>
      <sheetName val="GCF"/>
      <sheetName val="CF BY CO"/>
      <sheetName val="GCF BY CO"/>
      <sheetName val=" IB-PL-YTD IND"/>
      <sheetName val="271101"/>
      <sheetName val="281101"/>
      <sheetName val="A3-1&amp;2"/>
      <sheetName val="A3-5"/>
      <sheetName val="A3-71"/>
      <sheetName val="A20"/>
      <sheetName val="K Disclosure"/>
      <sheetName val="U10&amp;20"/>
      <sheetName val="U10-1"/>
      <sheetName val="U30-1"/>
      <sheetName val="MV of 2001"/>
      <sheetName val="MV of 2002"/>
      <sheetName val="MV of 2003"/>
      <sheetName val="A3-7A"/>
      <sheetName val="Key Ratios"/>
      <sheetName val="BPR (2)"/>
      <sheetName val="F-1 (2)"/>
      <sheetName val="payroll - to insert 20.11.01"/>
      <sheetName val="4th cos"/>
      <sheetName val="F_Stock Lead Schedule "/>
      <sheetName val="F1_Purchased FG"/>
      <sheetName val="F1 _1Purchased FG "/>
      <sheetName val="F2_1_Purchased FG"/>
      <sheetName val="F1_Manufactured FG &amp; GIP"/>
      <sheetName val="F3_1Raw Material  "/>
      <sheetName val="F1_1Manufactured FG &amp; GIP"/>
      <sheetName val="F1-1 Double Entries"/>
      <sheetName val="F1_2_Direct Labour Cost"/>
      <sheetName val="F1_3_Production Overhead"/>
      <sheetName val="F1_4_Energy Cost"/>
      <sheetName val="F3_Raw Material"/>
      <sheetName val="F3_2Prov for Raw Mat stock loss"/>
      <sheetName val="F4_Packing Material"/>
      <sheetName val="F4_1 Packing Material"/>
      <sheetName val="F5_ Good In Transit"/>
      <sheetName val="F5-1_GIT Purchased FG"/>
      <sheetName val="F5-2_GIT Raw Material"/>
      <sheetName val="F6_Engineering , A&amp; Promotion"/>
      <sheetName val="F7-1_Sales CUt-Off"/>
      <sheetName val="F8-1_Purchase Cut Off"/>
      <sheetName val="F9-1_RawMat"/>
      <sheetName val="F9-2_PurchasedFinGoods"/>
      <sheetName val="F9-3_Prod FG &amp; GIP"/>
      <sheetName val="F9-3~1_Soiled"/>
      <sheetName val=" Diskonto Juli 31, 05"/>
      <sheetName val="Notes 6i"/>
      <sheetName val="Notes 6a"/>
      <sheetName val="Notes 6a.1"/>
      <sheetName val="Notes 6f"/>
      <sheetName val="Notes 6g"/>
      <sheetName val="Notes 6d"/>
      <sheetName val="Notes 6e"/>
      <sheetName val="Notes 6e 2004"/>
      <sheetName val="Notes 6.g.1 detail"/>
      <sheetName val="6.g.2"/>
      <sheetName val="Notes 6h"/>
      <sheetName val="6h. MatDetail 2004"/>
      <sheetName val="6h. MatDetail IDR"/>
      <sheetName val="6h Mat Detail Forex"/>
      <sheetName val="Mat Detail Checking"/>
      <sheetName val="Mat Detail Mauritius"/>
      <sheetName val="Mat Detail Mumbai"/>
      <sheetName val="MATPROF2"/>
      <sheetName val="QANTAS"/>
      <sheetName val="ISPI"/>
      <sheetName val="MADINA"/>
      <sheetName val="EE.5"/>
      <sheetName val="BSM"/>
      <sheetName val="PIM"/>
      <sheetName val="Cikarang"/>
      <sheetName val="Coll.&amp;Coll."/>
      <sheetName val="AkPro"/>
      <sheetName val="AkPro-for BI Report "/>
      <sheetName val="On-BS"/>
      <sheetName val="On-BS for BI Report"/>
      <sheetName val="Of-BS"/>
      <sheetName val="PROV.&amp;NPL"/>
      <sheetName val="PROV.&amp;NPL for BI Report"/>
      <sheetName val="CollByInd"/>
      <sheetName val="SUMMARY REKON"/>
      <sheetName val="Sum Object"/>
      <sheetName val="Rekon 01"/>
      <sheetName val="Rekon 02"/>
      <sheetName val="Rekon 03"/>
      <sheetName val="Rekon 04"/>
      <sheetName val="Rekon 05"/>
      <sheetName val="Rekon 06"/>
      <sheetName val="Rekon 07"/>
      <sheetName val="Rekon 08"/>
      <sheetName val="Rekon 09"/>
      <sheetName val="Rekon 10"/>
      <sheetName val="Rekon 11"/>
      <sheetName val="Rekon 12"/>
      <sheetName val="Sum.TaxObject"/>
      <sheetName val="TB NOV_DEC"/>
      <sheetName val="TB-LNK"/>
      <sheetName val="TB JUL_AUG"/>
      <sheetName val="TB OKT"/>
      <sheetName val="REKON JAMSOSTEK"/>
      <sheetName val="ID3"/>
      <sheetName val="Sum Salary Recon"/>
      <sheetName val="Depreciation-Ind"/>
      <sheetName val="Depreciation-Eng"/>
      <sheetName val="Disposal-after 95"/>
      <sheetName val="Disposal-before 1995"/>
      <sheetName val="Penambahan"/>
      <sheetName val="Art. 21"/>
      <sheetName val="PO Database@3101"/>
      <sheetName val="VAt LN"/>
      <sheetName val="ICR"/>
      <sheetName val="Wh 23"/>
      <sheetName val="Out ok"/>
      <sheetName val="Ar Others"/>
      <sheetName val="Othe Curr ok"/>
      <sheetName val="UA &amp; VA Memo"/>
      <sheetName val="UA &amp; VA Lead"/>
      <sheetName val="UA.1.A Rekon Billing&amp;GL"/>
      <sheetName val="UA.1.B Rekon Billing&amp;GL"/>
      <sheetName val="UA.2"/>
      <sheetName val="UA.2.1"/>
      <sheetName val="UA.3"/>
      <sheetName val="UA.4_Cut off Billing&amp;COB"/>
      <sheetName val="VA.1"/>
      <sheetName val="OSFX"/>
      <sheetName val="FX 004"/>
      <sheetName val="FX 007"/>
      <sheetName val="FX 017"/>
      <sheetName val="FX 020"/>
      <sheetName val="FX 035"/>
      <sheetName val="OSMM"/>
      <sheetName val="MM004"/>
      <sheetName val="MM017"/>
      <sheetName val="MM019"/>
      <sheetName val="MM024"/>
      <sheetName val="OSFI"/>
      <sheetName val="FI004"/>
      <sheetName val="FI005"/>
      <sheetName val="SPN 05"/>
      <sheetName val="REVERSE REPO"/>
      <sheetName val="OTC"/>
      <sheetName val="OTC 004"/>
      <sheetName val="OTC 007"/>
      <sheetName val="OTC 017"/>
      <sheetName val="OTC 020"/>
      <sheetName val="OTC 035"/>
      <sheetName val="MTMCDS 04-35"/>
      <sheetName val="MTMCDS 017-35"/>
      <sheetName val="CDS 04"/>
      <sheetName val="CDS 17"/>
      <sheetName val="BUMJ"/>
      <sheetName val="Demand"/>
      <sheetName val="Utilization"/>
      <sheetName val="Utlz (Act)"/>
      <sheetName val="Chart-L1"/>
      <sheetName val="Chart-L2"/>
      <sheetName val="Phil"/>
      <sheetName val="Mal"/>
      <sheetName val="Bru"/>
      <sheetName val="TH"/>
      <sheetName val="AU"/>
      <sheetName val="NZ"/>
      <sheetName val="TW"/>
      <sheetName val="NPD"/>
      <sheetName val="GESD"/>
      <sheetName val="EXCEPTION RPT"/>
      <sheetName val="BII-FORM"/>
      <sheetName val="BII-DETAIL"/>
      <sheetName val="ATJ-FORM"/>
      <sheetName val="ATJ-DETAIL"/>
      <sheetName val="KL-TR-08"/>
      <sheetName val="E. Lead Schedule"/>
      <sheetName val="E.1 AR-Trade"/>
      <sheetName val="E.2 CRAM"/>
      <sheetName val="E.2 Sub'q. Coll."/>
      <sheetName val="G. Lead Schedule (2)"/>
      <sheetName val="G. Lead Schedule"/>
      <sheetName val="G.1 Deposit"/>
      <sheetName val="G.2 Dep. to MQD"/>
      <sheetName val="G.3 Prepaid Rent-Nov."/>
      <sheetName val="G.3.1 Prepaid Rent - Dec."/>
      <sheetName val="Prepaid Rent-Dec."/>
      <sheetName val="G.4 Adv. to Suppliers"/>
      <sheetName val="Adv. to Supp.-Dec."/>
      <sheetName val="G.6 Prepaid Expenses-Nov"/>
      <sheetName val="G.6.1 Prepaid Exp. Dec."/>
      <sheetName val="G.6.1 Prepaid-Exp.-Dec."/>
      <sheetName val="G.7 Prepaid Tax"/>
      <sheetName val="Pretax-Dec."/>
      <sheetName val="Dep. to MQD-Dec."/>
      <sheetName val="Deposit - Dec."/>
      <sheetName val="E1. AR-Trade"/>
      <sheetName val="Debtors_Rollforward_Details"/>
      <sheetName val="E1. AR-Trade (2)"/>
      <sheetName val="E1. AR-Trade (3)"/>
      <sheetName val="E2. Export Sub'qt"/>
      <sheetName val="E3. Local Sub'qt"/>
      <sheetName val="E4. Export Samples"/>
      <sheetName val="E5. Local Samples"/>
      <sheetName val="E.6 Polyester"/>
      <sheetName val="E.7  OPM"/>
      <sheetName val="E.7  OPM (2)"/>
      <sheetName val="E.6 Polyester (3)"/>
      <sheetName val="E.8 Net Sales (Amount)"/>
      <sheetName val="Export"/>
      <sheetName val="E.9 Sales (Quantity)"/>
      <sheetName val="STOCKHAM TAX DATA_RAW"/>
      <sheetName val="AJE-CAJE"/>
      <sheetName val="Employee Loan"/>
      <sheetName val="Deferred charges"/>
      <sheetName val="Mapping COGS opex"/>
      <sheetName val="RE  Recon"/>
      <sheetName val="TB_31Dec09"/>
      <sheetName val="TB_31Oct09"/>
      <sheetName val="TB_31Aug09"/>
      <sheetName val="TB_SAP07"/>
      <sheetName val="TB_31Dec06"/>
      <sheetName val="Detail IS 07"/>
      <sheetName val="Detail FOH 06"/>
      <sheetName val="Mapping Opex 06"/>
      <sheetName val="N_1"/>
      <sheetName val="N.1.1 - N.1.2"/>
      <sheetName val="N.2 Rekon AP vs LHD"/>
      <sheetName val="N.2.1 - N.2.3"/>
      <sheetName val="N.3 pending payment"/>
      <sheetName val="N.4.1 APP0L"/>
      <sheetName val="N.4.2"/>
      <sheetName val="N.5 - SURL"/>
      <sheetName val="NN1-new"/>
      <sheetName val="Interconnecting Piping"/>
      <sheetName val="AG PIPING REV.1"/>
      <sheetName val="Process Piping"/>
      <sheetName val="ITB COST"/>
      <sheetName val="E-2.3 Memo"/>
      <sheetName val="E-2.3 Lead"/>
      <sheetName val="E-2.3.1.1"/>
      <sheetName val="E-2.3.a (Piut.Lain&amp;Manu)"/>
      <sheetName val="E-2.3.1.1(July)"/>
      <sheetName val="E-2.3.1.2"/>
      <sheetName val="E-2.3.1.2(July)"/>
      <sheetName val="E-2.3.1.3 (AHM)"/>
      <sheetName val="E-2.3.1.4 (MD)"/>
      <sheetName val="E-2.3.1.5"/>
      <sheetName val="E-2.3.1.6 (Sales Detail I)"/>
      <sheetName val="E-2.3.1.7 (Sales Detail II)"/>
      <sheetName val="E-2.3.1 (Daan Mogot)"/>
      <sheetName val="E-2.3.2 (Jakarta)"/>
      <sheetName val="E-2.3.3 (Rawamangun)"/>
      <sheetName val="E-2.3.4 (Ciputat)"/>
      <sheetName val="E-2.3.5 (Cikupa)"/>
      <sheetName val="E-2.3.6 (Ciledug)"/>
      <sheetName val="E-2.3.7 (Mauk)"/>
      <sheetName val="E-2.3.8 (Tangerang)"/>
      <sheetName val="E-2.3.9 (Blitar)"/>
      <sheetName val="E-2.3.10 (Gresik) "/>
      <sheetName val="E-2.3.11 (Jombang)"/>
      <sheetName val="E-2.3.12 (Kediri)"/>
      <sheetName val="E-2.3.13 (Malang) "/>
      <sheetName val="E-2.3.14 (Mojokerto)"/>
      <sheetName val="E-2.3.15 (Sidoarjo)"/>
      <sheetName val="E-2.3.16 (Surabaya 2) "/>
      <sheetName val="E-2.3.17 (Banyuwangi) "/>
      <sheetName val="E-2.3.18 (Pasuruan) "/>
      <sheetName val="E-2.3.19 (Pekanbaru)"/>
      <sheetName val="E-2.3.20 (Duri)"/>
      <sheetName val="E-2.3.21 (Lampung)"/>
      <sheetName val="E-2.3.22 (Palembang)"/>
      <sheetName val="E-2.3.23 (HO)"/>
      <sheetName val="EE E-2.3"/>
      <sheetName val="Attachment 11"/>
      <sheetName val="Attachment 28"/>
      <sheetName val="Attachment 29"/>
      <sheetName val="Attachment 6"/>
      <sheetName val="Attachment Other Rec July 2010"/>
      <sheetName val="Attachment 48"/>
      <sheetName val="Rekon Gross Salary HO"/>
      <sheetName val="Rekon PPH 21 HO"/>
      <sheetName val="Sample PPh 21"/>
      <sheetName val="O-1 Lead"/>
      <sheetName val="Rekap Hutang Pajak"/>
      <sheetName val="BU2_Cikupa"/>
      <sheetName val="BU2_Ciledug&amp;Pondok Pin"/>
      <sheetName val="BU2_Mauk"/>
      <sheetName val="BU2_Serang"/>
      <sheetName val="BU2_Tangerang"/>
      <sheetName val="BU4_Karawang"/>
      <sheetName val="BU4_Bandung"/>
      <sheetName val="BU4_Bandung Multibrand"/>
      <sheetName val="BU4_Cirebon"/>
      <sheetName val="BU4_Jatibarang"/>
      <sheetName val="BU4_Subang"/>
      <sheetName val="BU4_Tasik Malaya"/>
      <sheetName val="BU5_Pemalang"/>
      <sheetName val="BU5_Cilacap"/>
      <sheetName val="BU5_Klaten"/>
      <sheetName val="BU5_Kudus"/>
      <sheetName val="BU5_Pekalongan"/>
      <sheetName val="BU5_Purwokerto"/>
      <sheetName val="BU5_Semarang"/>
      <sheetName val="BU5_Solo"/>
      <sheetName val="BU5_Yogyakarta"/>
      <sheetName val="BU6_Blitar"/>
      <sheetName val="BU6_Bojonegoro"/>
      <sheetName val="BU6_Jombang"/>
      <sheetName val="BU6_Kediri"/>
      <sheetName val="BU6_Madiun"/>
      <sheetName val="BU6_Malang"/>
      <sheetName val="BU6_Mojokerto"/>
      <sheetName val="BU6_Sidoarjo"/>
      <sheetName val="BU6_Surabaya"/>
      <sheetName val="BU6_Tuban"/>
      <sheetName val="BU7_Batam"/>
      <sheetName val="BU7_Binjai"/>
      <sheetName val="BU7_Lubuk Pakam"/>
      <sheetName val="BU7_Medan"/>
      <sheetName val="BU7_Pekan Baru"/>
      <sheetName val="BU7_Kisaran"/>
      <sheetName val="Rekap Beban Pajak"/>
      <sheetName val="BU6_Surabaya-Kertajaya"/>
      <sheetName val="Attachment 1-Sample PPh 21"/>
      <sheetName val="Attachment 2-Rekon PPH 21 HO"/>
      <sheetName val="Attach 3-Rekon Gross Salary HO"/>
      <sheetName val="Pending Data"/>
      <sheetName val="G-1 Memo"/>
      <sheetName val="Attachment 3"/>
      <sheetName val="N5.3 UUK 13"/>
      <sheetName val="N5.3 Memo"/>
      <sheetName val="N5.3.1 KepMen.ak"/>
      <sheetName val="N5.3.1.1 GL"/>
      <sheetName val="N5.3.2 MBT"/>
      <sheetName val="N5.3.1.3"/>
      <sheetName val="N5.3.1.3.1"/>
      <sheetName val="N5.3.1.4"/>
      <sheetName val="E-2.6 Memo"/>
      <sheetName val="E-2.6 Lead"/>
      <sheetName val="11303002"/>
      <sheetName val="Masih April"/>
      <sheetName val="Attachment 13"/>
      <sheetName val="Piutang Refund Premi"/>
      <sheetName val="G-3 Memo"/>
      <sheetName val="G-3 Lead"/>
      <sheetName val="G-3.2"/>
      <sheetName val="Attachment 5"/>
      <sheetName val="G-3.1.1"/>
      <sheetName val="G-3.1.2 "/>
      <sheetName val="G-3.1.3"/>
      <sheetName val="G-3.1.4"/>
      <sheetName val="Attachment 36"/>
      <sheetName val="Est. Sal by pers"/>
      <sheetName val="Perjamuan Tamu"/>
      <sheetName val="Hutang Lain Lain"/>
      <sheetName val="Uang Muka lain lain"/>
      <sheetName val="non mutasi"/>
      <sheetName val="Movement Penyisihan"/>
      <sheetName val="RB BU8"/>
      <sheetName val="RB Bkl kanit"/>
      <sheetName val="RB Plb kanit"/>
      <sheetName val="RB Jbi kanit"/>
      <sheetName val="RB Prb kanit"/>
      <sheetName val="RB Lpg"/>
      <sheetName val="Motor Tarikan"/>
      <sheetName val="PIUTANG CLAIM ASURANSI"/>
      <sheetName val="PIUTANG BII"/>
      <sheetName val="TITIPAN BII"/>
      <sheetName val="RK PUSAT"/>
      <sheetName val="Meterai"/>
      <sheetName val="Accrued Komisi"/>
      <sheetName val="Cek List-"/>
      <sheetName val="PM-TE-SAD"/>
      <sheetName val="SRM_BS Report"/>
      <sheetName val="SRM_PL Report"/>
      <sheetName val="A3 - BS"/>
      <sheetName val="A3 - PL"/>
      <sheetName val="A3 - Off BS"/>
      <sheetName val="CF format"/>
      <sheetName val="Supporting CF"/>
      <sheetName val="A3 - OFF"/>
      <sheetName val="Adj MIDAS"/>
      <sheetName val="CF format (2)"/>
      <sheetName val="Adj CSB"/>
      <sheetName val="Adj IC Elimination"/>
      <sheetName val="BS Report"/>
      <sheetName val="PL Report"/>
      <sheetName val="KPI CBO"/>
      <sheetName val="KPI RO"/>
      <sheetName val="KPI CS"/>
      <sheetName val="TE Calc"/>
      <sheetName val="D-lead"/>
      <sheetName val="E-lead"/>
      <sheetName val="G-lead"/>
      <sheetName val="J-lead"/>
      <sheetName val="FA mov't"/>
      <sheetName val="N-lead"/>
      <sheetName val="P-lead"/>
      <sheetName val="O-lead"/>
      <sheetName val="T-lead"/>
      <sheetName val="U-1 Lead"/>
      <sheetName val="U-2 Lead"/>
      <sheetName val="6600"/>
      <sheetName val="Related"/>
      <sheetName val="TODAY PROCESS"/>
      <sheetName val="tbl-penundaan"/>
      <sheetName val="Apl. Penundaan"/>
      <sheetName val="E-Payment (2)"/>
      <sheetName val="E-Payment"/>
      <sheetName val="DATA-ERROR"/>
      <sheetName val="rekon_kris"/>
      <sheetName val="Rekonsiliasi_Penundaan"/>
      <sheetName val="REKAP_CABANG"/>
      <sheetName val="peg. agustus 06"/>
      <sheetName val="d01"/>
      <sheetName val="d02"/>
      <sheetName val="d03"/>
      <sheetName val="d04"/>
      <sheetName val="d05"/>
      <sheetName val="d06"/>
      <sheetName val="d07"/>
      <sheetName val="d08"/>
      <sheetName val="d08b"/>
      <sheetName val="d09(no print)"/>
      <sheetName val="D09a"/>
      <sheetName val="D09b"/>
      <sheetName val="d09c(no print)"/>
      <sheetName val="d11 (no print)"/>
      <sheetName val="d17(no print)"/>
      <sheetName val="d19(no print)"/>
      <sheetName val="d20(no print)"/>
      <sheetName val="SGD"/>
      <sheetName val="EUR"/>
      <sheetName val="AUD"/>
      <sheetName val="JPY"/>
      <sheetName val="HKD"/>
      <sheetName val="USD_JPM"/>
      <sheetName val="IDR"/>
      <sheetName val="Color_info"/>
      <sheetName val="RKP KDR"/>
      <sheetName val="LAP KDR"/>
      <sheetName val="RKP MOST"/>
      <sheetName val="PNGM"/>
      <sheetName val="LAP CODE"/>
      <sheetName val="DBF"/>
      <sheetName val="UU13-06"/>
      <sheetName val="UU13-07"/>
      <sheetName val="UU13-08"/>
      <sheetName val="Dis-07"/>
      <sheetName val="Dis-08"/>
      <sheetName val="JAPA (Ina)"/>
      <sheetName val="JAPA (Ing)"/>
      <sheetName val="Rek Ind"/>
      <sheetName val="Rek Ing"/>
      <sheetName val="Mort-06"/>
      <sheetName val="Mort-07"/>
      <sheetName val="Mort-08"/>
      <sheetName val="DtPes-06"/>
      <sheetName val="DtPes-07"/>
      <sheetName val="DtPes-08"/>
      <sheetName val="Exp-07"/>
      <sheetName val="Exp-08"/>
      <sheetName val="PRASS99"/>
      <sheetName val="Résultats"/>
      <sheetName val="Sub Acc"/>
      <sheetName val="FRN"/>
      <sheetName val="BEP"/>
      <sheetName val="0220"/>
      <sheetName val="DaiRep"/>
      <sheetName val="CondDaily"/>
      <sheetName val="CondMonthly"/>
      <sheetName val="CondWeekly"/>
      <sheetName val="SubcWeekly"/>
      <sheetName val="TotalWeekly"/>
      <sheetName val="TotalMonthly"/>
      <sheetName val="Weather"/>
      <sheetName val="Safety"/>
      <sheetName val="Busang1"/>
      <sheetName val="Busang2"/>
      <sheetName val="Busang3"/>
      <sheetName val="Jonggon1"/>
      <sheetName val="Jonggon2"/>
      <sheetName val="Jonggon3"/>
      <sheetName val="Input2"/>
      <sheetName val="epei "/>
      <sheetName val="Block"/>
      <sheetName val="Blast Location"/>
      <sheetName val="1. KALENDER"/>
      <sheetName val="2. OB MINE"/>
      <sheetName val="3. P4"/>
      <sheetName val="4. Budget Plan 2008 REV 5"/>
      <sheetName val="5. PICA MONTHLY"/>
      <sheetName val="7. Master Drill"/>
      <sheetName val="8. Budget Plan 2008 (2)"/>
      <sheetName val="9. Target Drill&amp;Blast by ts"/>
      <sheetName val="10. INPUT-DR2007"/>
      <sheetName val="11. INPUT-DR3008"/>
      <sheetName val="12. INPUT-DR3009"/>
      <sheetName val="13. INPUT-DR3010"/>
      <sheetName val="14. INPUT-Monthly Blast"/>
      <sheetName val="15. Daily_Report"/>
      <sheetName val="16. Drill Activity Report"/>
      <sheetName val="17. Monthly Report Drill"/>
      <sheetName val="18. ALL SUMMARY D&amp;B"/>
      <sheetName val="20. FOR DAILY MEETING"/>
      <sheetName val="21. Cost Summary"/>
      <sheetName val="MMU Chart"/>
      <sheetName val="PA vs UA 7361"/>
      <sheetName val="PA vs UA 7362"/>
      <sheetName val="PA vs UA 7342"/>
      <sheetName val="Summury"/>
      <sheetName val="week"/>
      <sheetName val=" Drill Meter Opt Performance"/>
      <sheetName val="data base drill "/>
      <sheetName val="Sep_08"/>
      <sheetName val="Master022004"/>
      <sheetName val="Budget Control"/>
      <sheetName val="OB_Production"/>
      <sheetName val="tabel_dat"/>
      <sheetName val="PAS"/>
      <sheetName val="PAN"/>
      <sheetName val="epei_1"/>
      <sheetName val="Blast_Location1"/>
      <sheetName val="1__KALENDER1"/>
      <sheetName val="2__OB_MINE1"/>
      <sheetName val="3__P41"/>
      <sheetName val="4__Budget_Plan_2008_REV_51"/>
      <sheetName val="5__PICA_MONTHLY1"/>
      <sheetName val="7__Master_Drill1"/>
      <sheetName val="8__Budget_Plan_2008_(2)1"/>
      <sheetName val="9__Target_Drill&amp;Blast_by_ts1"/>
      <sheetName val="10__INPUT-DR20071"/>
      <sheetName val="11__INPUT-DR30081"/>
      <sheetName val="12__INPUT-DR30091"/>
      <sheetName val="13__INPUT-DR30101"/>
      <sheetName val="14__INPUT-Monthly_Blast1"/>
      <sheetName val="15__Daily_Report1"/>
      <sheetName val="16__Drill_Activity_Report1"/>
      <sheetName val="17__Monthly_Report_Drill1"/>
      <sheetName val="18__ALL_SUMMARY_D&amp;B1"/>
      <sheetName val="20__FOR_DAILY_MEETING1"/>
      <sheetName val="21__Cost_Summary1"/>
      <sheetName val="MMU_Chart1"/>
      <sheetName val="PA_vs_UA_73611"/>
      <sheetName val="PA_vs_UA_73621"/>
      <sheetName val="PA_vs_UA_73421"/>
      <sheetName val="_Drill_Meter_Opt_Performance1"/>
      <sheetName val="data_base_drill_1"/>
      <sheetName val="Budget_Control1"/>
      <sheetName val="Rekap_Direct_Cost1"/>
      <sheetName val="epei_"/>
      <sheetName val="Blast_Location"/>
      <sheetName val="1__KALENDER"/>
      <sheetName val="2__OB_MINE"/>
      <sheetName val="3__P4"/>
      <sheetName val="4__Budget_Plan_2008_REV_5"/>
      <sheetName val="5__PICA_MONTHLY"/>
      <sheetName val="7__Master_Drill"/>
      <sheetName val="8__Budget_Plan_2008_(2)"/>
      <sheetName val="9__Target_Drill&amp;Blast_by_ts"/>
      <sheetName val="10__INPUT-DR2007"/>
      <sheetName val="11__INPUT-DR3008"/>
      <sheetName val="12__INPUT-DR3009"/>
      <sheetName val="13__INPUT-DR3010"/>
      <sheetName val="14__INPUT-Monthly_Blast"/>
      <sheetName val="15__Daily_Report"/>
      <sheetName val="16__Drill_Activity_Report"/>
      <sheetName val="17__Monthly_Report_Drill"/>
      <sheetName val="18__ALL_SUMMARY_D&amp;B"/>
      <sheetName val="20__FOR_DAILY_MEETING"/>
      <sheetName val="21__Cost_Summary"/>
      <sheetName val="MMU_Chart"/>
      <sheetName val="PA_vs_UA_7361"/>
      <sheetName val="PA_vs_UA_7362"/>
      <sheetName val="PA_vs_UA_7342"/>
      <sheetName val="_Drill_Meter_Opt_Performance"/>
      <sheetName val="data_base_drill_"/>
      <sheetName val="Budget_Control"/>
      <sheetName val="Rekap_Direct_Cost"/>
      <sheetName val="BARGING"/>
      <sheetName val="CLOSING"/>
      <sheetName val="NewFunding"/>
      <sheetName val="summ__crush"/>
      <sheetName val="GETTING"/>
      <sheetName val="RunOff"/>
      <sheetName val="epei_3"/>
      <sheetName val="Blast_Location3"/>
      <sheetName val="1__KALENDER3"/>
      <sheetName val="2__OB_MINE3"/>
      <sheetName val="3__P43"/>
      <sheetName val="4__Budget_Plan_2008_REV_53"/>
      <sheetName val="5__PICA_MONTHLY3"/>
      <sheetName val="7__Master_Drill3"/>
      <sheetName val="8__Budget_Plan_2008_(2)3"/>
      <sheetName val="9__Target_Drill&amp;Blast_by_ts3"/>
      <sheetName val="10__INPUT-DR20073"/>
      <sheetName val="11__INPUT-DR30083"/>
      <sheetName val="12__INPUT-DR30093"/>
      <sheetName val="13__INPUT-DR30103"/>
      <sheetName val="14__INPUT-Monthly_Blast3"/>
      <sheetName val="15__Daily_Report3"/>
      <sheetName val="16__Drill_Activity_Report3"/>
      <sheetName val="17__Monthly_Report_Drill3"/>
      <sheetName val="18__ALL_SUMMARY_D&amp;B3"/>
      <sheetName val="20__FOR_DAILY_MEETING3"/>
      <sheetName val="21__Cost_Summary3"/>
      <sheetName val="MMU_Chart3"/>
      <sheetName val="PA_vs_UA_73613"/>
      <sheetName val="PA_vs_UA_73623"/>
      <sheetName val="PA_vs_UA_73423"/>
      <sheetName val="_Drill_Meter_Opt_Performance3"/>
      <sheetName val="data_base_drill_3"/>
      <sheetName val="Budget_Control3"/>
      <sheetName val="Rekap_Direct_Cost3"/>
      <sheetName val="epei_2"/>
      <sheetName val="Blast_Location2"/>
      <sheetName val="1__KALENDER2"/>
      <sheetName val="2__OB_MINE2"/>
      <sheetName val="3__P42"/>
      <sheetName val="4__Budget_Plan_2008_REV_52"/>
      <sheetName val="5__PICA_MONTHLY2"/>
      <sheetName val="7__Master_Drill2"/>
      <sheetName val="8__Budget_Plan_2008_(2)2"/>
      <sheetName val="9__Target_Drill&amp;Blast_by_ts2"/>
      <sheetName val="10__INPUT-DR20072"/>
      <sheetName val="11__INPUT-DR30082"/>
      <sheetName val="12__INPUT-DR30092"/>
      <sheetName val="13__INPUT-DR30102"/>
      <sheetName val="14__INPUT-Monthly_Blast2"/>
      <sheetName val="15__Daily_Report2"/>
      <sheetName val="16__Drill_Activity_Report2"/>
      <sheetName val="17__Monthly_Report_Drill2"/>
      <sheetName val="18__ALL_SUMMARY_D&amp;B2"/>
      <sheetName val="20__FOR_DAILY_MEETING2"/>
      <sheetName val="21__Cost_Summary2"/>
      <sheetName val="MMU_Chart2"/>
      <sheetName val="PA_vs_UA_73612"/>
      <sheetName val="PA_vs_UA_73622"/>
      <sheetName val="PA_vs_UA_73422"/>
      <sheetName val="_Drill_Meter_Opt_Performance2"/>
      <sheetName val="data_base_drill_2"/>
      <sheetName val="Budget_Control2"/>
      <sheetName val="Rekap_Direct_Cost2"/>
      <sheetName val="epei_5"/>
      <sheetName val="Blast_Location5"/>
      <sheetName val="1__KALENDER5"/>
      <sheetName val="2__OB_MINE5"/>
      <sheetName val="3__P45"/>
      <sheetName val="4__Budget_Plan_2008_REV_55"/>
      <sheetName val="5__PICA_MONTHLY5"/>
      <sheetName val="7__Master_Drill5"/>
      <sheetName val="8__Budget_Plan_2008_(2)5"/>
      <sheetName val="9__Target_Drill&amp;Blast_by_ts5"/>
      <sheetName val="10__INPUT-DR20075"/>
      <sheetName val="11__INPUT-DR30085"/>
      <sheetName val="12__INPUT-DR30095"/>
      <sheetName val="13__INPUT-DR30105"/>
      <sheetName val="14__INPUT-Monthly_Blast5"/>
      <sheetName val="15__Daily_Report5"/>
      <sheetName val="16__Drill_Activity_Report5"/>
      <sheetName val="17__Monthly_Report_Drill5"/>
      <sheetName val="18__ALL_SUMMARY_D&amp;B5"/>
      <sheetName val="20__FOR_DAILY_MEETING5"/>
      <sheetName val="21__Cost_Summary5"/>
      <sheetName val="MMU_Chart5"/>
      <sheetName val="PA_vs_UA_73615"/>
      <sheetName val="PA_vs_UA_73625"/>
      <sheetName val="PA_vs_UA_73425"/>
      <sheetName val="_Drill_Meter_Opt_Performance5"/>
      <sheetName val="data_base_drill_5"/>
      <sheetName val="Budget_Control5"/>
      <sheetName val="Rekap_Direct_Cost5"/>
      <sheetName val="summ__crush4"/>
      <sheetName val="epei_4"/>
      <sheetName val="Blast_Location4"/>
      <sheetName val="1__KALENDER4"/>
      <sheetName val="2__OB_MINE4"/>
      <sheetName val="3__P44"/>
      <sheetName val="4__Budget_Plan_2008_REV_54"/>
      <sheetName val="5__PICA_MONTHLY4"/>
      <sheetName val="7__Master_Drill4"/>
      <sheetName val="8__Budget_Plan_2008_(2)4"/>
      <sheetName val="9__Target_Drill&amp;Blast_by_ts4"/>
      <sheetName val="10__INPUT-DR20074"/>
      <sheetName val="11__INPUT-DR30084"/>
      <sheetName val="12__INPUT-DR30094"/>
      <sheetName val="13__INPUT-DR30104"/>
      <sheetName val="14__INPUT-Monthly_Blast4"/>
      <sheetName val="15__Daily_Report4"/>
      <sheetName val="16__Drill_Activity_Report4"/>
      <sheetName val="17__Monthly_Report_Drill4"/>
      <sheetName val="18__ALL_SUMMARY_D&amp;B4"/>
      <sheetName val="20__FOR_DAILY_MEETING4"/>
      <sheetName val="21__Cost_Summary4"/>
      <sheetName val="MMU_Chart4"/>
      <sheetName val="PA_vs_UA_73614"/>
      <sheetName val="PA_vs_UA_73624"/>
      <sheetName val="PA_vs_UA_73424"/>
      <sheetName val="_Drill_Meter_Opt_Performance4"/>
      <sheetName val="data_base_drill_4"/>
      <sheetName val="Budget_Control4"/>
      <sheetName val="Rekap_Direct_Cost4"/>
      <sheetName val="epei_7"/>
      <sheetName val="Blast_Location7"/>
      <sheetName val="1__KALENDER7"/>
      <sheetName val="2__OB_MINE7"/>
      <sheetName val="3__P47"/>
      <sheetName val="4__Budget_Plan_2008_REV_57"/>
      <sheetName val="5__PICA_MONTHLY7"/>
      <sheetName val="7__Master_Drill7"/>
      <sheetName val="8__Budget_Plan_2008_(2)7"/>
      <sheetName val="9__Target_Drill&amp;Blast_by_ts7"/>
      <sheetName val="10__INPUT-DR20077"/>
      <sheetName val="11__INPUT-DR30087"/>
      <sheetName val="12__INPUT-DR30097"/>
      <sheetName val="13__INPUT-DR30107"/>
      <sheetName val="14__INPUT-Monthly_Blast7"/>
      <sheetName val="15__Daily_Report7"/>
      <sheetName val="16__Drill_Activity_Report7"/>
      <sheetName val="17__Monthly_Report_Drill7"/>
      <sheetName val="18__ALL_SUMMARY_D&amp;B7"/>
      <sheetName val="20__FOR_DAILY_MEETING7"/>
      <sheetName val="21__Cost_Summary7"/>
      <sheetName val="MMU_Chart7"/>
      <sheetName val="PA_vs_UA_73617"/>
      <sheetName val="PA_vs_UA_73627"/>
      <sheetName val="PA_vs_UA_73427"/>
      <sheetName val="_Drill_Meter_Opt_Performance7"/>
      <sheetName val="data_base_drill_7"/>
      <sheetName val="Budget_Control7"/>
      <sheetName val="Rekap_Direct_Cost7"/>
      <sheetName val="epei_6"/>
      <sheetName val="Blast_Location6"/>
      <sheetName val="1__KALENDER6"/>
      <sheetName val="2__OB_MINE6"/>
      <sheetName val="3__P46"/>
      <sheetName val="4__Budget_Plan_2008_REV_56"/>
      <sheetName val="5__PICA_MONTHLY6"/>
      <sheetName val="7__Master_Drill6"/>
      <sheetName val="8__Budget_Plan_2008_(2)6"/>
      <sheetName val="9__Target_Drill&amp;Blast_by_ts6"/>
      <sheetName val="10__INPUT-DR20076"/>
      <sheetName val="11__INPUT-DR30086"/>
      <sheetName val="12__INPUT-DR30096"/>
      <sheetName val="13__INPUT-DR30106"/>
      <sheetName val="14__INPUT-Monthly_Blast6"/>
      <sheetName val="15__Daily_Report6"/>
      <sheetName val="16__Drill_Activity_Report6"/>
      <sheetName val="17__Monthly_Report_Drill6"/>
      <sheetName val="18__ALL_SUMMARY_D&amp;B6"/>
      <sheetName val="20__FOR_DAILY_MEETING6"/>
      <sheetName val="21__Cost_Summary6"/>
      <sheetName val="MMU_Chart6"/>
      <sheetName val="PA_vs_UA_73616"/>
      <sheetName val="PA_vs_UA_73626"/>
      <sheetName val="PA_vs_UA_73426"/>
      <sheetName val="_Drill_Meter_Opt_Performance6"/>
      <sheetName val="data_base_drill_6"/>
      <sheetName val="Budget_Control6"/>
      <sheetName val="Rekap_Direct_Cost6"/>
      <sheetName val="CFIS_Audited_R3"/>
      <sheetName val="BS_Anrev"/>
      <sheetName val="PL_Anrev"/>
      <sheetName val="Reconcile PwC _ Pama"/>
      <sheetName val="BS_Master"/>
      <sheetName val="PL_Master"/>
      <sheetName val="Adjustments"/>
      <sheetName val="Breakdown CFIS"/>
      <sheetName val="CFIS-0212-CONSOL-Audited-R2"/>
      <sheetName val="CFIS Nov &amp; Jun 02, &amp; Dec 01 "/>
      <sheetName val="CFIS-0212-CONSOL-A (unaudited)"/>
      <sheetName val="Reconcile_PwC___Pama"/>
      <sheetName val="Breakdown_CFIS"/>
      <sheetName val="Minority_interest"/>
      <sheetName val="CFIS_Nov_&amp;_Jun_02,_&amp;_Dec_01_"/>
      <sheetName val="CFIS-0212-CONSOL-A_(unaudited)"/>
      <sheetName val="cc100CofA"/>
      <sheetName val="cc32logCofA"/>
      <sheetName val="1SAPDesc"/>
      <sheetName val="Mth KPI's"/>
      <sheetName val="9618UH"/>
      <sheetName val="KONSOL_SUBS"/>
      <sheetName val="Mei_2007"/>
      <sheetName val="COEFF"/>
      <sheetName val="KONSOL_SUBS1"/>
      <sheetName val="Mei_20071"/>
      <sheetName val="BS_final"/>
      <sheetName val="Print_AR"/>
      <sheetName val="Scrap "/>
      <sheetName val="Rekap-KONS"/>
      <sheetName val="BQ Konst"/>
      <sheetName val="BQ Gng Tabur"/>
      <sheetName val="BQ Sambaliung"/>
      <sheetName val="BL Turap"/>
      <sheetName val="RAB-kons"/>
      <sheetName val="hsat-SD"/>
      <sheetName val="an-sat"/>
      <sheetName val="L3 An H Sat Mob"/>
      <sheetName val="Distribusi LBP"/>
      <sheetName val="Tanggapan-LBP1"/>
      <sheetName val="Tanggapan-LBP2"/>
      <sheetName val="EL-HUP"/>
      <sheetName val="QMSL _ QPASS"/>
      <sheetName val="by PO"/>
      <sheetName val="$"/>
      <sheetName val="Revised (2)"/>
      <sheetName val="Revised"/>
      <sheetName val="PATRA"/>
      <sheetName val="VAZA"/>
      <sheetName val="MULTINIT"/>
      <sheetName val="TEST (4)"/>
      <sheetName val="FORM"/>
      <sheetName val="abn-usd"/>
      <sheetName val="abn-idr"/>
      <sheetName val="usd-jo"/>
      <sheetName val="idr-jo"/>
      <sheetName val="usd-ht"/>
      <sheetName val="idr-ht"/>
      <sheetName val="RCVD"/>
      <sheetName val="DH"/>
      <sheetName val="ACP"/>
      <sheetName val="Comparison (2)"/>
      <sheetName val="A2B"/>
      <sheetName val="KWB QUARRY_SCOREA"/>
      <sheetName val="KWB TOP COARSE"/>
      <sheetName val="KWB SCOREA"/>
      <sheetName val="KWB TANAH MERAH"/>
      <sheetName val="KWB HAULING"/>
      <sheetName val="DT KWB"/>
      <sheetName val="DT KWB (2)"/>
      <sheetName val="REP (DT Hauling)"/>
      <sheetName val="MHA (Primemover)"/>
      <sheetName val="DWIPA (SportCharter)"/>
      <sheetName val="PDK (Dirty Coal)"/>
      <sheetName val="GLJ (A2B)"/>
      <sheetName val="PRIMA (A2B)"/>
      <sheetName val="AJK"/>
      <sheetName val="KWB (A2B)"/>
      <sheetName val="REP (A2B)"/>
      <sheetName val="REP (DT Mining)"/>
      <sheetName val="REP (Primemover)"/>
      <sheetName val="PDK (A2B)"/>
      <sheetName val="PDK (Lumpur)"/>
      <sheetName val="PDK (Quary)"/>
      <sheetName val="REP (Quary)"/>
      <sheetName val="GLJ (Hauling)"/>
      <sheetName val="PI (Primemover)"/>
      <sheetName val="PI (DT Hauling)"/>
      <sheetName val="REP (Lumpur)"/>
      <sheetName val="PI (DT Mining)"/>
      <sheetName val="KERSIK"/>
      <sheetName val="PRIMA (Top Soil)"/>
      <sheetName val="Routing BAP"/>
      <sheetName val="Routing INVOICE"/>
      <sheetName val="DWIPA"/>
      <sheetName val="SUBCONT CLAIM"/>
      <sheetName val="REP (Riject Stone)"/>
      <sheetName val="PDK (Tanah)"/>
      <sheetName val="RESUME DT MINING"/>
      <sheetName val="RESUME DT HAULING"/>
      <sheetName val="RESUME A2B"/>
      <sheetName val="RESUME OTHERS ACTIVITY"/>
      <sheetName val="GLJ (DT Mining)"/>
      <sheetName val="PDK (Hauling)"/>
      <sheetName val="PDK (DT Mining)"/>
      <sheetName val="STJ (Primemover)"/>
      <sheetName val="POINT of SUBCONT EVALUATION"/>
      <sheetName val="IPU"/>
      <sheetName val="TF"/>
      <sheetName val="Opt List"/>
      <sheetName val="EqList"/>
      <sheetName val="SMU"/>
      <sheetName val="Names in This Workbook"/>
      <sheetName val="Hydrogen"/>
      <sheetName val="Helium"/>
      <sheetName val="Lithium"/>
      <sheetName val="Beryllium"/>
      <sheetName val="Chart By Check Box"/>
      <sheetName val="Chart By Combo Box"/>
      <sheetName val="File Code"/>
      <sheetName val="PTDH Sticker"/>
      <sheetName val="KPC Sticker"/>
      <sheetName val="All Equip"/>
      <sheetName val="Cost Structure"/>
      <sheetName val="Detail Income Statements"/>
      <sheetName val="Sens Prod"/>
      <sheetName val="Comparative (4)"/>
      <sheetName val="Comparative (3)"/>
      <sheetName val="Comparative (2)"/>
      <sheetName val="Comparative"/>
      <sheetName val="Cost per Code"/>
      <sheetName val="Per Activity"/>
      <sheetName val="Actual Profit Loss 2007"/>
      <sheetName val="Action Plan"/>
      <sheetName val="Per Department"/>
      <sheetName val="BCP"/>
      <sheetName val="Commercial"/>
      <sheetName val="HR &amp; Admin"/>
      <sheetName val="oprt name"/>
      <sheetName val="DATA OPERATION"/>
      <sheetName val="UPDATE"/>
      <sheetName val="Analysis Cost to Rev"/>
      <sheetName val="Income Statements-Pak Kun"/>
      <sheetName val="spv minggu"/>
      <sheetName val="RC1"/>
      <sheetName val="RC2"/>
      <sheetName val="summ. crush"/>
      <sheetName val="STOCK "/>
      <sheetName val="summ_ crush"/>
      <sheetName val="Lifetime"/>
      <sheetName val="Equipment List JDE"/>
      <sheetName val="Billing Rate"/>
      <sheetName val="Billing Rate Revised"/>
      <sheetName val="SMU Input"/>
      <sheetName val="CAT 777A R&amp;M"/>
      <sheetName val="DT2056"/>
      <sheetName val="DT2057"/>
      <sheetName val="DT2059"/>
      <sheetName val="DT2060"/>
      <sheetName val="DT2135"/>
      <sheetName val="DT2136"/>
      <sheetName val="DT2137"/>
      <sheetName val="DT2138"/>
      <sheetName val="DT2139"/>
      <sheetName val="CAT 777A"/>
      <sheetName val="DT30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 refreshError="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 refreshError="1"/>
      <sheetData sheetId="783"/>
      <sheetData sheetId="784" refreshError="1"/>
      <sheetData sheetId="785" refreshError="1"/>
      <sheetData sheetId="786"/>
      <sheetData sheetId="787" refreshError="1"/>
      <sheetData sheetId="788"/>
      <sheetData sheetId="789"/>
      <sheetData sheetId="790"/>
      <sheetData sheetId="791"/>
      <sheetData sheetId="792" refreshError="1"/>
      <sheetData sheetId="793" refreshError="1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 refreshError="1"/>
      <sheetData sheetId="1094"/>
      <sheetData sheetId="1095"/>
      <sheetData sheetId="1096" refreshError="1"/>
      <sheetData sheetId="1097" refreshError="1"/>
      <sheetData sheetId="1098" refreshError="1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/>
      <sheetData sheetId="1559"/>
      <sheetData sheetId="1560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/>
      <sheetData sheetId="6742"/>
      <sheetData sheetId="6743"/>
      <sheetData sheetId="6744"/>
      <sheetData sheetId="6745" refreshError="1"/>
      <sheetData sheetId="6746"/>
      <sheetData sheetId="6747"/>
      <sheetData sheetId="6748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/>
      <sheetData sheetId="7042"/>
      <sheetData sheetId="7043"/>
      <sheetData sheetId="7044"/>
      <sheetData sheetId="7045"/>
      <sheetData sheetId="7046"/>
      <sheetData sheetId="7047"/>
      <sheetData sheetId="7048" refreshError="1"/>
      <sheetData sheetId="7049"/>
      <sheetData sheetId="7050"/>
      <sheetData sheetId="7051"/>
      <sheetData sheetId="7052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/>
      <sheetData sheetId="7088"/>
      <sheetData sheetId="7089"/>
      <sheetData sheetId="7090"/>
      <sheetData sheetId="7091"/>
      <sheetData sheetId="7092"/>
      <sheetData sheetId="7093" refreshError="1"/>
      <sheetData sheetId="7094"/>
      <sheetData sheetId="7095" refreshError="1"/>
      <sheetData sheetId="7096" refreshError="1"/>
      <sheetData sheetId="7097" refreshError="1"/>
      <sheetData sheetId="7098"/>
      <sheetData sheetId="7099" refreshError="1"/>
      <sheetData sheetId="7100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 refreshError="1"/>
      <sheetData sheetId="7127"/>
      <sheetData sheetId="7128"/>
      <sheetData sheetId="7129"/>
      <sheetData sheetId="7130"/>
      <sheetData sheetId="7131"/>
      <sheetData sheetId="7132"/>
      <sheetData sheetId="7133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 refreshError="1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/>
      <sheetData sheetId="7221"/>
      <sheetData sheetId="7222"/>
      <sheetData sheetId="7223"/>
      <sheetData sheetId="7224"/>
      <sheetData sheetId="7225"/>
      <sheetData sheetId="7226" refreshError="1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 refreshError="1"/>
      <sheetData sheetId="7241" refreshError="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/>
      <sheetData sheetId="7266"/>
      <sheetData sheetId="7267"/>
      <sheetData sheetId="7268" refreshError="1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 refreshError="1"/>
      <sheetData sheetId="7289"/>
      <sheetData sheetId="7290"/>
      <sheetData sheetId="7291"/>
      <sheetData sheetId="7292" refreshError="1"/>
      <sheetData sheetId="7293" refreshError="1"/>
      <sheetData sheetId="7294" refreshError="1"/>
      <sheetData sheetId="7295"/>
      <sheetData sheetId="7296"/>
      <sheetData sheetId="7297"/>
      <sheetData sheetId="7298" refreshError="1"/>
      <sheetData sheetId="7299"/>
      <sheetData sheetId="7300" refreshError="1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 refreshError="1"/>
      <sheetData sheetId="7313" refreshError="1"/>
      <sheetData sheetId="7314" refreshError="1"/>
      <sheetData sheetId="7315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/>
      <sheetData sheetId="7323" refreshError="1"/>
      <sheetData sheetId="7324" refreshError="1"/>
      <sheetData sheetId="7325" refreshError="1"/>
      <sheetData sheetId="7326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/>
      <sheetData sheetId="10470" refreshError="1"/>
      <sheetData sheetId="10471"/>
      <sheetData sheetId="10472" refreshError="1"/>
      <sheetData sheetId="10473" refreshError="1"/>
      <sheetData sheetId="10474"/>
      <sheetData sheetId="10475" refreshError="1"/>
      <sheetData sheetId="10476"/>
      <sheetData sheetId="10477"/>
      <sheetData sheetId="10478"/>
      <sheetData sheetId="10479"/>
      <sheetData sheetId="10480" refreshError="1"/>
      <sheetData sheetId="10481" refreshError="1"/>
      <sheetData sheetId="10482" refreshError="1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/>
      <sheetData sheetId="10500"/>
      <sheetData sheetId="10501"/>
      <sheetData sheetId="10502" refreshError="1"/>
      <sheetData sheetId="10503"/>
      <sheetData sheetId="10504"/>
      <sheetData sheetId="10505"/>
      <sheetData sheetId="10506"/>
      <sheetData sheetId="10507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 refreshError="1"/>
      <sheetData sheetId="10542" refreshError="1"/>
      <sheetData sheetId="10543"/>
      <sheetData sheetId="10544" refreshError="1"/>
      <sheetData sheetId="10545" refreshError="1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 refreshError="1"/>
      <sheetData sheetId="10555"/>
      <sheetData sheetId="10556" refreshError="1"/>
      <sheetData sheetId="10557" refreshError="1"/>
      <sheetData sheetId="10558" refreshError="1"/>
      <sheetData sheetId="10559"/>
      <sheetData sheetId="10560"/>
      <sheetData sheetId="10561"/>
      <sheetData sheetId="10562"/>
      <sheetData sheetId="10563" refreshError="1"/>
      <sheetData sheetId="10564"/>
      <sheetData sheetId="10565"/>
      <sheetData sheetId="10566"/>
      <sheetData sheetId="10567"/>
      <sheetData sheetId="10568" refreshError="1"/>
      <sheetData sheetId="10569" refreshError="1"/>
      <sheetData sheetId="10570" refreshError="1"/>
      <sheetData sheetId="10571" refreshError="1"/>
      <sheetData sheetId="10572"/>
      <sheetData sheetId="10573"/>
      <sheetData sheetId="10574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 refreshError="1"/>
      <sheetData sheetId="10618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/>
      <sheetData sheetId="10627" refreshError="1"/>
      <sheetData sheetId="10628"/>
      <sheetData sheetId="10629"/>
      <sheetData sheetId="10630"/>
      <sheetData sheetId="10631" refreshError="1"/>
      <sheetData sheetId="10632"/>
      <sheetData sheetId="10633" refreshError="1"/>
      <sheetData sheetId="10634" refreshError="1"/>
      <sheetData sheetId="10635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/>
      <sheetData sheetId="10643"/>
      <sheetData sheetId="10644" refreshError="1"/>
      <sheetData sheetId="10645" refreshError="1"/>
      <sheetData sheetId="10646"/>
      <sheetData sheetId="10647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/>
      <sheetData sheetId="1069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 refreshError="1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 refreshError="1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/>
      <sheetData sheetId="10785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 refreshError="1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 refreshError="1"/>
      <sheetData sheetId="10840" refreshError="1"/>
      <sheetData sheetId="1084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/>
      <sheetData sheetId="10917"/>
      <sheetData sheetId="10918"/>
      <sheetData sheetId="10919"/>
      <sheetData sheetId="10920"/>
      <sheetData sheetId="10921"/>
      <sheetData sheetId="10922" refreshError="1"/>
      <sheetData sheetId="10923"/>
      <sheetData sheetId="10924"/>
      <sheetData sheetId="10925"/>
      <sheetData sheetId="10926"/>
      <sheetData sheetId="10927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/>
      <sheetData sheetId="10934" refreshError="1"/>
      <sheetData sheetId="10935" refreshError="1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 refreshError="1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 refreshError="1"/>
      <sheetData sheetId="11006" refreshError="1"/>
      <sheetData sheetId="11007" refreshError="1"/>
      <sheetData sheetId="11008" refreshError="1"/>
      <sheetData sheetId="11009"/>
      <sheetData sheetId="11010"/>
      <sheetData sheetId="11011"/>
      <sheetData sheetId="11012"/>
      <sheetData sheetId="11013"/>
      <sheetData sheetId="11014" refreshError="1"/>
      <sheetData sheetId="11015"/>
      <sheetData sheetId="11016"/>
      <sheetData sheetId="11017"/>
      <sheetData sheetId="11018"/>
      <sheetData sheetId="11019"/>
      <sheetData sheetId="11020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/>
      <sheetData sheetId="11027" refreshError="1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 refreshError="1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 refreshError="1"/>
      <sheetData sheetId="11112"/>
      <sheetData sheetId="11113"/>
      <sheetData sheetId="11114"/>
      <sheetData sheetId="11115"/>
      <sheetData sheetId="11116"/>
      <sheetData sheetId="11117" refreshError="1"/>
      <sheetData sheetId="11118" refreshError="1"/>
      <sheetData sheetId="11119"/>
      <sheetData sheetId="11120"/>
      <sheetData sheetId="11121"/>
      <sheetData sheetId="11122" refreshError="1"/>
      <sheetData sheetId="11123" refreshError="1"/>
      <sheetData sheetId="11124"/>
      <sheetData sheetId="11125" refreshError="1"/>
      <sheetData sheetId="11126" refreshError="1"/>
      <sheetData sheetId="11127" refreshError="1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/>
      <sheetData sheetId="11165" refreshError="1"/>
      <sheetData sheetId="11166"/>
      <sheetData sheetId="11167" refreshError="1"/>
      <sheetData sheetId="11168" refreshError="1"/>
      <sheetData sheetId="11169" refreshError="1"/>
      <sheetData sheetId="11170" refreshError="1"/>
      <sheetData sheetId="11171"/>
      <sheetData sheetId="11172" refreshError="1"/>
      <sheetData sheetId="11173" refreshError="1"/>
      <sheetData sheetId="11174" refreshError="1"/>
      <sheetData sheetId="11175"/>
      <sheetData sheetId="11176" refreshError="1"/>
      <sheetData sheetId="11177" refreshError="1"/>
      <sheetData sheetId="11178" refreshError="1"/>
      <sheetData sheetId="11179" refreshError="1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 refreshError="1"/>
      <sheetData sheetId="11195"/>
      <sheetData sheetId="11196" refreshError="1"/>
      <sheetData sheetId="11197" refreshError="1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 refreshError="1"/>
      <sheetData sheetId="11208"/>
      <sheetData sheetId="11209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/>
      <sheetData sheetId="11262" refreshError="1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/>
      <sheetData sheetId="11354"/>
      <sheetData sheetId="11355"/>
      <sheetData sheetId="11356" refreshError="1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/>
      <sheetData sheetId="11406" refreshError="1"/>
      <sheetData sheetId="11407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 refreshError="1"/>
      <sheetData sheetId="12787" refreshError="1"/>
      <sheetData sheetId="12788"/>
      <sheetData sheetId="12789"/>
      <sheetData sheetId="12790"/>
      <sheetData sheetId="12791"/>
      <sheetData sheetId="12792"/>
      <sheetData sheetId="12793"/>
      <sheetData sheetId="12794" refreshError="1"/>
      <sheetData sheetId="12795" refreshError="1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 refreshError="1"/>
      <sheetData sheetId="12859" refreshError="1"/>
      <sheetData sheetId="12860"/>
      <sheetData sheetId="1286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 refreshError="1"/>
      <sheetData sheetId="12923" refreshError="1"/>
      <sheetData sheetId="12924"/>
      <sheetData sheetId="12925" refreshError="1"/>
      <sheetData sheetId="12926" refreshError="1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 refreshError="1"/>
      <sheetData sheetId="12960" refreshError="1"/>
      <sheetData sheetId="1296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 refreshError="1"/>
      <sheetData sheetId="13213"/>
      <sheetData sheetId="13214"/>
      <sheetData sheetId="13215"/>
      <sheetData sheetId="13216"/>
      <sheetData sheetId="13217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 refreshError="1"/>
      <sheetData sheetId="13245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/>
      <sheetData sheetId="17617"/>
      <sheetData sheetId="17618" refreshError="1"/>
      <sheetData sheetId="17619" refreshError="1"/>
      <sheetData sheetId="17620" refreshError="1"/>
      <sheetData sheetId="1762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/>
      <sheetData sheetId="17766"/>
      <sheetData sheetId="17767"/>
      <sheetData sheetId="17768"/>
      <sheetData sheetId="17769"/>
      <sheetData sheetId="17770" refreshError="1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 refreshError="1"/>
      <sheetData sheetId="17784" refreshError="1"/>
      <sheetData sheetId="17785" refreshError="1"/>
      <sheetData sheetId="17786" refreshError="1"/>
      <sheetData sheetId="17787"/>
      <sheetData sheetId="17788" refreshError="1"/>
      <sheetData sheetId="17789" refreshError="1"/>
      <sheetData sheetId="17790" refreshError="1"/>
      <sheetData sheetId="17791"/>
      <sheetData sheetId="17792"/>
      <sheetData sheetId="17793"/>
      <sheetData sheetId="17794"/>
      <sheetData sheetId="17795"/>
      <sheetData sheetId="17796" refreshError="1"/>
      <sheetData sheetId="17797"/>
      <sheetData sheetId="17798"/>
      <sheetData sheetId="17799"/>
      <sheetData sheetId="17800"/>
      <sheetData sheetId="17801" refreshError="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 refreshError="1"/>
      <sheetData sheetId="17811" refreshError="1"/>
      <sheetData sheetId="17812" refreshError="1"/>
      <sheetData sheetId="17813" refreshError="1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 refreshError="1"/>
      <sheetData sheetId="18572" refreshError="1"/>
      <sheetData sheetId="18573" refreshError="1"/>
      <sheetData sheetId="18574"/>
      <sheetData sheetId="18575" refreshError="1"/>
      <sheetData sheetId="18576" refreshError="1"/>
      <sheetData sheetId="18577" refreshError="1"/>
      <sheetData sheetId="18578"/>
      <sheetData sheetId="18579" refreshError="1"/>
      <sheetData sheetId="18580" refreshError="1"/>
      <sheetData sheetId="18581" refreshError="1"/>
      <sheetData sheetId="18582" refreshError="1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 refreshError="1"/>
      <sheetData sheetId="18606" refreshError="1"/>
      <sheetData sheetId="18607" refreshError="1"/>
      <sheetData sheetId="18608" refreshError="1"/>
      <sheetData sheetId="18609" refreshError="1"/>
      <sheetData sheetId="18610" refreshError="1"/>
      <sheetData sheetId="18611"/>
      <sheetData sheetId="18612" refreshError="1"/>
      <sheetData sheetId="18613" refreshError="1"/>
      <sheetData sheetId="18614" refreshError="1"/>
      <sheetData sheetId="18615"/>
      <sheetData sheetId="18616" refreshError="1"/>
      <sheetData sheetId="18617" refreshError="1"/>
      <sheetData sheetId="18618" refreshError="1"/>
      <sheetData sheetId="18619" refreshError="1"/>
      <sheetData sheetId="18620" refreshError="1"/>
      <sheetData sheetId="18621" refreshError="1"/>
      <sheetData sheetId="18622" refreshError="1"/>
      <sheetData sheetId="18623" refreshError="1"/>
      <sheetData sheetId="18624" refreshError="1"/>
      <sheetData sheetId="18625"/>
      <sheetData sheetId="18626"/>
      <sheetData sheetId="18627"/>
      <sheetData sheetId="18628"/>
      <sheetData sheetId="18629" refreshError="1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/>
      <sheetData sheetId="18665" refreshError="1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 refreshError="1"/>
      <sheetData sheetId="18722" refreshError="1"/>
      <sheetData sheetId="18723" refreshError="1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/>
      <sheetData sheetId="18957"/>
      <sheetData sheetId="18958"/>
      <sheetData sheetId="18959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/>
      <sheetData sheetId="18977" refreshError="1"/>
      <sheetData sheetId="18978" refreshError="1"/>
      <sheetData sheetId="18979"/>
      <sheetData sheetId="18980" refreshError="1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/>
      <sheetData sheetId="19049"/>
      <sheetData sheetId="19050"/>
      <sheetData sheetId="19051"/>
      <sheetData sheetId="19052"/>
      <sheetData sheetId="19053" refreshError="1"/>
      <sheetData sheetId="19054"/>
      <sheetData sheetId="19055" refreshError="1"/>
      <sheetData sheetId="19056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 refreshError="1"/>
      <sheetData sheetId="19526" refreshError="1"/>
      <sheetData sheetId="19527" refreshError="1"/>
      <sheetData sheetId="19528" refreshError="1"/>
      <sheetData sheetId="19529" refreshError="1"/>
      <sheetData sheetId="19530" refreshError="1"/>
      <sheetData sheetId="19531" refreshError="1"/>
      <sheetData sheetId="19532" refreshError="1"/>
      <sheetData sheetId="19533" refreshError="1"/>
      <sheetData sheetId="19534" refreshError="1"/>
      <sheetData sheetId="19535" refreshError="1"/>
      <sheetData sheetId="19536" refreshError="1"/>
      <sheetData sheetId="19537" refreshError="1"/>
      <sheetData sheetId="19538" refreshError="1"/>
      <sheetData sheetId="19539" refreshError="1"/>
      <sheetData sheetId="19540" refreshError="1"/>
      <sheetData sheetId="19541" refreshError="1"/>
      <sheetData sheetId="19542" refreshError="1"/>
      <sheetData sheetId="19543" refreshError="1"/>
      <sheetData sheetId="19544" refreshError="1"/>
      <sheetData sheetId="19545" refreshError="1"/>
      <sheetData sheetId="19546" refreshError="1"/>
      <sheetData sheetId="19547" refreshError="1"/>
      <sheetData sheetId="19548" refreshError="1"/>
      <sheetData sheetId="19549" refreshError="1"/>
      <sheetData sheetId="19550" refreshError="1"/>
      <sheetData sheetId="19551" refreshError="1"/>
      <sheetData sheetId="19552" refreshError="1"/>
      <sheetData sheetId="19553" refreshError="1"/>
      <sheetData sheetId="19554" refreshError="1"/>
      <sheetData sheetId="19555" refreshError="1"/>
      <sheetData sheetId="19556" refreshError="1"/>
      <sheetData sheetId="19557" refreshError="1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 refreshError="1"/>
      <sheetData sheetId="19566" refreshError="1"/>
      <sheetData sheetId="19567" refreshError="1"/>
      <sheetData sheetId="19568" refreshError="1"/>
      <sheetData sheetId="19569" refreshError="1"/>
      <sheetData sheetId="19570" refreshError="1"/>
      <sheetData sheetId="19571" refreshError="1"/>
      <sheetData sheetId="19572" refreshError="1"/>
      <sheetData sheetId="19573" refreshError="1"/>
      <sheetData sheetId="19574" refreshError="1"/>
      <sheetData sheetId="19575" refreshError="1"/>
      <sheetData sheetId="19576" refreshError="1"/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 refreshError="1"/>
      <sheetData sheetId="19583" refreshError="1"/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 refreshError="1"/>
      <sheetData sheetId="19590" refreshError="1"/>
      <sheetData sheetId="19591" refreshError="1"/>
      <sheetData sheetId="19592" refreshError="1"/>
      <sheetData sheetId="19593" refreshError="1"/>
      <sheetData sheetId="19594" refreshError="1"/>
      <sheetData sheetId="19595" refreshError="1"/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 refreshError="1"/>
      <sheetData sheetId="19689" refreshError="1"/>
      <sheetData sheetId="19690" refreshError="1"/>
      <sheetData sheetId="19691" refreshError="1"/>
      <sheetData sheetId="19692" refreshError="1"/>
      <sheetData sheetId="19693" refreshError="1"/>
      <sheetData sheetId="19694" refreshError="1"/>
      <sheetData sheetId="19695" refreshError="1"/>
      <sheetData sheetId="19696" refreshError="1"/>
      <sheetData sheetId="19697" refreshError="1"/>
      <sheetData sheetId="19698" refreshError="1"/>
      <sheetData sheetId="19699" refreshError="1"/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/>
      <sheetData sheetId="20686"/>
      <sheetData sheetId="20687"/>
      <sheetData sheetId="20688" refreshError="1"/>
      <sheetData sheetId="20689" refreshError="1"/>
      <sheetData sheetId="20690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 refreshError="1"/>
      <sheetData sheetId="20751" refreshError="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 refreshError="1"/>
      <sheetData sheetId="21060" refreshError="1"/>
      <sheetData sheetId="21061" refreshError="1"/>
      <sheetData sheetId="21062" refreshError="1"/>
      <sheetData sheetId="21063" refreshError="1"/>
      <sheetData sheetId="21064" refreshError="1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/>
      <sheetData sheetId="21338"/>
      <sheetData sheetId="21339"/>
      <sheetData sheetId="21340"/>
      <sheetData sheetId="21341"/>
      <sheetData sheetId="21342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 refreshError="1"/>
      <sheetData sheetId="21367"/>
      <sheetData sheetId="21368" refreshError="1"/>
      <sheetData sheetId="21369" refreshError="1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 refreshError="1"/>
      <sheetData sheetId="21385"/>
      <sheetData sheetId="21386"/>
      <sheetData sheetId="21387"/>
      <sheetData sheetId="21388"/>
      <sheetData sheetId="21389"/>
      <sheetData sheetId="21390" refreshError="1"/>
      <sheetData sheetId="21391" refreshError="1"/>
      <sheetData sheetId="21392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/>
      <sheetData sheetId="21400" refreshError="1"/>
      <sheetData sheetId="21401" refreshError="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 refreshError="1"/>
      <sheetData sheetId="21431" refreshError="1"/>
      <sheetData sheetId="21432" refreshError="1"/>
      <sheetData sheetId="21433" refreshError="1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 refreshError="1"/>
      <sheetData sheetId="21449"/>
      <sheetData sheetId="21450"/>
      <sheetData sheetId="21451"/>
      <sheetData sheetId="21452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 refreshError="1"/>
      <sheetData sheetId="21481"/>
      <sheetData sheetId="21482"/>
      <sheetData sheetId="21483"/>
      <sheetData sheetId="21484"/>
      <sheetData sheetId="21485" refreshError="1"/>
      <sheetData sheetId="21486"/>
      <sheetData sheetId="21487"/>
      <sheetData sheetId="21488"/>
      <sheetData sheetId="21489"/>
      <sheetData sheetId="21490"/>
      <sheetData sheetId="21491"/>
      <sheetData sheetId="21492" refreshError="1"/>
      <sheetData sheetId="21493" refreshError="1"/>
      <sheetData sheetId="21494" refreshError="1"/>
      <sheetData sheetId="21495" refreshError="1"/>
      <sheetData sheetId="21496"/>
      <sheetData sheetId="21497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 refreshError="1"/>
      <sheetData sheetId="21538"/>
      <sheetData sheetId="21539" refreshError="1"/>
      <sheetData sheetId="21540"/>
      <sheetData sheetId="21541" refreshError="1"/>
      <sheetData sheetId="21542"/>
      <sheetData sheetId="21543" refreshError="1"/>
      <sheetData sheetId="21544"/>
      <sheetData sheetId="21545" refreshError="1"/>
      <sheetData sheetId="21546"/>
      <sheetData sheetId="21547" refreshError="1"/>
      <sheetData sheetId="21548" refreshError="1"/>
      <sheetData sheetId="21549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/>
      <sheetData sheetId="21563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/>
      <sheetData sheetId="21571" refreshError="1"/>
      <sheetData sheetId="21572" refreshError="1"/>
      <sheetData sheetId="21573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 refreshError="1"/>
      <sheetData sheetId="21599" refreshError="1"/>
      <sheetData sheetId="21600" refreshError="1"/>
      <sheetData sheetId="21601" refreshError="1"/>
      <sheetData sheetId="21602"/>
      <sheetData sheetId="21603"/>
      <sheetData sheetId="21604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/>
      <sheetData sheetId="21639"/>
      <sheetData sheetId="21640"/>
      <sheetData sheetId="21641" refreshError="1"/>
      <sheetData sheetId="21642" refreshError="1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/>
      <sheetData sheetId="22495"/>
      <sheetData sheetId="22496"/>
      <sheetData sheetId="22497"/>
      <sheetData sheetId="22498"/>
      <sheetData sheetId="22499"/>
      <sheetData sheetId="22500" refreshError="1"/>
      <sheetData sheetId="22501" refreshError="1"/>
      <sheetData sheetId="22502" refreshError="1"/>
      <sheetData sheetId="22503" refreshError="1"/>
      <sheetData sheetId="22504"/>
      <sheetData sheetId="22505"/>
      <sheetData sheetId="22506"/>
      <sheetData sheetId="22507"/>
      <sheetData sheetId="22508"/>
      <sheetData sheetId="22509"/>
      <sheetData sheetId="22510"/>
      <sheetData sheetId="22511"/>
      <sheetData sheetId="22512"/>
      <sheetData sheetId="22513"/>
      <sheetData sheetId="22514"/>
      <sheetData sheetId="22515"/>
      <sheetData sheetId="22516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/>
      <sheetData sheetId="22524"/>
      <sheetData sheetId="22525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/>
      <sheetData sheetId="22580" refreshError="1"/>
      <sheetData sheetId="22581"/>
      <sheetData sheetId="22582"/>
      <sheetData sheetId="22583"/>
      <sheetData sheetId="22584"/>
      <sheetData sheetId="22585"/>
      <sheetData sheetId="22586"/>
      <sheetData sheetId="22587"/>
      <sheetData sheetId="22588"/>
      <sheetData sheetId="22589"/>
      <sheetData sheetId="22590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/>
      <sheetData sheetId="22652"/>
      <sheetData sheetId="22653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/>
      <sheetData sheetId="22707"/>
      <sheetData sheetId="22708"/>
      <sheetData sheetId="22709"/>
      <sheetData sheetId="22710"/>
      <sheetData sheetId="22711" refreshError="1"/>
      <sheetData sheetId="22712"/>
      <sheetData sheetId="22713" refreshError="1"/>
      <sheetData sheetId="22714"/>
      <sheetData sheetId="22715"/>
      <sheetData sheetId="22716"/>
      <sheetData sheetId="22717"/>
      <sheetData sheetId="22718"/>
      <sheetData sheetId="22719"/>
      <sheetData sheetId="22720"/>
      <sheetData sheetId="22721"/>
      <sheetData sheetId="22722"/>
      <sheetData sheetId="22723"/>
      <sheetData sheetId="22724"/>
      <sheetData sheetId="22725"/>
      <sheetData sheetId="22726"/>
      <sheetData sheetId="22727"/>
      <sheetData sheetId="22728"/>
      <sheetData sheetId="22729"/>
      <sheetData sheetId="22730"/>
      <sheetData sheetId="22731"/>
      <sheetData sheetId="22732"/>
      <sheetData sheetId="22733"/>
      <sheetData sheetId="22734"/>
      <sheetData sheetId="22735"/>
      <sheetData sheetId="22736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/>
      <sheetData sheetId="22760"/>
      <sheetData sheetId="22761"/>
      <sheetData sheetId="22762"/>
      <sheetData sheetId="22763"/>
      <sheetData sheetId="22764"/>
      <sheetData sheetId="22765"/>
      <sheetData sheetId="22766"/>
      <sheetData sheetId="22767" refreshError="1"/>
      <sheetData sheetId="22768"/>
      <sheetData sheetId="22769"/>
      <sheetData sheetId="22770"/>
      <sheetData sheetId="22771" refreshError="1"/>
      <sheetData sheetId="22772" refreshError="1"/>
      <sheetData sheetId="22773"/>
      <sheetData sheetId="22774" refreshError="1"/>
      <sheetData sheetId="22775" refreshError="1"/>
      <sheetData sheetId="22776" refreshError="1"/>
      <sheetData sheetId="22777"/>
      <sheetData sheetId="22778"/>
      <sheetData sheetId="22779"/>
      <sheetData sheetId="22780"/>
      <sheetData sheetId="22781"/>
      <sheetData sheetId="22782"/>
      <sheetData sheetId="22783"/>
      <sheetData sheetId="22784"/>
      <sheetData sheetId="22785"/>
      <sheetData sheetId="22786"/>
      <sheetData sheetId="22787"/>
      <sheetData sheetId="22788"/>
      <sheetData sheetId="22789"/>
      <sheetData sheetId="22790"/>
      <sheetData sheetId="22791"/>
      <sheetData sheetId="22792"/>
      <sheetData sheetId="22793"/>
      <sheetData sheetId="22794" refreshError="1"/>
      <sheetData sheetId="22795"/>
      <sheetData sheetId="22796"/>
      <sheetData sheetId="22797"/>
      <sheetData sheetId="22798"/>
      <sheetData sheetId="22799"/>
      <sheetData sheetId="22800"/>
      <sheetData sheetId="22801"/>
      <sheetData sheetId="22802"/>
      <sheetData sheetId="22803"/>
      <sheetData sheetId="22804"/>
      <sheetData sheetId="22805"/>
      <sheetData sheetId="22806"/>
      <sheetData sheetId="22807"/>
      <sheetData sheetId="22808"/>
      <sheetData sheetId="22809"/>
      <sheetData sheetId="22810"/>
      <sheetData sheetId="22811"/>
      <sheetData sheetId="22812"/>
      <sheetData sheetId="22813"/>
      <sheetData sheetId="22814"/>
      <sheetData sheetId="22815"/>
      <sheetData sheetId="22816"/>
      <sheetData sheetId="22817"/>
      <sheetData sheetId="22818"/>
      <sheetData sheetId="22819"/>
      <sheetData sheetId="22820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/>
      <sheetData sheetId="22828"/>
      <sheetData sheetId="22829"/>
      <sheetData sheetId="22830"/>
      <sheetData sheetId="22831"/>
      <sheetData sheetId="22832" refreshError="1"/>
      <sheetData sheetId="22833"/>
      <sheetData sheetId="22834" refreshError="1"/>
      <sheetData sheetId="22835"/>
      <sheetData sheetId="22836" refreshError="1"/>
      <sheetData sheetId="22837" refreshError="1"/>
      <sheetData sheetId="22838" refreshError="1"/>
      <sheetData sheetId="22839"/>
      <sheetData sheetId="22840" refreshError="1"/>
      <sheetData sheetId="22841" refreshError="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/>
      <sheetData sheetId="22895"/>
      <sheetData sheetId="22896"/>
      <sheetData sheetId="22897"/>
      <sheetData sheetId="22898"/>
      <sheetData sheetId="22899"/>
      <sheetData sheetId="22900"/>
      <sheetData sheetId="22901"/>
      <sheetData sheetId="22902"/>
      <sheetData sheetId="22903"/>
      <sheetData sheetId="22904" refreshError="1"/>
      <sheetData sheetId="22905"/>
      <sheetData sheetId="22906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/>
      <sheetData sheetId="22918"/>
      <sheetData sheetId="22919"/>
      <sheetData sheetId="22920"/>
      <sheetData sheetId="22921"/>
      <sheetData sheetId="22922" refreshError="1"/>
      <sheetData sheetId="22923" refreshError="1"/>
      <sheetData sheetId="22924" refreshError="1"/>
      <sheetData sheetId="22925" refreshError="1"/>
      <sheetData sheetId="22926"/>
      <sheetData sheetId="22927"/>
      <sheetData sheetId="22928"/>
      <sheetData sheetId="22929"/>
      <sheetData sheetId="22930"/>
      <sheetData sheetId="22931"/>
      <sheetData sheetId="22932"/>
      <sheetData sheetId="22933"/>
      <sheetData sheetId="22934"/>
      <sheetData sheetId="22935"/>
      <sheetData sheetId="22936"/>
      <sheetData sheetId="22937"/>
      <sheetData sheetId="22938"/>
      <sheetData sheetId="22939"/>
      <sheetData sheetId="22940"/>
      <sheetData sheetId="22941"/>
      <sheetData sheetId="22942"/>
      <sheetData sheetId="22943"/>
      <sheetData sheetId="22944"/>
      <sheetData sheetId="22945"/>
      <sheetData sheetId="22946"/>
      <sheetData sheetId="22947"/>
      <sheetData sheetId="22948"/>
      <sheetData sheetId="22949"/>
      <sheetData sheetId="22950"/>
      <sheetData sheetId="22951"/>
      <sheetData sheetId="22952"/>
      <sheetData sheetId="22953"/>
      <sheetData sheetId="22954"/>
      <sheetData sheetId="22955"/>
      <sheetData sheetId="22956"/>
      <sheetData sheetId="22957"/>
      <sheetData sheetId="22958"/>
      <sheetData sheetId="22959"/>
      <sheetData sheetId="22960"/>
      <sheetData sheetId="22961"/>
      <sheetData sheetId="22962"/>
      <sheetData sheetId="22963"/>
      <sheetData sheetId="22964" refreshError="1"/>
      <sheetData sheetId="22965" refreshError="1"/>
      <sheetData sheetId="22966" refreshError="1"/>
      <sheetData sheetId="22967"/>
      <sheetData sheetId="22968" refreshError="1"/>
      <sheetData sheetId="22969"/>
      <sheetData sheetId="22970" refreshError="1"/>
      <sheetData sheetId="22971"/>
      <sheetData sheetId="22972" refreshError="1"/>
      <sheetData sheetId="22973"/>
      <sheetData sheetId="22974"/>
      <sheetData sheetId="22975" refreshError="1"/>
      <sheetData sheetId="22976" refreshError="1"/>
      <sheetData sheetId="22977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/>
      <sheetData sheetId="22986"/>
      <sheetData sheetId="22987"/>
      <sheetData sheetId="22988"/>
      <sheetData sheetId="22989" refreshError="1"/>
      <sheetData sheetId="22990" refreshError="1"/>
      <sheetData sheetId="22991" refreshError="1"/>
      <sheetData sheetId="22992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/>
      <sheetData sheetId="23003"/>
      <sheetData sheetId="23004"/>
      <sheetData sheetId="23005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/>
      <sheetData sheetId="23045"/>
      <sheetData sheetId="23046"/>
      <sheetData sheetId="23047"/>
      <sheetData sheetId="23048"/>
      <sheetData sheetId="23049" refreshError="1"/>
      <sheetData sheetId="23050" refreshError="1"/>
      <sheetData sheetId="23051"/>
      <sheetData sheetId="23052"/>
      <sheetData sheetId="23053" refreshError="1"/>
      <sheetData sheetId="23054" refreshError="1"/>
      <sheetData sheetId="23055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/>
      <sheetData sheetId="23070"/>
      <sheetData sheetId="23071"/>
      <sheetData sheetId="23072"/>
      <sheetData sheetId="23073"/>
      <sheetData sheetId="23074"/>
      <sheetData sheetId="23075"/>
      <sheetData sheetId="23076"/>
      <sheetData sheetId="23077"/>
      <sheetData sheetId="23078"/>
      <sheetData sheetId="23079"/>
      <sheetData sheetId="23080"/>
      <sheetData sheetId="23081"/>
      <sheetData sheetId="23082"/>
      <sheetData sheetId="23083"/>
      <sheetData sheetId="23084"/>
      <sheetData sheetId="23085"/>
      <sheetData sheetId="23086"/>
      <sheetData sheetId="23087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/>
      <sheetData sheetId="23180"/>
      <sheetData sheetId="23181"/>
      <sheetData sheetId="23182"/>
      <sheetData sheetId="23183"/>
      <sheetData sheetId="23184"/>
      <sheetData sheetId="23185"/>
      <sheetData sheetId="23186"/>
      <sheetData sheetId="23187"/>
      <sheetData sheetId="23188"/>
      <sheetData sheetId="23189"/>
      <sheetData sheetId="23190"/>
      <sheetData sheetId="23191"/>
      <sheetData sheetId="23192"/>
      <sheetData sheetId="23193"/>
      <sheetData sheetId="23194"/>
      <sheetData sheetId="23195"/>
      <sheetData sheetId="23196"/>
      <sheetData sheetId="23197"/>
      <sheetData sheetId="23198"/>
      <sheetData sheetId="23199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/>
      <sheetData sheetId="23228"/>
      <sheetData sheetId="23229"/>
      <sheetData sheetId="23230"/>
      <sheetData sheetId="23231"/>
      <sheetData sheetId="23232"/>
      <sheetData sheetId="23233"/>
      <sheetData sheetId="23234"/>
      <sheetData sheetId="23235"/>
      <sheetData sheetId="23236"/>
      <sheetData sheetId="23237"/>
      <sheetData sheetId="23238"/>
      <sheetData sheetId="23239"/>
      <sheetData sheetId="23240"/>
      <sheetData sheetId="23241"/>
      <sheetData sheetId="23242"/>
      <sheetData sheetId="23243"/>
      <sheetData sheetId="23244"/>
      <sheetData sheetId="23245"/>
      <sheetData sheetId="23246"/>
      <sheetData sheetId="23247"/>
      <sheetData sheetId="23248"/>
      <sheetData sheetId="23249"/>
      <sheetData sheetId="23250"/>
      <sheetData sheetId="23251"/>
      <sheetData sheetId="23252"/>
      <sheetData sheetId="23253"/>
      <sheetData sheetId="23254"/>
      <sheetData sheetId="23255"/>
      <sheetData sheetId="23256"/>
      <sheetData sheetId="23257"/>
      <sheetData sheetId="23258"/>
      <sheetData sheetId="23259"/>
      <sheetData sheetId="23260"/>
      <sheetData sheetId="23261"/>
      <sheetData sheetId="23262"/>
      <sheetData sheetId="23263"/>
      <sheetData sheetId="23264"/>
      <sheetData sheetId="23265"/>
      <sheetData sheetId="23266"/>
      <sheetData sheetId="23267"/>
      <sheetData sheetId="23268"/>
      <sheetData sheetId="23269"/>
      <sheetData sheetId="23270"/>
      <sheetData sheetId="23271"/>
      <sheetData sheetId="23272"/>
      <sheetData sheetId="23273"/>
      <sheetData sheetId="23274"/>
      <sheetData sheetId="23275"/>
      <sheetData sheetId="23276"/>
      <sheetData sheetId="23277"/>
      <sheetData sheetId="23278"/>
      <sheetData sheetId="23279"/>
      <sheetData sheetId="23280"/>
      <sheetData sheetId="23281"/>
      <sheetData sheetId="23282"/>
      <sheetData sheetId="23283"/>
      <sheetData sheetId="23284" refreshError="1"/>
      <sheetData sheetId="23285" refreshError="1"/>
      <sheetData sheetId="23286" refreshError="1"/>
      <sheetData sheetId="23287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/>
      <sheetData sheetId="23339"/>
      <sheetData sheetId="23340"/>
      <sheetData sheetId="23341"/>
      <sheetData sheetId="23342"/>
      <sheetData sheetId="23343" refreshError="1"/>
      <sheetData sheetId="23344"/>
      <sheetData sheetId="23345"/>
      <sheetData sheetId="23346"/>
      <sheetData sheetId="23347" refreshError="1"/>
      <sheetData sheetId="23348" refreshError="1"/>
      <sheetData sheetId="23349"/>
      <sheetData sheetId="23350"/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/>
      <sheetData sheetId="23368"/>
      <sheetData sheetId="23369"/>
      <sheetData sheetId="23370"/>
      <sheetData sheetId="23371"/>
      <sheetData sheetId="23372"/>
      <sheetData sheetId="23373"/>
      <sheetData sheetId="23374"/>
      <sheetData sheetId="23375"/>
      <sheetData sheetId="23376"/>
      <sheetData sheetId="23377"/>
      <sheetData sheetId="23378"/>
      <sheetData sheetId="23379"/>
      <sheetData sheetId="23380"/>
      <sheetData sheetId="23381"/>
      <sheetData sheetId="23382"/>
      <sheetData sheetId="23383"/>
      <sheetData sheetId="23384"/>
      <sheetData sheetId="23385"/>
      <sheetData sheetId="23386"/>
      <sheetData sheetId="23387"/>
      <sheetData sheetId="23388"/>
      <sheetData sheetId="23389"/>
      <sheetData sheetId="23390"/>
      <sheetData sheetId="23391"/>
      <sheetData sheetId="23392"/>
      <sheetData sheetId="23393"/>
      <sheetData sheetId="23394"/>
      <sheetData sheetId="23395"/>
      <sheetData sheetId="23396"/>
      <sheetData sheetId="23397"/>
      <sheetData sheetId="23398"/>
      <sheetData sheetId="23399"/>
      <sheetData sheetId="23400"/>
      <sheetData sheetId="23401"/>
      <sheetData sheetId="23402"/>
      <sheetData sheetId="23403"/>
      <sheetData sheetId="23404"/>
      <sheetData sheetId="23405"/>
      <sheetData sheetId="23406"/>
      <sheetData sheetId="23407"/>
      <sheetData sheetId="23408"/>
      <sheetData sheetId="23409"/>
      <sheetData sheetId="23410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/>
      <sheetData sheetId="23422"/>
      <sheetData sheetId="23423"/>
      <sheetData sheetId="23424"/>
      <sheetData sheetId="23425"/>
      <sheetData sheetId="23426"/>
      <sheetData sheetId="23427"/>
      <sheetData sheetId="23428"/>
      <sheetData sheetId="23429"/>
      <sheetData sheetId="23430"/>
      <sheetData sheetId="23431"/>
      <sheetData sheetId="23432"/>
      <sheetData sheetId="23433"/>
      <sheetData sheetId="23434"/>
      <sheetData sheetId="23435"/>
      <sheetData sheetId="23436"/>
      <sheetData sheetId="23437"/>
      <sheetData sheetId="23438"/>
      <sheetData sheetId="23439"/>
      <sheetData sheetId="23440"/>
      <sheetData sheetId="23441"/>
      <sheetData sheetId="23442"/>
      <sheetData sheetId="23443"/>
      <sheetData sheetId="23444"/>
      <sheetData sheetId="23445"/>
      <sheetData sheetId="23446"/>
      <sheetData sheetId="23447"/>
      <sheetData sheetId="23448"/>
      <sheetData sheetId="23449"/>
      <sheetData sheetId="23450"/>
      <sheetData sheetId="23451"/>
      <sheetData sheetId="23452"/>
      <sheetData sheetId="23453"/>
      <sheetData sheetId="23454"/>
      <sheetData sheetId="23455" refreshError="1"/>
      <sheetData sheetId="23456" refreshError="1"/>
      <sheetData sheetId="23457" refreshError="1"/>
      <sheetData sheetId="23458"/>
      <sheetData sheetId="23459"/>
      <sheetData sheetId="23460"/>
      <sheetData sheetId="23461"/>
      <sheetData sheetId="23462"/>
      <sheetData sheetId="23463"/>
      <sheetData sheetId="23464"/>
      <sheetData sheetId="23465"/>
      <sheetData sheetId="23466"/>
      <sheetData sheetId="23467"/>
      <sheetData sheetId="23468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/>
      <sheetData sheetId="24013"/>
      <sheetData sheetId="24014"/>
      <sheetData sheetId="24015"/>
      <sheetData sheetId="24016"/>
      <sheetData sheetId="24017"/>
      <sheetData sheetId="24018"/>
      <sheetData sheetId="24019"/>
      <sheetData sheetId="24020"/>
      <sheetData sheetId="24021"/>
      <sheetData sheetId="24022"/>
      <sheetData sheetId="24023"/>
      <sheetData sheetId="24024"/>
      <sheetData sheetId="24025"/>
      <sheetData sheetId="24026"/>
      <sheetData sheetId="24027"/>
      <sheetData sheetId="24028"/>
      <sheetData sheetId="24029"/>
      <sheetData sheetId="24030"/>
      <sheetData sheetId="24031"/>
      <sheetData sheetId="24032"/>
      <sheetData sheetId="24033"/>
      <sheetData sheetId="24034"/>
      <sheetData sheetId="24035"/>
      <sheetData sheetId="24036"/>
      <sheetData sheetId="24037"/>
      <sheetData sheetId="24038"/>
      <sheetData sheetId="24039"/>
      <sheetData sheetId="24040" refreshError="1"/>
      <sheetData sheetId="24041" refreshError="1"/>
      <sheetData sheetId="24042" refreshError="1"/>
      <sheetData sheetId="24043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/>
      <sheetData sheetId="24052" refreshError="1"/>
      <sheetData sheetId="24053"/>
      <sheetData sheetId="24054"/>
      <sheetData sheetId="24055"/>
      <sheetData sheetId="24056"/>
      <sheetData sheetId="24057"/>
      <sheetData sheetId="24058"/>
      <sheetData sheetId="24059"/>
      <sheetData sheetId="24060"/>
      <sheetData sheetId="24061"/>
      <sheetData sheetId="24062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/>
      <sheetData sheetId="24114"/>
      <sheetData sheetId="24115"/>
      <sheetData sheetId="24116"/>
      <sheetData sheetId="24117"/>
      <sheetData sheetId="24118"/>
      <sheetData sheetId="24119"/>
      <sheetData sheetId="24120"/>
      <sheetData sheetId="24121"/>
      <sheetData sheetId="24122"/>
      <sheetData sheetId="24123" refreshError="1"/>
      <sheetData sheetId="24124"/>
      <sheetData sheetId="24125"/>
      <sheetData sheetId="24126"/>
      <sheetData sheetId="24127"/>
      <sheetData sheetId="24128"/>
      <sheetData sheetId="24129"/>
      <sheetData sheetId="24130"/>
      <sheetData sheetId="2413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/>
      <sheetData sheetId="24144" refreshError="1"/>
      <sheetData sheetId="24145" refreshError="1"/>
      <sheetData sheetId="24146"/>
      <sheetData sheetId="24147"/>
      <sheetData sheetId="24148"/>
      <sheetData sheetId="24149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 refreshError="1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/>
      <sheetData sheetId="24248"/>
      <sheetData sheetId="24249"/>
      <sheetData sheetId="24250"/>
      <sheetData sheetId="24251"/>
      <sheetData sheetId="24252"/>
      <sheetData sheetId="24253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/>
      <sheetData sheetId="24284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/>
      <sheetData sheetId="24293"/>
      <sheetData sheetId="24294" refreshError="1"/>
      <sheetData sheetId="24295"/>
      <sheetData sheetId="24296"/>
      <sheetData sheetId="24297" refreshError="1"/>
      <sheetData sheetId="24298"/>
      <sheetData sheetId="24299"/>
      <sheetData sheetId="24300"/>
      <sheetData sheetId="24301"/>
      <sheetData sheetId="24302"/>
      <sheetData sheetId="24303"/>
      <sheetData sheetId="24304"/>
      <sheetData sheetId="24305"/>
      <sheetData sheetId="24306"/>
      <sheetData sheetId="24307"/>
      <sheetData sheetId="24308"/>
      <sheetData sheetId="24309"/>
      <sheetData sheetId="24310"/>
      <sheetData sheetId="24311"/>
      <sheetData sheetId="24312"/>
      <sheetData sheetId="24313"/>
      <sheetData sheetId="24314"/>
      <sheetData sheetId="24315"/>
      <sheetData sheetId="24316" refreshError="1"/>
      <sheetData sheetId="24317" refreshError="1"/>
      <sheetData sheetId="24318"/>
      <sheetData sheetId="24319"/>
      <sheetData sheetId="24320"/>
      <sheetData sheetId="24321"/>
      <sheetData sheetId="24322"/>
      <sheetData sheetId="24323"/>
      <sheetData sheetId="24324"/>
      <sheetData sheetId="24325"/>
      <sheetData sheetId="24326"/>
      <sheetData sheetId="24327"/>
      <sheetData sheetId="24328"/>
      <sheetData sheetId="24329"/>
      <sheetData sheetId="24330"/>
      <sheetData sheetId="24331"/>
      <sheetData sheetId="24332"/>
      <sheetData sheetId="24333"/>
      <sheetData sheetId="24334"/>
      <sheetData sheetId="24335"/>
      <sheetData sheetId="24336"/>
      <sheetData sheetId="24337"/>
      <sheetData sheetId="24338"/>
      <sheetData sheetId="24339"/>
      <sheetData sheetId="24340"/>
      <sheetData sheetId="24341"/>
      <sheetData sheetId="24342"/>
      <sheetData sheetId="24343"/>
      <sheetData sheetId="24344"/>
      <sheetData sheetId="24345"/>
      <sheetData sheetId="24346"/>
      <sheetData sheetId="24347"/>
      <sheetData sheetId="24348"/>
      <sheetData sheetId="24349"/>
      <sheetData sheetId="24350"/>
      <sheetData sheetId="24351"/>
      <sheetData sheetId="24352"/>
      <sheetData sheetId="24353"/>
      <sheetData sheetId="24354"/>
      <sheetData sheetId="24355"/>
      <sheetData sheetId="24356"/>
      <sheetData sheetId="24357"/>
      <sheetData sheetId="24358"/>
      <sheetData sheetId="24359"/>
      <sheetData sheetId="24360"/>
      <sheetData sheetId="24361"/>
      <sheetData sheetId="24362"/>
      <sheetData sheetId="24363"/>
      <sheetData sheetId="24364"/>
      <sheetData sheetId="24365"/>
      <sheetData sheetId="24366" refreshError="1"/>
      <sheetData sheetId="24367"/>
      <sheetData sheetId="24368"/>
      <sheetData sheetId="24369"/>
      <sheetData sheetId="24370"/>
      <sheetData sheetId="24371"/>
      <sheetData sheetId="24372"/>
      <sheetData sheetId="24373"/>
      <sheetData sheetId="24374"/>
      <sheetData sheetId="24375"/>
      <sheetData sheetId="24376"/>
      <sheetData sheetId="24377"/>
      <sheetData sheetId="24378"/>
      <sheetData sheetId="24379"/>
      <sheetData sheetId="24380"/>
      <sheetData sheetId="24381"/>
      <sheetData sheetId="24382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/>
      <sheetData sheetId="24395"/>
      <sheetData sheetId="24396"/>
      <sheetData sheetId="24397"/>
      <sheetData sheetId="24398"/>
      <sheetData sheetId="24399"/>
      <sheetData sheetId="24400"/>
      <sheetData sheetId="24401"/>
      <sheetData sheetId="24402"/>
      <sheetData sheetId="24403"/>
      <sheetData sheetId="24404"/>
      <sheetData sheetId="24405"/>
      <sheetData sheetId="24406"/>
      <sheetData sheetId="24407"/>
      <sheetData sheetId="24408"/>
      <sheetData sheetId="24409"/>
      <sheetData sheetId="24410"/>
      <sheetData sheetId="24411"/>
      <sheetData sheetId="24412"/>
      <sheetData sheetId="24413"/>
      <sheetData sheetId="24414"/>
      <sheetData sheetId="24415"/>
      <sheetData sheetId="24416"/>
      <sheetData sheetId="24417"/>
      <sheetData sheetId="24418"/>
      <sheetData sheetId="24419"/>
      <sheetData sheetId="24420"/>
      <sheetData sheetId="24421"/>
      <sheetData sheetId="24422"/>
      <sheetData sheetId="24423"/>
      <sheetData sheetId="24424"/>
      <sheetData sheetId="24425"/>
      <sheetData sheetId="24426"/>
      <sheetData sheetId="24427"/>
      <sheetData sheetId="24428"/>
      <sheetData sheetId="24429"/>
      <sheetData sheetId="24430"/>
      <sheetData sheetId="24431"/>
      <sheetData sheetId="24432"/>
      <sheetData sheetId="24433"/>
      <sheetData sheetId="24434"/>
      <sheetData sheetId="24435"/>
      <sheetData sheetId="24436"/>
      <sheetData sheetId="24437"/>
      <sheetData sheetId="24438"/>
      <sheetData sheetId="24439"/>
      <sheetData sheetId="24440"/>
      <sheetData sheetId="24441"/>
      <sheetData sheetId="24442"/>
      <sheetData sheetId="24443"/>
      <sheetData sheetId="24444"/>
      <sheetData sheetId="24445"/>
      <sheetData sheetId="24446"/>
      <sheetData sheetId="24447"/>
      <sheetData sheetId="24448"/>
      <sheetData sheetId="24449"/>
      <sheetData sheetId="24450"/>
      <sheetData sheetId="24451"/>
      <sheetData sheetId="24452"/>
      <sheetData sheetId="24453"/>
      <sheetData sheetId="24454"/>
      <sheetData sheetId="24455"/>
      <sheetData sheetId="24456"/>
      <sheetData sheetId="24457"/>
      <sheetData sheetId="24458"/>
      <sheetData sheetId="24459"/>
      <sheetData sheetId="24460"/>
      <sheetData sheetId="24461"/>
      <sheetData sheetId="24462"/>
      <sheetData sheetId="24463"/>
      <sheetData sheetId="24464"/>
      <sheetData sheetId="24465"/>
      <sheetData sheetId="24466"/>
      <sheetData sheetId="24467"/>
      <sheetData sheetId="24468"/>
      <sheetData sheetId="24469"/>
      <sheetData sheetId="24470"/>
      <sheetData sheetId="24471"/>
      <sheetData sheetId="24472"/>
      <sheetData sheetId="24473"/>
      <sheetData sheetId="24474"/>
      <sheetData sheetId="24475"/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 refreshError="1"/>
      <sheetData sheetId="24491"/>
      <sheetData sheetId="24492"/>
      <sheetData sheetId="24493"/>
      <sheetData sheetId="24494"/>
      <sheetData sheetId="24495"/>
      <sheetData sheetId="24496"/>
      <sheetData sheetId="24497"/>
      <sheetData sheetId="24498"/>
      <sheetData sheetId="24499"/>
      <sheetData sheetId="24500"/>
      <sheetData sheetId="24501"/>
      <sheetData sheetId="24502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/>
      <sheetData sheetId="24520"/>
      <sheetData sheetId="24521"/>
      <sheetData sheetId="24522"/>
      <sheetData sheetId="24523"/>
      <sheetData sheetId="24524"/>
      <sheetData sheetId="24525"/>
      <sheetData sheetId="24526"/>
      <sheetData sheetId="24527"/>
      <sheetData sheetId="24528"/>
      <sheetData sheetId="24529"/>
      <sheetData sheetId="24530"/>
      <sheetData sheetId="24531"/>
      <sheetData sheetId="24532"/>
      <sheetData sheetId="24533"/>
      <sheetData sheetId="24534"/>
      <sheetData sheetId="24535" refreshError="1"/>
      <sheetData sheetId="24536"/>
      <sheetData sheetId="24537"/>
      <sheetData sheetId="24538"/>
      <sheetData sheetId="24539"/>
      <sheetData sheetId="24540"/>
      <sheetData sheetId="24541"/>
      <sheetData sheetId="24542"/>
      <sheetData sheetId="24543"/>
      <sheetData sheetId="24544"/>
      <sheetData sheetId="24545"/>
      <sheetData sheetId="24546"/>
      <sheetData sheetId="24547"/>
      <sheetData sheetId="24548"/>
      <sheetData sheetId="24549"/>
      <sheetData sheetId="24550"/>
      <sheetData sheetId="24551"/>
      <sheetData sheetId="24552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/>
      <sheetData sheetId="24601"/>
      <sheetData sheetId="24602" refreshError="1"/>
      <sheetData sheetId="24603" refreshError="1"/>
      <sheetData sheetId="24604" refreshError="1"/>
      <sheetData sheetId="24605" refreshError="1"/>
      <sheetData sheetId="24606" refreshError="1"/>
      <sheetData sheetId="24607" refreshError="1"/>
      <sheetData sheetId="24608" refreshError="1"/>
      <sheetData sheetId="24609" refreshError="1"/>
      <sheetData sheetId="24610" refreshError="1"/>
      <sheetData sheetId="24611" refreshError="1"/>
      <sheetData sheetId="24612" refreshError="1"/>
      <sheetData sheetId="24613"/>
      <sheetData sheetId="24614" refreshError="1"/>
      <sheetData sheetId="24615" refreshError="1"/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 refreshError="1"/>
      <sheetData sheetId="24625" refreshError="1"/>
      <sheetData sheetId="24626" refreshError="1"/>
      <sheetData sheetId="24627" refreshError="1"/>
      <sheetData sheetId="24628" refreshError="1"/>
      <sheetData sheetId="24629" refreshError="1"/>
      <sheetData sheetId="24630" refreshError="1"/>
      <sheetData sheetId="24631" refreshError="1"/>
      <sheetData sheetId="24632" refreshError="1"/>
      <sheetData sheetId="24633" refreshError="1"/>
      <sheetData sheetId="24634" refreshError="1"/>
      <sheetData sheetId="24635" refreshError="1"/>
      <sheetData sheetId="24636" refreshError="1"/>
      <sheetData sheetId="24637" refreshError="1"/>
      <sheetData sheetId="24638" refreshError="1"/>
      <sheetData sheetId="24639" refreshError="1"/>
      <sheetData sheetId="24640" refreshError="1"/>
      <sheetData sheetId="24641" refreshError="1"/>
      <sheetData sheetId="24642" refreshError="1"/>
      <sheetData sheetId="24643" refreshError="1"/>
      <sheetData sheetId="24644" refreshError="1"/>
      <sheetData sheetId="24645" refreshError="1"/>
      <sheetData sheetId="24646" refreshError="1"/>
      <sheetData sheetId="24647" refreshError="1"/>
      <sheetData sheetId="24648" refreshError="1"/>
      <sheetData sheetId="24649" refreshError="1"/>
      <sheetData sheetId="24650" refreshError="1"/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 refreshError="1"/>
      <sheetData sheetId="24691" refreshError="1"/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 refreshError="1"/>
      <sheetData sheetId="24770" refreshError="1"/>
      <sheetData sheetId="24771" refreshError="1"/>
      <sheetData sheetId="24772" refreshError="1"/>
      <sheetData sheetId="24773" refreshError="1"/>
      <sheetData sheetId="24774" refreshError="1"/>
      <sheetData sheetId="24775" refreshError="1"/>
      <sheetData sheetId="24776" refreshError="1"/>
      <sheetData sheetId="24777" refreshError="1"/>
      <sheetData sheetId="24778" refreshError="1"/>
      <sheetData sheetId="24779" refreshError="1"/>
      <sheetData sheetId="24780" refreshError="1"/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/>
      <sheetData sheetId="24834"/>
      <sheetData sheetId="24835"/>
      <sheetData sheetId="24836"/>
      <sheetData sheetId="24837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/>
      <sheetData sheetId="24856"/>
      <sheetData sheetId="24857"/>
      <sheetData sheetId="24858"/>
      <sheetData sheetId="24859"/>
      <sheetData sheetId="24860"/>
      <sheetData sheetId="24861"/>
      <sheetData sheetId="24862"/>
      <sheetData sheetId="24863"/>
      <sheetData sheetId="24864"/>
      <sheetData sheetId="24865"/>
      <sheetData sheetId="24866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 refreshError="1"/>
      <sheetData sheetId="24875" refreshError="1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 refreshError="1"/>
      <sheetData sheetId="24913" refreshError="1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/>
      <sheetData sheetId="26036"/>
      <sheetData sheetId="26037"/>
      <sheetData sheetId="26038"/>
      <sheetData sheetId="26039"/>
      <sheetData sheetId="26040"/>
      <sheetData sheetId="26041"/>
      <sheetData sheetId="26042"/>
      <sheetData sheetId="26043"/>
      <sheetData sheetId="26044"/>
      <sheetData sheetId="26045"/>
      <sheetData sheetId="26046"/>
      <sheetData sheetId="26047"/>
      <sheetData sheetId="26048"/>
      <sheetData sheetId="26049"/>
      <sheetData sheetId="26050"/>
      <sheetData sheetId="26051"/>
      <sheetData sheetId="26052"/>
      <sheetData sheetId="26053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 refreshError="1"/>
      <sheetData sheetId="26677" refreshError="1"/>
      <sheetData sheetId="26678" refreshError="1"/>
      <sheetData sheetId="26679" refreshError="1"/>
      <sheetData sheetId="26680" refreshError="1"/>
      <sheetData sheetId="26681" refreshError="1"/>
      <sheetData sheetId="26682" refreshError="1"/>
      <sheetData sheetId="26683" refreshError="1"/>
      <sheetData sheetId="26684" refreshError="1"/>
      <sheetData sheetId="26685" refreshError="1"/>
      <sheetData sheetId="26686" refreshError="1"/>
      <sheetData sheetId="26687" refreshError="1"/>
      <sheetData sheetId="26688" refreshError="1"/>
      <sheetData sheetId="26689" refreshError="1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 refreshError="1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/>
      <sheetData sheetId="26858"/>
      <sheetData sheetId="26859"/>
      <sheetData sheetId="26860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/>
      <sheetData sheetId="26892"/>
      <sheetData sheetId="26893"/>
      <sheetData sheetId="26894"/>
      <sheetData sheetId="26895"/>
      <sheetData sheetId="26896" refreshError="1"/>
      <sheetData sheetId="26897"/>
      <sheetData sheetId="26898"/>
      <sheetData sheetId="26899" refreshError="1"/>
      <sheetData sheetId="26900" refreshError="1"/>
      <sheetData sheetId="26901" refreshError="1"/>
      <sheetData sheetId="26902" refreshError="1"/>
      <sheetData sheetId="26903"/>
      <sheetData sheetId="26904" refreshError="1"/>
      <sheetData sheetId="26905"/>
      <sheetData sheetId="26906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/>
      <sheetData sheetId="26916" refreshError="1"/>
      <sheetData sheetId="26917" refreshError="1"/>
      <sheetData sheetId="26918" refreshError="1"/>
      <sheetData sheetId="26919"/>
      <sheetData sheetId="26920"/>
      <sheetData sheetId="26921"/>
      <sheetData sheetId="26922"/>
      <sheetData sheetId="26923"/>
      <sheetData sheetId="26924"/>
      <sheetData sheetId="26925"/>
      <sheetData sheetId="26926"/>
      <sheetData sheetId="26927"/>
      <sheetData sheetId="26928"/>
      <sheetData sheetId="26929"/>
      <sheetData sheetId="26930"/>
      <sheetData sheetId="26931"/>
      <sheetData sheetId="26932"/>
      <sheetData sheetId="26933"/>
      <sheetData sheetId="26934"/>
      <sheetData sheetId="26935"/>
      <sheetData sheetId="26936"/>
      <sheetData sheetId="26937"/>
      <sheetData sheetId="26938"/>
      <sheetData sheetId="26939"/>
      <sheetData sheetId="26940"/>
      <sheetData sheetId="26941"/>
      <sheetData sheetId="26942"/>
      <sheetData sheetId="26943"/>
      <sheetData sheetId="26944"/>
      <sheetData sheetId="26945" refreshError="1"/>
      <sheetData sheetId="26946" refreshError="1"/>
      <sheetData sheetId="26947" refreshError="1"/>
      <sheetData sheetId="26948"/>
      <sheetData sheetId="26949" refreshError="1"/>
      <sheetData sheetId="26950"/>
      <sheetData sheetId="26951" refreshError="1"/>
      <sheetData sheetId="26952"/>
      <sheetData sheetId="26953" refreshError="1"/>
      <sheetData sheetId="26954" refreshError="1"/>
      <sheetData sheetId="26955" refreshError="1"/>
      <sheetData sheetId="26956"/>
      <sheetData sheetId="26957"/>
      <sheetData sheetId="26958"/>
      <sheetData sheetId="26959"/>
      <sheetData sheetId="26960"/>
      <sheetData sheetId="26961"/>
      <sheetData sheetId="26962"/>
      <sheetData sheetId="26963"/>
      <sheetData sheetId="26964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 refreshError="1"/>
      <sheetData sheetId="27021" refreshError="1"/>
      <sheetData sheetId="27022" refreshError="1"/>
      <sheetData sheetId="27023" refreshError="1"/>
      <sheetData sheetId="27024" refreshError="1"/>
      <sheetData sheetId="27025" refreshError="1"/>
      <sheetData sheetId="27026" refreshError="1"/>
      <sheetData sheetId="27027" refreshError="1"/>
      <sheetData sheetId="27028" refreshError="1"/>
      <sheetData sheetId="27029" refreshError="1"/>
      <sheetData sheetId="27030" refreshError="1"/>
      <sheetData sheetId="27031" refreshError="1"/>
      <sheetData sheetId="27032" refreshError="1"/>
      <sheetData sheetId="27033" refreshError="1"/>
      <sheetData sheetId="27034" refreshError="1"/>
      <sheetData sheetId="27035" refreshError="1"/>
      <sheetData sheetId="27036" refreshError="1"/>
      <sheetData sheetId="27037" refreshError="1"/>
      <sheetData sheetId="27038" refreshError="1"/>
      <sheetData sheetId="27039" refreshError="1"/>
      <sheetData sheetId="27040" refreshError="1"/>
      <sheetData sheetId="27041" refreshError="1"/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 refreshError="1"/>
      <sheetData sheetId="27083" refreshError="1"/>
      <sheetData sheetId="27084" refreshError="1"/>
      <sheetData sheetId="27085" refreshError="1"/>
      <sheetData sheetId="27086" refreshError="1"/>
      <sheetData sheetId="27087" refreshError="1"/>
      <sheetData sheetId="27088" refreshError="1"/>
      <sheetData sheetId="27089" refreshError="1"/>
      <sheetData sheetId="27090" refreshError="1"/>
      <sheetData sheetId="27091" refreshError="1"/>
      <sheetData sheetId="27092" refreshError="1"/>
      <sheetData sheetId="27093" refreshError="1"/>
      <sheetData sheetId="27094" refreshError="1"/>
      <sheetData sheetId="27095" refreshError="1"/>
      <sheetData sheetId="27096" refreshError="1"/>
      <sheetData sheetId="27097" refreshError="1"/>
      <sheetData sheetId="27098" refreshError="1"/>
      <sheetData sheetId="27099" refreshError="1"/>
      <sheetData sheetId="27100" refreshError="1"/>
      <sheetData sheetId="27101" refreshError="1"/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 refreshError="1"/>
      <sheetData sheetId="27143" refreshError="1"/>
      <sheetData sheetId="27144" refreshError="1"/>
      <sheetData sheetId="27145" refreshError="1"/>
      <sheetData sheetId="27146" refreshError="1"/>
      <sheetData sheetId="27147" refreshError="1"/>
      <sheetData sheetId="27148" refreshError="1"/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 refreshError="1"/>
      <sheetData sheetId="27167"/>
      <sheetData sheetId="27168" refreshError="1"/>
      <sheetData sheetId="27169" refreshError="1"/>
      <sheetData sheetId="27170" refreshError="1"/>
      <sheetData sheetId="27171" refreshError="1"/>
      <sheetData sheetId="27172" refreshError="1"/>
      <sheetData sheetId="27173" refreshError="1"/>
      <sheetData sheetId="27174" refreshError="1"/>
      <sheetData sheetId="27175" refreshError="1"/>
      <sheetData sheetId="27176" refreshError="1"/>
      <sheetData sheetId="27177" refreshError="1"/>
      <sheetData sheetId="27178" refreshError="1"/>
      <sheetData sheetId="27179" refreshError="1"/>
      <sheetData sheetId="27180" refreshError="1"/>
      <sheetData sheetId="27181" refreshError="1"/>
      <sheetData sheetId="27182" refreshError="1"/>
      <sheetData sheetId="27183" refreshError="1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 refreshError="1"/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 refreshError="1"/>
      <sheetData sheetId="27200" refreshError="1"/>
      <sheetData sheetId="27201" refreshError="1"/>
      <sheetData sheetId="27202" refreshError="1"/>
      <sheetData sheetId="27203" refreshError="1"/>
      <sheetData sheetId="27204" refreshError="1"/>
      <sheetData sheetId="27205" refreshError="1"/>
      <sheetData sheetId="27206" refreshError="1"/>
      <sheetData sheetId="27207" refreshError="1"/>
      <sheetData sheetId="27208" refreshError="1"/>
      <sheetData sheetId="27209" refreshError="1"/>
      <sheetData sheetId="27210"/>
      <sheetData sheetId="27211"/>
      <sheetData sheetId="27212"/>
      <sheetData sheetId="27213"/>
      <sheetData sheetId="27214"/>
      <sheetData sheetId="27215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 refreshError="1"/>
      <sheetData sheetId="27243" refreshError="1"/>
      <sheetData sheetId="27244" refreshError="1"/>
      <sheetData sheetId="27245" refreshError="1"/>
      <sheetData sheetId="27246" refreshError="1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 refreshError="1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/>
      <sheetData sheetId="27265"/>
      <sheetData sheetId="27266"/>
      <sheetData sheetId="27267" refreshError="1"/>
      <sheetData sheetId="27268" refreshError="1"/>
      <sheetData sheetId="27269" refreshError="1"/>
      <sheetData sheetId="27270" refreshError="1"/>
      <sheetData sheetId="27271" refreshError="1"/>
      <sheetData sheetId="27272" refreshError="1"/>
      <sheetData sheetId="27273" refreshError="1"/>
      <sheetData sheetId="27274" refreshError="1"/>
      <sheetData sheetId="27275" refreshError="1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 refreshError="1"/>
      <sheetData sheetId="27293" refreshError="1"/>
      <sheetData sheetId="27294" refreshError="1"/>
      <sheetData sheetId="27295" refreshError="1"/>
      <sheetData sheetId="27296" refreshError="1"/>
      <sheetData sheetId="27297" refreshError="1"/>
      <sheetData sheetId="27298" refreshError="1"/>
      <sheetData sheetId="27299" refreshError="1"/>
      <sheetData sheetId="27300" refreshError="1"/>
      <sheetData sheetId="27301" refreshError="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 refreshError="1"/>
      <sheetData sheetId="27316" refreshError="1"/>
      <sheetData sheetId="27317" refreshError="1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 refreshError="1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 refreshError="1"/>
      <sheetData sheetId="27333" refreshError="1"/>
      <sheetData sheetId="27334" refreshError="1"/>
      <sheetData sheetId="27335" refreshError="1"/>
      <sheetData sheetId="27336" refreshError="1"/>
      <sheetData sheetId="27337" refreshError="1"/>
      <sheetData sheetId="27338" refreshError="1"/>
      <sheetData sheetId="27339" refreshError="1"/>
      <sheetData sheetId="27340" refreshError="1"/>
      <sheetData sheetId="27341" refreshError="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 refreshError="1"/>
      <sheetData sheetId="27393" refreshError="1"/>
      <sheetData sheetId="27394" refreshError="1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 refreshError="1"/>
      <sheetData sheetId="27417" refreshError="1"/>
      <sheetData sheetId="27418" refreshError="1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 refreshError="1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 refreshError="1"/>
      <sheetData sheetId="27595" refreshError="1"/>
      <sheetData sheetId="27596" refreshError="1"/>
      <sheetData sheetId="27597" refreshError="1"/>
      <sheetData sheetId="27598" refreshError="1"/>
      <sheetData sheetId="27599" refreshError="1"/>
      <sheetData sheetId="27600" refreshError="1"/>
      <sheetData sheetId="27601" refreshError="1"/>
      <sheetData sheetId="27602" refreshError="1"/>
      <sheetData sheetId="27603" refreshError="1"/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 refreshError="1"/>
      <sheetData sheetId="27654" refreshError="1"/>
      <sheetData sheetId="27655" refreshError="1"/>
      <sheetData sheetId="27656" refreshError="1"/>
      <sheetData sheetId="27657" refreshError="1"/>
      <sheetData sheetId="27658" refreshError="1"/>
      <sheetData sheetId="27659" refreshError="1"/>
      <sheetData sheetId="27660" refreshError="1"/>
      <sheetData sheetId="27661" refreshError="1"/>
      <sheetData sheetId="27662" refreshError="1"/>
      <sheetData sheetId="27663" refreshError="1"/>
      <sheetData sheetId="27664" refreshError="1"/>
      <sheetData sheetId="27665" refreshError="1"/>
      <sheetData sheetId="27666" refreshError="1"/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/>
      <sheetData sheetId="27859" refreshError="1"/>
      <sheetData sheetId="27860" refreshError="1"/>
      <sheetData sheetId="27861"/>
      <sheetData sheetId="27862"/>
      <sheetData sheetId="27863"/>
      <sheetData sheetId="27864"/>
      <sheetData sheetId="27865"/>
      <sheetData sheetId="27866"/>
      <sheetData sheetId="27867"/>
      <sheetData sheetId="27868"/>
      <sheetData sheetId="27869"/>
      <sheetData sheetId="27870"/>
      <sheetData sheetId="27871"/>
      <sheetData sheetId="27872"/>
      <sheetData sheetId="27873"/>
      <sheetData sheetId="27874"/>
      <sheetData sheetId="27875"/>
      <sheetData sheetId="27876"/>
      <sheetData sheetId="27877"/>
      <sheetData sheetId="27878"/>
      <sheetData sheetId="27879"/>
      <sheetData sheetId="27880"/>
      <sheetData sheetId="27881"/>
      <sheetData sheetId="27882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/>
      <sheetData sheetId="27993"/>
      <sheetData sheetId="27994"/>
      <sheetData sheetId="27995"/>
      <sheetData sheetId="27996"/>
      <sheetData sheetId="27997"/>
      <sheetData sheetId="27998"/>
      <sheetData sheetId="27999"/>
      <sheetData sheetId="28000"/>
      <sheetData sheetId="28001"/>
      <sheetData sheetId="28002"/>
      <sheetData sheetId="28003"/>
      <sheetData sheetId="28004"/>
      <sheetData sheetId="28005"/>
      <sheetData sheetId="28006"/>
      <sheetData sheetId="28007"/>
      <sheetData sheetId="28008"/>
      <sheetData sheetId="28009"/>
      <sheetData sheetId="28010"/>
      <sheetData sheetId="28011"/>
      <sheetData sheetId="28012"/>
      <sheetData sheetId="28013"/>
      <sheetData sheetId="28014"/>
      <sheetData sheetId="28015"/>
      <sheetData sheetId="28016"/>
      <sheetData sheetId="28017"/>
      <sheetData sheetId="28018"/>
      <sheetData sheetId="28019"/>
      <sheetData sheetId="28020"/>
      <sheetData sheetId="28021"/>
      <sheetData sheetId="28022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 refreshError="1"/>
      <sheetData sheetId="28267" refreshError="1"/>
      <sheetData sheetId="28268" refreshError="1"/>
      <sheetData sheetId="28269" refreshError="1"/>
      <sheetData sheetId="28270" refreshError="1"/>
      <sheetData sheetId="28271" refreshError="1"/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 refreshError="1"/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/>
      <sheetData sheetId="28440"/>
      <sheetData sheetId="28441"/>
      <sheetData sheetId="28442"/>
      <sheetData sheetId="28443"/>
      <sheetData sheetId="28444"/>
      <sheetData sheetId="28445"/>
      <sheetData sheetId="28446"/>
      <sheetData sheetId="28447"/>
      <sheetData sheetId="28448"/>
      <sheetData sheetId="28449"/>
      <sheetData sheetId="28450"/>
      <sheetData sheetId="28451"/>
      <sheetData sheetId="28452"/>
      <sheetData sheetId="28453"/>
      <sheetData sheetId="28454"/>
      <sheetData sheetId="28455"/>
      <sheetData sheetId="28456"/>
      <sheetData sheetId="28457"/>
      <sheetData sheetId="28458"/>
      <sheetData sheetId="28459"/>
      <sheetData sheetId="28460"/>
      <sheetData sheetId="28461"/>
      <sheetData sheetId="28462" refreshError="1"/>
      <sheetData sheetId="28463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/>
      <sheetData sheetId="28609" refreshError="1"/>
      <sheetData sheetId="28610"/>
      <sheetData sheetId="28611"/>
      <sheetData sheetId="28612"/>
      <sheetData sheetId="28613"/>
      <sheetData sheetId="28614"/>
      <sheetData sheetId="28615"/>
      <sheetData sheetId="28616"/>
      <sheetData sheetId="28617"/>
      <sheetData sheetId="28618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/>
      <sheetData sheetId="28641"/>
      <sheetData sheetId="28642"/>
      <sheetData sheetId="28643"/>
      <sheetData sheetId="28644"/>
      <sheetData sheetId="28645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/>
      <sheetData sheetId="28677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/>
      <sheetData sheetId="28690" refreshError="1"/>
      <sheetData sheetId="28691" refreshError="1"/>
      <sheetData sheetId="28692" refreshError="1"/>
      <sheetData sheetId="28693"/>
      <sheetData sheetId="28694"/>
      <sheetData sheetId="28695"/>
      <sheetData sheetId="28696"/>
      <sheetData sheetId="28697"/>
      <sheetData sheetId="28698"/>
      <sheetData sheetId="28699"/>
      <sheetData sheetId="28700"/>
      <sheetData sheetId="28701"/>
      <sheetData sheetId="28702"/>
      <sheetData sheetId="28703"/>
      <sheetData sheetId="28704"/>
      <sheetData sheetId="28705"/>
      <sheetData sheetId="28706"/>
      <sheetData sheetId="28707"/>
      <sheetData sheetId="28708"/>
      <sheetData sheetId="28709"/>
      <sheetData sheetId="28710"/>
      <sheetData sheetId="28711"/>
      <sheetData sheetId="28712"/>
      <sheetData sheetId="28713"/>
      <sheetData sheetId="28714"/>
      <sheetData sheetId="28715"/>
      <sheetData sheetId="28716"/>
      <sheetData sheetId="28717"/>
      <sheetData sheetId="28718"/>
      <sheetData sheetId="28719"/>
      <sheetData sheetId="28720"/>
      <sheetData sheetId="28721"/>
      <sheetData sheetId="28722"/>
      <sheetData sheetId="28723"/>
      <sheetData sheetId="28724"/>
      <sheetData sheetId="28725"/>
      <sheetData sheetId="28726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/>
      <sheetData sheetId="28737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/>
      <sheetData sheetId="28757"/>
      <sheetData sheetId="28758"/>
      <sheetData sheetId="28759"/>
      <sheetData sheetId="28760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/>
      <sheetData sheetId="2877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/>
      <sheetData sheetId="28790"/>
      <sheetData sheetId="28791"/>
      <sheetData sheetId="28792"/>
      <sheetData sheetId="28793"/>
      <sheetData sheetId="28794"/>
      <sheetData sheetId="28795"/>
      <sheetData sheetId="28796"/>
      <sheetData sheetId="28797"/>
      <sheetData sheetId="28798"/>
      <sheetData sheetId="28799"/>
      <sheetData sheetId="28800"/>
      <sheetData sheetId="28801"/>
      <sheetData sheetId="28802"/>
      <sheetData sheetId="28803"/>
      <sheetData sheetId="28804"/>
      <sheetData sheetId="28805"/>
      <sheetData sheetId="28806"/>
      <sheetData sheetId="28807"/>
      <sheetData sheetId="28808"/>
      <sheetData sheetId="28809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 refreshError="1"/>
      <sheetData sheetId="28821" refreshError="1"/>
      <sheetData sheetId="28822" refreshError="1"/>
      <sheetData sheetId="28823" refreshError="1"/>
      <sheetData sheetId="28824" refreshError="1"/>
      <sheetData sheetId="28825" refreshError="1"/>
      <sheetData sheetId="28826" refreshError="1"/>
      <sheetData sheetId="28827" refreshError="1"/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 refreshError="1"/>
      <sheetData sheetId="28918" refreshError="1"/>
      <sheetData sheetId="28919"/>
      <sheetData sheetId="28920"/>
      <sheetData sheetId="28921"/>
      <sheetData sheetId="28922"/>
      <sheetData sheetId="28923" refreshError="1"/>
      <sheetData sheetId="28924" refreshError="1"/>
      <sheetData sheetId="28925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/>
      <sheetData sheetId="28937"/>
      <sheetData sheetId="28938" refreshError="1"/>
      <sheetData sheetId="28939" refreshError="1"/>
      <sheetData sheetId="28940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/>
      <sheetData sheetId="28950"/>
      <sheetData sheetId="28951"/>
      <sheetData sheetId="28952"/>
      <sheetData sheetId="28953"/>
      <sheetData sheetId="28954"/>
      <sheetData sheetId="28955"/>
      <sheetData sheetId="28956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/>
      <sheetData sheetId="28978"/>
      <sheetData sheetId="28979"/>
      <sheetData sheetId="28980"/>
      <sheetData sheetId="28981"/>
      <sheetData sheetId="28982"/>
      <sheetData sheetId="28983"/>
      <sheetData sheetId="28984"/>
      <sheetData sheetId="28985"/>
      <sheetData sheetId="28986"/>
      <sheetData sheetId="28987"/>
      <sheetData sheetId="28988"/>
      <sheetData sheetId="28989"/>
      <sheetData sheetId="28990"/>
      <sheetData sheetId="28991"/>
      <sheetData sheetId="28992"/>
      <sheetData sheetId="28993"/>
      <sheetData sheetId="28994"/>
      <sheetData sheetId="28995"/>
      <sheetData sheetId="28996"/>
      <sheetData sheetId="28997"/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/>
      <sheetData sheetId="29019"/>
      <sheetData sheetId="29020"/>
      <sheetData sheetId="29021"/>
      <sheetData sheetId="29022"/>
      <sheetData sheetId="29023"/>
      <sheetData sheetId="29024"/>
      <sheetData sheetId="29025"/>
      <sheetData sheetId="29026" refreshError="1"/>
      <sheetData sheetId="29027" refreshError="1"/>
      <sheetData sheetId="29028" refreshError="1"/>
      <sheetData sheetId="29029" refreshError="1"/>
      <sheetData sheetId="29030" refreshError="1"/>
      <sheetData sheetId="29031" refreshError="1"/>
      <sheetData sheetId="29032" refreshError="1"/>
      <sheetData sheetId="29033" refreshError="1"/>
      <sheetData sheetId="29034" refreshError="1"/>
      <sheetData sheetId="29035" refreshError="1"/>
      <sheetData sheetId="29036" refreshError="1"/>
      <sheetData sheetId="29037" refreshError="1"/>
      <sheetData sheetId="29038" refreshError="1"/>
      <sheetData sheetId="29039" refreshError="1"/>
      <sheetData sheetId="29040" refreshError="1"/>
      <sheetData sheetId="29041" refreshError="1"/>
      <sheetData sheetId="29042" refreshError="1"/>
      <sheetData sheetId="29043" refreshError="1"/>
      <sheetData sheetId="29044" refreshError="1"/>
      <sheetData sheetId="29045" refreshError="1"/>
      <sheetData sheetId="29046" refreshError="1"/>
      <sheetData sheetId="29047" refreshError="1"/>
      <sheetData sheetId="29048" refreshError="1"/>
      <sheetData sheetId="29049" refreshError="1"/>
      <sheetData sheetId="29050" refreshError="1"/>
      <sheetData sheetId="29051" refreshError="1"/>
      <sheetData sheetId="29052" refreshError="1"/>
      <sheetData sheetId="29053" refreshError="1"/>
      <sheetData sheetId="29054" refreshError="1"/>
      <sheetData sheetId="29055" refreshError="1"/>
      <sheetData sheetId="29056" refreshError="1"/>
      <sheetData sheetId="29057" refreshError="1"/>
      <sheetData sheetId="29058" refreshError="1"/>
      <sheetData sheetId="29059" refreshError="1"/>
      <sheetData sheetId="29060" refreshError="1"/>
      <sheetData sheetId="29061" refreshError="1"/>
      <sheetData sheetId="29062" refreshError="1"/>
      <sheetData sheetId="29063" refreshError="1"/>
      <sheetData sheetId="29064" refreshError="1"/>
      <sheetData sheetId="29065" refreshError="1"/>
      <sheetData sheetId="29066" refreshError="1"/>
      <sheetData sheetId="29067" refreshError="1"/>
      <sheetData sheetId="29068" refreshError="1"/>
      <sheetData sheetId="29069" refreshError="1"/>
      <sheetData sheetId="29070" refreshError="1"/>
      <sheetData sheetId="29071" refreshError="1"/>
      <sheetData sheetId="29072" refreshError="1"/>
      <sheetData sheetId="29073" refreshError="1"/>
      <sheetData sheetId="29074" refreshError="1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/>
      <sheetData sheetId="29147"/>
      <sheetData sheetId="29148"/>
      <sheetData sheetId="29149"/>
      <sheetData sheetId="29150"/>
      <sheetData sheetId="29151"/>
      <sheetData sheetId="29152"/>
      <sheetData sheetId="29153"/>
      <sheetData sheetId="29154"/>
      <sheetData sheetId="29155"/>
      <sheetData sheetId="29156"/>
      <sheetData sheetId="29157"/>
      <sheetData sheetId="29158"/>
      <sheetData sheetId="29159"/>
      <sheetData sheetId="29160"/>
      <sheetData sheetId="29161"/>
      <sheetData sheetId="29162"/>
      <sheetData sheetId="29163"/>
      <sheetData sheetId="29164"/>
      <sheetData sheetId="29165"/>
      <sheetData sheetId="29166"/>
      <sheetData sheetId="29167"/>
      <sheetData sheetId="29168"/>
      <sheetData sheetId="29169"/>
      <sheetData sheetId="29170"/>
      <sheetData sheetId="29171"/>
      <sheetData sheetId="29172"/>
      <sheetData sheetId="29173"/>
      <sheetData sheetId="29174"/>
      <sheetData sheetId="29175"/>
      <sheetData sheetId="29176"/>
      <sheetData sheetId="29177"/>
      <sheetData sheetId="29178" refreshError="1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 refreshError="1"/>
      <sheetData sheetId="29189" refreshError="1"/>
      <sheetData sheetId="29190" refreshError="1"/>
      <sheetData sheetId="29191" refreshError="1"/>
      <sheetData sheetId="29192"/>
      <sheetData sheetId="29193"/>
      <sheetData sheetId="29194"/>
      <sheetData sheetId="29195"/>
      <sheetData sheetId="29196"/>
      <sheetData sheetId="29197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 refreshError="1"/>
      <sheetData sheetId="29239" refreshError="1"/>
      <sheetData sheetId="29240" refreshError="1"/>
      <sheetData sheetId="29241" refreshError="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 refreshError="1"/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/>
      <sheetData sheetId="29320"/>
      <sheetData sheetId="29321"/>
      <sheetData sheetId="29322"/>
      <sheetData sheetId="29323"/>
      <sheetData sheetId="29324"/>
      <sheetData sheetId="29325"/>
      <sheetData sheetId="29326"/>
      <sheetData sheetId="29327"/>
      <sheetData sheetId="29328"/>
      <sheetData sheetId="29329"/>
      <sheetData sheetId="29330"/>
      <sheetData sheetId="29331"/>
      <sheetData sheetId="29332"/>
      <sheetData sheetId="29333"/>
      <sheetData sheetId="29334"/>
      <sheetData sheetId="29335"/>
      <sheetData sheetId="29336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 refreshError="1"/>
      <sheetData sheetId="29348" refreshError="1"/>
      <sheetData sheetId="29349" refreshError="1"/>
      <sheetData sheetId="29350" refreshError="1"/>
      <sheetData sheetId="2935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 refreshError="1"/>
      <sheetData sheetId="29362" refreshError="1"/>
      <sheetData sheetId="29363" refreshError="1"/>
      <sheetData sheetId="29364" refreshError="1"/>
      <sheetData sheetId="29365" refreshError="1"/>
      <sheetData sheetId="29366" refreshError="1"/>
      <sheetData sheetId="29367" refreshError="1"/>
      <sheetData sheetId="29368" refreshError="1"/>
      <sheetData sheetId="29369" refreshError="1"/>
      <sheetData sheetId="29370" refreshError="1"/>
      <sheetData sheetId="29371" refreshError="1"/>
      <sheetData sheetId="29372"/>
      <sheetData sheetId="29373"/>
      <sheetData sheetId="29374"/>
      <sheetData sheetId="29375"/>
      <sheetData sheetId="29376"/>
      <sheetData sheetId="29377"/>
      <sheetData sheetId="29378"/>
      <sheetData sheetId="29379"/>
      <sheetData sheetId="29380"/>
      <sheetData sheetId="29381"/>
      <sheetData sheetId="29382"/>
      <sheetData sheetId="29383"/>
      <sheetData sheetId="29384"/>
      <sheetData sheetId="29385"/>
      <sheetData sheetId="29386"/>
      <sheetData sheetId="29387"/>
      <sheetData sheetId="29388"/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 refreshError="1"/>
      <sheetData sheetId="29409" refreshError="1"/>
      <sheetData sheetId="29410" refreshError="1"/>
      <sheetData sheetId="29411" refreshError="1"/>
      <sheetData sheetId="29412" refreshError="1"/>
      <sheetData sheetId="29413" refreshError="1"/>
      <sheetData sheetId="29414" refreshError="1"/>
      <sheetData sheetId="29415" refreshError="1"/>
      <sheetData sheetId="29416" refreshError="1"/>
      <sheetData sheetId="29417" refreshError="1"/>
      <sheetData sheetId="29418" refreshError="1"/>
      <sheetData sheetId="29419" refreshError="1"/>
      <sheetData sheetId="29420" refreshError="1"/>
      <sheetData sheetId="29421" refreshError="1"/>
      <sheetData sheetId="29422" refreshError="1"/>
      <sheetData sheetId="29423" refreshError="1"/>
      <sheetData sheetId="29424" refreshError="1"/>
      <sheetData sheetId="29425" refreshError="1"/>
      <sheetData sheetId="29426" refreshError="1"/>
      <sheetData sheetId="29427" refreshError="1"/>
      <sheetData sheetId="29428" refreshError="1"/>
      <sheetData sheetId="29429" refreshError="1"/>
      <sheetData sheetId="29430" refreshError="1"/>
      <sheetData sheetId="29431" refreshError="1"/>
      <sheetData sheetId="29432" refreshError="1"/>
      <sheetData sheetId="29433" refreshError="1"/>
      <sheetData sheetId="29434" refreshError="1"/>
      <sheetData sheetId="29435" refreshError="1"/>
      <sheetData sheetId="29436"/>
      <sheetData sheetId="29437"/>
      <sheetData sheetId="29438"/>
      <sheetData sheetId="29439"/>
      <sheetData sheetId="29440"/>
      <sheetData sheetId="29441"/>
      <sheetData sheetId="29442"/>
      <sheetData sheetId="29443"/>
      <sheetData sheetId="29444"/>
      <sheetData sheetId="29445"/>
      <sheetData sheetId="29446"/>
      <sheetData sheetId="29447"/>
      <sheetData sheetId="29448"/>
      <sheetData sheetId="29449"/>
      <sheetData sheetId="29450"/>
      <sheetData sheetId="29451"/>
      <sheetData sheetId="29452"/>
      <sheetData sheetId="29453"/>
      <sheetData sheetId="29454"/>
      <sheetData sheetId="29455"/>
      <sheetData sheetId="29456"/>
      <sheetData sheetId="29457"/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/>
      <sheetData sheetId="29473"/>
      <sheetData sheetId="29474"/>
      <sheetData sheetId="29475"/>
      <sheetData sheetId="29476"/>
      <sheetData sheetId="29477"/>
      <sheetData sheetId="29478"/>
      <sheetData sheetId="29479"/>
      <sheetData sheetId="29480"/>
      <sheetData sheetId="29481"/>
      <sheetData sheetId="29482"/>
      <sheetData sheetId="29483"/>
      <sheetData sheetId="29484"/>
      <sheetData sheetId="29485"/>
      <sheetData sheetId="29486"/>
      <sheetData sheetId="29487"/>
      <sheetData sheetId="29488"/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/>
      <sheetData sheetId="29504"/>
      <sheetData sheetId="29505"/>
      <sheetData sheetId="29506"/>
      <sheetData sheetId="29507"/>
      <sheetData sheetId="29508"/>
      <sheetData sheetId="29509"/>
      <sheetData sheetId="29510"/>
      <sheetData sheetId="29511"/>
      <sheetData sheetId="29512"/>
      <sheetData sheetId="29513"/>
      <sheetData sheetId="29514"/>
      <sheetData sheetId="29515"/>
      <sheetData sheetId="29516"/>
      <sheetData sheetId="29517"/>
      <sheetData sheetId="29518"/>
      <sheetData sheetId="29519"/>
      <sheetData sheetId="29520"/>
      <sheetData sheetId="29521"/>
      <sheetData sheetId="29522"/>
      <sheetData sheetId="29523"/>
      <sheetData sheetId="29524" refreshError="1"/>
      <sheetData sheetId="29525" refreshError="1"/>
      <sheetData sheetId="29526" refreshError="1"/>
      <sheetData sheetId="29527" refreshError="1"/>
      <sheetData sheetId="29528" refreshError="1"/>
      <sheetData sheetId="29529" refreshError="1"/>
      <sheetData sheetId="29530" refreshError="1"/>
      <sheetData sheetId="29531" refreshError="1"/>
      <sheetData sheetId="29532" refreshError="1"/>
      <sheetData sheetId="29533" refreshError="1"/>
      <sheetData sheetId="29534" refreshError="1"/>
      <sheetData sheetId="29535" refreshError="1"/>
      <sheetData sheetId="29536" refreshError="1"/>
      <sheetData sheetId="29537" refreshError="1"/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/>
      <sheetData sheetId="29554"/>
      <sheetData sheetId="29555"/>
      <sheetData sheetId="29556"/>
      <sheetData sheetId="29557"/>
      <sheetData sheetId="29558"/>
      <sheetData sheetId="29559"/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/>
      <sheetData sheetId="29575"/>
      <sheetData sheetId="29576"/>
      <sheetData sheetId="29577"/>
      <sheetData sheetId="29578"/>
      <sheetData sheetId="29579"/>
      <sheetData sheetId="29580"/>
      <sheetData sheetId="29581"/>
      <sheetData sheetId="29582"/>
      <sheetData sheetId="29583"/>
      <sheetData sheetId="29584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/>
      <sheetData sheetId="29601"/>
      <sheetData sheetId="29602"/>
      <sheetData sheetId="29603"/>
      <sheetData sheetId="29604"/>
      <sheetData sheetId="29605"/>
      <sheetData sheetId="29606"/>
      <sheetData sheetId="29607"/>
      <sheetData sheetId="29608"/>
      <sheetData sheetId="29609"/>
      <sheetData sheetId="29610"/>
      <sheetData sheetId="29611" refreshError="1"/>
      <sheetData sheetId="29612" refreshError="1"/>
      <sheetData sheetId="29613" refreshError="1"/>
      <sheetData sheetId="29614" refreshError="1"/>
      <sheetData sheetId="29615" refreshError="1"/>
      <sheetData sheetId="29616" refreshError="1"/>
      <sheetData sheetId="29617" refreshError="1"/>
      <sheetData sheetId="29618" refreshError="1"/>
      <sheetData sheetId="29619" refreshError="1"/>
      <sheetData sheetId="29620" refreshError="1"/>
      <sheetData sheetId="29621" refreshError="1"/>
      <sheetData sheetId="29622" refreshError="1"/>
      <sheetData sheetId="29623" refreshError="1"/>
      <sheetData sheetId="29624" refreshError="1"/>
      <sheetData sheetId="29625" refreshError="1"/>
      <sheetData sheetId="29626" refreshError="1"/>
      <sheetData sheetId="29627" refreshError="1"/>
      <sheetData sheetId="29628" refreshError="1"/>
      <sheetData sheetId="29629" refreshError="1"/>
      <sheetData sheetId="29630" refreshError="1"/>
      <sheetData sheetId="29631" refreshError="1"/>
      <sheetData sheetId="29632" refreshError="1"/>
      <sheetData sheetId="29633" refreshError="1"/>
      <sheetData sheetId="29634" refreshError="1"/>
      <sheetData sheetId="29635" refreshError="1"/>
      <sheetData sheetId="29636" refreshError="1"/>
      <sheetData sheetId="29637" refreshError="1"/>
      <sheetData sheetId="29638" refreshError="1"/>
      <sheetData sheetId="29639" refreshError="1"/>
      <sheetData sheetId="29640"/>
      <sheetData sheetId="29641"/>
      <sheetData sheetId="29642"/>
      <sheetData sheetId="29643"/>
      <sheetData sheetId="29644"/>
      <sheetData sheetId="29645"/>
      <sheetData sheetId="29646"/>
      <sheetData sheetId="29647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 refreshError="1"/>
      <sheetData sheetId="29671" refreshError="1"/>
      <sheetData sheetId="29672" refreshError="1"/>
      <sheetData sheetId="29673"/>
      <sheetData sheetId="29674"/>
      <sheetData sheetId="29675"/>
      <sheetData sheetId="29676"/>
      <sheetData sheetId="29677"/>
      <sheetData sheetId="29678"/>
      <sheetData sheetId="29679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/>
      <sheetData sheetId="29689"/>
      <sheetData sheetId="29690"/>
      <sheetData sheetId="29691"/>
      <sheetData sheetId="29692"/>
      <sheetData sheetId="29693"/>
      <sheetData sheetId="29694"/>
      <sheetData sheetId="29695"/>
      <sheetData sheetId="29696"/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 refreshError="1"/>
      <sheetData sheetId="29723" refreshError="1"/>
      <sheetData sheetId="29724" refreshError="1"/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</sheetDataSet>
  </externalBook>
</externalLink>
</file>

<file path=xl/externalLinks/externalLink1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gnd"/>
      <sheetName val="FIXED"/>
      <sheetName val="CANAD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Schedule"/>
      <sheetName val="Refferensi"/>
      <sheetName val="EQL_AGM"/>
      <sheetName val="SPO"/>
      <sheetName val="OB Prod"/>
      <sheetName val="CO Prod"/>
      <sheetName val="EQ_Capacity"/>
      <sheetName val="Mine_schedule_Summary"/>
      <sheetName val="Plan_summary"/>
      <sheetName val="Sheet1"/>
      <sheetName val="Sheet2"/>
      <sheetName val="PA_Usuable WH"/>
      <sheetName val="Equipment working hour"/>
      <sheetName val="Fuel cons"/>
      <sheetName val="OOC"/>
      <sheetName val="Fuel_Plan_Cost"/>
      <sheetName val="Man_Power"/>
      <sheetName val="Financial_calculation"/>
      <sheetName val="Selling_cost_AG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-DATA"/>
      <sheetName val="MASTER"/>
      <sheetName val="Lynx"/>
      <sheetName val="Lembur"/>
      <sheetName val="PRODUKSI"/>
      <sheetName val="JKP HAULING"/>
      <sheetName val="HM"/>
      <sheetName val="CEK UNIT"/>
      <sheetName val="Payroll"/>
      <sheetName val="Slip Gaji"/>
      <sheetName val="Slip Staff"/>
      <sheetName val="Tutorial"/>
      <sheetName val="Summary Cash-Rek"/>
      <sheetName val="Gaji BSS PKN Mei '12 - 0806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TERIAL"/>
      <sheetName val="ANALISA (2)"/>
      <sheetName val="ANALISA"/>
      <sheetName val="BQ"/>
      <sheetName val="04. 현장 관리"/>
      <sheetName val="Input"/>
      <sheetName val="22"/>
      <sheetName val="21"/>
      <sheetName val="FORM"/>
      <sheetName val="gn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1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al Brand References"/>
      <sheetName val="Prod Spec"/>
      <sheetName val="Prod Q-LMO 2013"/>
      <sheetName val="Prod Q-BMO 2013"/>
      <sheetName val="Prod Q-SMO 2013"/>
      <sheetName val=" Buyer App B"/>
      <sheetName val="Sum Shipment"/>
      <sheetName val="Open - Closing stock"/>
      <sheetName val="Blending Compostion 2012"/>
      <sheetName val="Plan &amp; Prod"/>
      <sheetName val="Shipp schedule 2013"/>
      <sheetName val="Overall"/>
      <sheetName val="Production Plan 2013"/>
      <sheetName val="Q Specs 2013 App O"/>
      <sheetName val="Jan 2013 App C"/>
      <sheetName val="Feb-2013 App D"/>
      <sheetName val="Mar-2013 App E"/>
      <sheetName val="Apr-2013 App F"/>
      <sheetName val="May-2013 App G"/>
      <sheetName val="Jun-2013 App H"/>
      <sheetName val="Jul-2013 App I"/>
      <sheetName val="Aug-2013 App J"/>
      <sheetName val="Sep-2013 App K"/>
      <sheetName val="Oct-2013 App L"/>
      <sheetName val="Nov-2013 App M"/>
      <sheetName val="Dec-2013 App N"/>
      <sheetName val="List of Attachmne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arget 2013"/>
      <sheetName val="Sheet1"/>
      <sheetName val="Schema Appendix A"/>
      <sheetName val="Sheet4"/>
      <sheetName val="Sheet2"/>
      <sheetName val="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Analysis"/>
      <sheetName val="CheckSQL"/>
      <sheetName val="Sheet1"/>
      <sheetName val="BMSA (2)"/>
      <sheetName val="Overall"/>
      <sheetName val="ahs"/>
      <sheetName val="metod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HM DB"/>
      <sheetName val="Jam Kerja"/>
      <sheetName val="PRODUKSI"/>
      <sheetName val="slip"/>
      <sheetName val="Absensi_HM_lembur-slip"/>
      <sheetName val="MASTER HARG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Resume"/>
      <sheetName val="HM"/>
      <sheetName val="Prod_OB"/>
      <sheetName val="WH_OB"/>
      <sheetName val="Prod_COAL"/>
      <sheetName val="pty"/>
      <sheetName val="WH_COAL"/>
      <sheetName val="To Acces"/>
      <sheetName val="UA"/>
      <sheetName val="BD"/>
      <sheetName val="Fuel"/>
      <sheetName val="Control"/>
      <sheetName val="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Budget Summary_2005"/>
      <sheetName val="Looku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Sheet1"/>
    </sheetNames>
    <sheetDataSet>
      <sheetData sheetId="0"/>
      <sheetData sheetId="1"/>
      <sheetData sheetId="2"/>
    </sheetDataSet>
  </externalBook>
</externalLink>
</file>

<file path=xl/externalLinks/externalLink1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Monitoring Kehadiran 11"/>
      <sheetName val="List Driver"/>
      <sheetName val="Rekap Absen"/>
      <sheetName val="Transaksi "/>
      <sheetName val="Tempel"/>
      <sheetName val="Compare"/>
      <sheetName val="Presensi untuk Target"/>
      <sheetName val="Report"/>
      <sheetName val="No HP"/>
      <sheetName val="ket. Driver"/>
      <sheetName val="Copy of Input juni update 20 ju"/>
      <sheetName val="Data Master 20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"/>
      <sheetName val="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  <sheetName val="2008"/>
      <sheetName val="Contract"/>
      <sheetName val="표지"/>
      <sheetName val="목차"/>
      <sheetName val="비용"/>
      <sheetName val="누계"/>
      <sheetName val="1.요약"/>
      <sheetName val="2.1"/>
      <sheetName val="2.2"/>
      <sheetName val="3"/>
      <sheetName val="3.1"/>
      <sheetName val="3.2"/>
      <sheetName val="4"/>
      <sheetName val="4.1"/>
      <sheetName val="4.2.1"/>
      <sheetName val="4.2.2"/>
      <sheetName val="4.2.3"/>
      <sheetName val="4.2.4"/>
      <sheetName val="4.3.1 "/>
      <sheetName val="4.3.2"/>
      <sheetName val="4.3.3"/>
      <sheetName val="4.3.4"/>
      <sheetName val="4.4"/>
      <sheetName val="4.5"/>
      <sheetName val="누계 (수정)"/>
      <sheetName val="4.0"/>
      <sheetName val="전력분배"/>
      <sheetName val="4.1.0(연간)"/>
      <sheetName val="Res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1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000000"/>
      <sheetName val="기본Data"/>
      <sheetName val="항목별Cost"/>
      <sheetName val="PasirCost"/>
      <sheetName val="PL분석"/>
      <sheetName val="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-DATA"/>
      <sheetName val="MASTER"/>
      <sheetName val="Lembur"/>
      <sheetName val="HM"/>
      <sheetName val="Slip Gaji"/>
      <sheetName val="Sheet1"/>
      <sheetName val="Payroll"/>
      <sheetName val="Slip Staff"/>
      <sheetName val="Data Transfer"/>
      <sheetName val="PRODUKSI"/>
      <sheetName val="CEK UNIT"/>
      <sheetName val="GAJI Formula Gaji JULI 2011 BS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"/>
      <sheetName val="Petunjuk"/>
      <sheetName val="MP ALL"/>
      <sheetName val="STATISTIK"/>
      <sheetName val="SUMMARY"/>
      <sheetName val="IN"/>
      <sheetName val="OUT"/>
      <sheetName val="TRAINEE"/>
      <sheetName val="MAGANG"/>
      <sheetName val="GRAFIK EDU"/>
      <sheetName val="GRAFIK GOL"/>
      <sheetName val="GRAFIK POH"/>
      <sheetName val="GRAFIK AGAMA"/>
      <sheetName val="Sheet1"/>
      <sheetName val="Rekap Fuel"/>
      <sheetName val="Remark"/>
      <sheetName val="Project"/>
      <sheetName val="EXPLOSIVE DATA"/>
      <sheetName val="Resume"/>
      <sheetName val="RB setelah perbaikan"/>
      <sheetName val="TRAINING-INTERNAL"/>
      <sheetName val="010_BMADR-Oktober_09"/>
      <sheetName val="Lists"/>
      <sheetName val="FORECAST"/>
      <sheetName val="LPMING1"/>
      <sheetName val="feb"/>
      <sheetName val="EMPLOYEE"/>
      <sheetName val="Lab Analysis"/>
      <sheetName val="Entry"/>
      <sheetName val="Control"/>
      <sheetName val="ADR(new)"/>
      <sheetName val="MP_ALL"/>
      <sheetName val="GRAFIK_EDU"/>
      <sheetName val="GRAFIK_GOL"/>
      <sheetName val="GRAFIK_POH"/>
      <sheetName val="GRAFIK_AGAMA"/>
      <sheetName val="Rekap_Fuel"/>
      <sheetName val="EXPLOSIVE_DATA"/>
      <sheetName val="RB_setelah_perbaikan"/>
      <sheetName val="MP_ALL1"/>
      <sheetName val="GRAFIK_EDU1"/>
      <sheetName val="GRAFIK_GOL1"/>
      <sheetName val="GRAFIK_POH1"/>
      <sheetName val="GRAFIK_AGAMA1"/>
      <sheetName val="Rekap_Fuel1"/>
      <sheetName val="EXPLOSIVE_DATA1"/>
      <sheetName val="RB_setelah_perbaikan1"/>
      <sheetName val="MP_ALL2"/>
      <sheetName val="GRAFIK_EDU2"/>
      <sheetName val="GRAFIK_GOL2"/>
      <sheetName val="GRAFIK_POH2"/>
      <sheetName val="GRAFIK_AGAMA2"/>
      <sheetName val="Rekap_Fuel2"/>
      <sheetName val="EXPLOSIVE_DATA2"/>
      <sheetName val="RB_setelah_perbaikan2"/>
      <sheetName val="MP_ALL3"/>
      <sheetName val="GRAFIK_EDU3"/>
      <sheetName val="GRAFIK_GOL3"/>
      <sheetName val="GRAFIK_POH3"/>
      <sheetName val="GRAFIK_AGAMA3"/>
      <sheetName val="Rekap_Fuel3"/>
      <sheetName val="EXPLOSIVE_DATA3"/>
      <sheetName val="RB_setelah_perbaikan3"/>
      <sheetName val="Hourly"/>
      <sheetName val="EqpPerf"/>
      <sheetName val="Type Unit"/>
      <sheetName val="Reference"/>
      <sheetName val="ZMM039R"/>
      <sheetName val="TimePerf"/>
      <sheetName val="EquipPerf"/>
      <sheetName val="ZMC3012R-D"/>
      <sheetName val="ZMC3012R-H"/>
      <sheetName val="Pty"/>
      <sheetName val="Input_DispA"/>
      <sheetName val="Input_DispB1"/>
      <sheetName val="Input_PitA"/>
      <sheetName val="Input_PitB1"/>
      <sheetName val="In_PitA"/>
      <sheetName val="In_pitB1"/>
      <sheetName val="Realisasi"/>
      <sheetName val="pribumi"/>
      <sheetName val="Lab_Analysis"/>
      <sheetName val="Type_Unit"/>
      <sheetName val="DTDummy"/>
      <sheetName val="no ref"/>
      <sheetName val="Plan Budget"/>
      <sheetName val="input data VDR"/>
      <sheetName val="Wh"/>
      <sheetName val="Irregular Income"/>
      <sheetName val="FE-1770.P1"/>
      <sheetName val="OLIE"/>
      <sheetName val="PLAN JAN 09"/>
      <sheetName val="PLAN FEB 09"/>
      <sheetName val="DailyPlan"/>
      <sheetName val="OB LOADER"/>
      <sheetName val="OB HAULER"/>
      <sheetName val=" SAF 02"/>
      <sheetName val="D"/>
      <sheetName val="PC_750"/>
      <sheetName val="I"/>
      <sheetName val="PLAN"/>
      <sheetName val="WORK"/>
      <sheetName val="EXA"/>
      <sheetName val="SUM PLAN"/>
      <sheetName val="DATA"/>
      <sheetName val="Rental"/>
      <sheetName val="D_PLAN"/>
      <sheetName val="Sum"/>
      <sheetName val="D_Report"/>
      <sheetName val="Blasting_per_block"/>
      <sheetName val="Overall_plan"/>
      <sheetName val="MP Plant"/>
      <sheetName val="DROPDOWN"/>
      <sheetName val="Weekly Report"/>
      <sheetName val="Budget"/>
      <sheetName val="Training"/>
      <sheetName val="Param_1"/>
      <sheetName val="Asumption Board"/>
      <sheetName val="HUTANG"/>
      <sheetName val="Jadwal"/>
      <sheetName val="Prod. Statistic"/>
      <sheetName val="Grafik-Loss Oportun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(2)"/>
      <sheetName val="MASTER"/>
      <sheetName val="BSB&amp;BPA"/>
      <sheetName val="PRODUKSI"/>
      <sheetName val="HM"/>
      <sheetName val="BONUS"/>
      <sheetName val="Potongan"/>
      <sheetName val="Man Power"/>
      <sheetName val="Absensi"/>
      <sheetName val="Rekapan Produksi"/>
      <sheetName val="Rekapan Logistik"/>
      <sheetName val="Rekapan GA"/>
      <sheetName val="Rekapan RM"/>
      <sheetName val="Slip Gaji Prod"/>
      <sheetName val="Slip Gaji Log"/>
      <sheetName val="Slip Gaji GA"/>
      <sheetName val="Slip Gaji RM"/>
      <sheetName val="Rekap All"/>
      <sheetName val="Rekap Per Item"/>
      <sheetName val="ESTIMATE"/>
      <sheetName val="Sheet1"/>
      <sheetName val="GAJI BSS-TD Juni 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43-6"/>
      <sheetName val="w43-d3"/>
      <sheetName val="w43-d4"/>
      <sheetName val="w43-d6"/>
      <sheetName val="w43-d7 )"/>
      <sheetName val="w44-d1"/>
      <sheetName val="w44-d2 "/>
      <sheetName val="Taikung-02"/>
      <sheetName val="Sheet1"/>
      <sheetName val="w43-d5"/>
      <sheetName val="Contract"/>
      <sheetName val="Lists"/>
      <sheetName val="CAPEX Import"/>
      <sheetName val="기본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 CONSUMABLE"/>
      <sheetName val="PARAMETER"/>
      <sheetName val="PT.DUTA KREASI TEHNIK"/>
      <sheetName val="List Part BC"/>
      <sheetName val="SMD"/>
      <sheetName val="PP"/>
      <sheetName val="MO ATK&amp;APD"/>
      <sheetName val="BACKLOCK"/>
      <sheetName val="PICKLIST"/>
      <sheetName val="AVG SERICE RATIO"/>
      <sheetName val="Sheet1"/>
      <sheetName val="PP, MO &amp; BACKLOG AGUSTUS 2013.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Data Master 2010"/>
    </sheetNames>
    <sheetDataSet>
      <sheetData sheetId="0"/>
      <sheetData sheetId="1" refreshError="1"/>
    </sheetDataSet>
  </externalBook>
</externalLink>
</file>

<file path=xl/externalLinks/externalLink1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  <sheetName val="Master PPU-SPK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Data Master NEW 2010"/>
    </sheetNames>
    <sheetDataSet>
      <sheetData sheetId="0"/>
      <sheetData sheetId="1" refreshError="1"/>
    </sheetDataSet>
  </externalBook>
</externalLink>
</file>

<file path=xl/externalLinks/externalLink14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nu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RESUME"/>
      <sheetName val="seam"/>
      <sheetName val=" BULAN"/>
      <sheetName val="resume dt"/>
      <sheetName val="DPR COAL"/>
      <sheetName val="Distance &amp; Volume Coal"/>
      <sheetName val="BA"/>
      <sheetName val="DISTANCE COAL"/>
      <sheetName val="DISTANCE  &amp;  VOL. COAL PRODUC"/>
      <sheetName val="DPR COAL Mei 2014"/>
      <sheetName val="Master"/>
      <sheetName val="SPO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4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STR"/>
      <sheetName val="PRC"/>
      <sheetName val="OUTCM"/>
      <sheetName val="INCM"/>
      <sheetName val="INCM RKP"/>
      <sheetName val="INDX"/>
      <sheetName val="MONITORING"/>
      <sheetName val="CHAR"/>
      <sheetName val="PRD"/>
      <sheetName val="PVT1"/>
      <sheetName val="PVT2"/>
      <sheetName val="RATE USD"/>
      <sheetName val="vendor in"/>
      <sheetName val="Sheet1"/>
      <sheetName val="SOUNDING-1"/>
      <sheetName val="SOUNDING-2"/>
      <sheetName val="MONITOR-FT"/>
      <sheetName val="CHAR L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Lembur"/>
      <sheetName val="PRODUKSI"/>
      <sheetName val="Jam Kerja"/>
      <sheetName val="slip"/>
      <sheetName val="HM"/>
      <sheetName val="HM Produksi  Unit Excavator"/>
      <sheetName val="JKP HAULING"/>
      <sheetName val="HM PRODUKSI PERIODE JULI 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(2)"/>
      <sheetName val="MASTER"/>
      <sheetName val="BSB&amp;BPA"/>
      <sheetName val="PRODUKSI"/>
      <sheetName val="BONUS"/>
      <sheetName val="Potongan"/>
      <sheetName val="Man Power"/>
      <sheetName val="Absensi"/>
      <sheetName val="Rekapan Produksi"/>
      <sheetName val="Rekapan Logistik"/>
      <sheetName val="Rekapan GA"/>
      <sheetName val="Rekapan RM"/>
      <sheetName val="Slip Gaji Prod"/>
      <sheetName val="Slip Gaji Log"/>
      <sheetName val="Slip Gaji GA"/>
      <sheetName val="Slip Gaji RM"/>
      <sheetName val="Rekap All"/>
      <sheetName val="Rekap Per Item"/>
      <sheetName val="ESTIMATE"/>
      <sheetName val="Sheet1"/>
      <sheetName val="GAJI BSS-TD Mei 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4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 "/>
      <sheetName val="  "/>
      <sheetName val="   "/>
      <sheetName val="`"/>
      <sheetName val="``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Sheet6"/>
      <sheetName val="Sheet4"/>
      <sheetName val="PEMAKAIAN"/>
      <sheetName val="PEMASUKAN"/>
      <sheetName val="CROSS CHECK FUEL"/>
      <sheetName val="REPORT"/>
      <sheetName val="EVALUASI"/>
      <sheetName val="LAPORAN"/>
      <sheetName val="Pemakaian Perunit"/>
      <sheetName val="Accm. Pemakaian Perunit"/>
      <sheetName val="KM"/>
      <sheetName val="Ltr-PerKM"/>
      <sheetName val="HM"/>
      <sheetName val="LtrPerHM"/>
      <sheetName val="AccmHM"/>
      <sheetName val="AccmLtrPerHM"/>
      <sheetName val="Sheet1"/>
      <sheetName val="Sheet2"/>
      <sheetName val="Sheet3"/>
      <sheetName val="Sheet5"/>
      <sheetName val="Laporan Fuel AGM bulan nop 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4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M"/>
      <sheetName val="Master"/>
      <sheetName val="Data Room"/>
      <sheetName val="B Man"/>
      <sheetName val="B Unit"/>
      <sheetName val="Jadi"/>
      <sheetName val="Analysa"/>
      <sheetName val="Sheet1"/>
      <sheetName val="Standb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br April 2006"/>
      <sheetName val="Cuti"/>
      <sheetName val="Kekurangan Lbr"/>
      <sheetName val="Ritasi"/>
      <sheetName val="Resume"/>
      <sheetName val="Summary HO"/>
      <sheetName val="Bank"/>
      <sheetName val="Summary Si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BP_K_FOB "/>
      <sheetName val="BP_E_FOB"/>
      <sheetName val="E_FOB"/>
      <sheetName val="K_FOB "/>
      <sheetName val="Indices"/>
      <sheetName val="Summary"/>
      <sheetName val="Rep. Monthly"/>
      <sheetName val="Unfixed(Status)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lmo"/>
      <sheetName val="survey-lmo"/>
      <sheetName val="FIXED"/>
      <sheetName val="D-04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5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"/>
      <sheetName val="SCHE BUDGET"/>
      <sheetName val="Plan dsp"/>
      <sheetName val="Plan Prod"/>
      <sheetName val="BD All pendingan"/>
      <sheetName val="Breakdown HD&amp;DT"/>
      <sheetName val="Status HD"/>
      <sheetName val="Status DT"/>
      <sheetName val="OB_rit"/>
      <sheetName val="COAL_rit"/>
      <sheetName val="OB"/>
      <sheetName val="COAL"/>
      <sheetName val="HOLE"/>
      <sheetName val="Summary"/>
      <sheetName val="SUM HTD"/>
      <sheetName val="Monitoring Unit"/>
      <sheetName val="SMS"/>
      <sheetName val="DAILY"/>
      <sheetName val="EQP"/>
      <sheetName val="WATERFALL"/>
      <sheetName val="NIK OB"/>
      <sheetName val="NIK COAL"/>
      <sheetName val="UPLOAD"/>
      <sheetName val="GRAFIK"/>
      <sheetName val="GRAFIK PIT"/>
      <sheetName val="Prod_by D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5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EX"/>
      <sheetName val="INPUT"/>
      <sheetName val="COVER"/>
      <sheetName val="ASS"/>
      <sheetName val="Acuan"/>
      <sheetName val="SPEC"/>
      <sheetName val="EQPLAN"/>
      <sheetName val="ADDEQ"/>
      <sheetName val="ROSTER"/>
      <sheetName val="AVAIL"/>
      <sheetName val="CORUA"/>
      <sheetName val="EQHRS"/>
      <sheetName val="HAUL"/>
      <sheetName val="PROD"/>
      <sheetName val="SCHE"/>
      <sheetName val="FUEL"/>
      <sheetName val="TYRE"/>
      <sheetName val="BLAST"/>
      <sheetName val="MOB"/>
      <sheetName val="SUBCONT &amp; RENT"/>
      <sheetName val="Daily Plan"/>
      <sheetName val="SAP"/>
      <sheetName val="H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OMAG"/>
      <sheetName val="D7G 01"/>
      <sheetName val="PPA 01"/>
      <sheetName val="PPA 02"/>
      <sheetName val="PPA 09"/>
      <sheetName val="Hitachi100T"/>
      <sheetName val="GroveRT75S"/>
      <sheetName val="Forklift5T"/>
      <sheetName val="Forklift7T"/>
      <sheetName val="Resume "/>
      <sheetName val="Dozer &amp; Exc gfafig "/>
      <sheetName val="TABLE"/>
      <sheetName val="Prod"/>
      <sheetName val="List"/>
      <sheetName val="tabel PTKP"/>
      <sheetName val="PEXFEE"/>
      <sheetName val="C"/>
      <sheetName val="lmo"/>
      <sheetName val="survey-lmo"/>
      <sheetName val="FORM"/>
      <sheetName val="D7G_01"/>
      <sheetName val="PPA_01"/>
      <sheetName val="PPA_02"/>
      <sheetName val="PPA_09"/>
      <sheetName val="Resume_"/>
      <sheetName val="Dozer_&amp;_Exc_gfafig_"/>
      <sheetName val="tabel_PTKP"/>
      <sheetName val="D7G_011"/>
      <sheetName val="PPA_011"/>
      <sheetName val="PPA_021"/>
      <sheetName val="PPA_091"/>
      <sheetName val="Resume_1"/>
      <sheetName val="Dozer_&amp;_Exc_gfafig_1"/>
      <sheetName val="tabel_PTKP1"/>
      <sheetName val="LY-P&amp;L"/>
      <sheetName val="DTDummy"/>
      <sheetName val="05"/>
      <sheetName val="LUB OIL PRESS(LOW)"/>
      <sheetName val="BOOST PRESS_LH khusus465"/>
      <sheetName val="SERVICE BRAKE"/>
      <sheetName val="RETARDER BRAKE"/>
      <sheetName val="HYD HOIST RELIEF VALVE(HIGH)"/>
      <sheetName val="EMERGANCY BRAKE"/>
      <sheetName val="HYD HOIST RELIEF VALVE(LOW)"/>
      <sheetName val="RAISING SPEED"/>
      <sheetName val="GOVERNOR SET PRESS(OUT)"/>
      <sheetName val="GOVERNOR SET PRESS(IN)"/>
      <sheetName val="SPEC"/>
      <sheetName val="Lookup"/>
      <sheetName val="LP-01 2012"/>
      <sheetName val="Cover"/>
      <sheetName val="MAS"/>
      <sheetName val="Satui - Fleet Prod"/>
      <sheetName val="D7G_012"/>
      <sheetName val="PPA_012"/>
      <sheetName val="PPA_022"/>
      <sheetName val="PPA_092"/>
      <sheetName val="Resume_2"/>
      <sheetName val="Dozer_&amp;_Exc_gfafig_2"/>
      <sheetName val="tabel_PTKP2"/>
      <sheetName val="LP-01_2012"/>
      <sheetName val="LUB_OIL_PRESS(LOW)"/>
      <sheetName val="BOOST_PRESS_LH_khusus465"/>
      <sheetName val="SERVICE_BRAKE"/>
      <sheetName val="RETARDER_BRAKE"/>
      <sheetName val="HYD_HOIST_RELIEF_VALVE(HIGH)"/>
      <sheetName val="EMERGANCY_BRAKE"/>
      <sheetName val="HYD_HOIST_RELIEF_VALVE(LOW)"/>
      <sheetName val="RAISING_SPEED"/>
      <sheetName val="GOVERNOR_SET_PRESS(OUT)"/>
      <sheetName val="GOVERNOR_SET_PRESS(IN)"/>
      <sheetName val="D7G_013"/>
      <sheetName val="PPA_013"/>
      <sheetName val="PPA_023"/>
      <sheetName val="PPA_093"/>
      <sheetName val="Resume_3"/>
      <sheetName val="Dozer_&amp;_Exc_gfafig_3"/>
      <sheetName val="tabel_PTKP3"/>
      <sheetName val="LP-01_20121"/>
      <sheetName val="LUB_OIL_PRESS(LOW)1"/>
      <sheetName val="BOOST_PRESS_LH_khusus4651"/>
      <sheetName val="SERVICE_BRAKE1"/>
      <sheetName val="RETARDER_BRAKE1"/>
      <sheetName val="HYD_HOIST_RELIEF_VALVE(HIGH)1"/>
      <sheetName val="EMERGANCY_BRAKE1"/>
      <sheetName val="HYD_HOIST_RELIEF_VALVE(LOW)1"/>
      <sheetName val="RAISING_SPEED1"/>
      <sheetName val="GOVERNOR_SET_PRESS(OUT)1"/>
      <sheetName val="GOVERNOR_SET_PRESS(IN)1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15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TASH"/>
      <sheetName val="CTR"/>
      <sheetName val="MASTER"/>
      <sheetName val="Chart4"/>
      <sheetName val="HE-Q"/>
      <sheetName val="FUEL"/>
      <sheetName val="RHET-F"/>
      <sheetName val="ANALISA SOLAAR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15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pping"/>
      <sheetName val="Parameter"/>
      <sheetName val="01"/>
      <sheetName val="02"/>
      <sheetName val="03"/>
      <sheetName val="04"/>
      <sheetName val="Inpit Production"/>
      <sheetName val="Outpit Production"/>
      <sheetName val="Weath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mine-close"/>
      <sheetName val="survey-gen"/>
      <sheetName val="FIXED"/>
      <sheetName val="geo"/>
      <sheetName val="supp-eng"/>
      <sheetName val="pqc"/>
      <sheetName val="Sheet1"/>
      <sheetName val="lab"/>
      <sheetName val="Matrix C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ta"/>
      <sheetName val="data"/>
      <sheetName val="input"/>
      <sheetName val="rain"/>
      <sheetName val="aplan"/>
      <sheetName val="bplan"/>
      <sheetName val="_"/>
      <sheetName val="gabungan"/>
      <sheetName val="rule"/>
      <sheetName val="MCOS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15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32)"/>
      <sheetName val="(25)"/>
      <sheetName val="(26)"/>
      <sheetName val="(27)"/>
      <sheetName val="(28)"/>
      <sheetName val="(29)"/>
      <sheetName val="(30)"/>
      <sheetName val="(3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5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plan budget 2005"/>
      <sheetName val="plan 2004"/>
      <sheetName val="permintaan unit dari Department"/>
      <sheetName val="Detail MI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6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Budget-05-firm"/>
    </sheetNames>
    <sheetDataSet>
      <sheetData sheetId="0"/>
      <sheetData sheetId="1"/>
      <sheetData sheetId="2"/>
    </sheetDataSet>
  </externalBook>
</externalLink>
</file>

<file path=xl/externalLinks/externalLink16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tric"/>
      <sheetName val="U.S. Units"/>
      <sheetName val="Previous Month"/>
      <sheetName val="Pronto Data"/>
      <sheetName val="Week1"/>
      <sheetName val="Week 2"/>
      <sheetName val="Week 3"/>
      <sheetName val="Week 4"/>
      <sheetName val="Open Pit"/>
      <sheetName val="Underground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16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Monitoring Kehadiran"/>
      <sheetName val="Rekap abSen"/>
      <sheetName val="Alokasi Load"/>
      <sheetName val="Sheet4"/>
      <sheetName val="Compare"/>
      <sheetName val="iNPUT dRIVER"/>
      <sheetName val="Tempel"/>
      <sheetName val="Tmpl"/>
      <sheetName val="UA"/>
      <sheetName val="Pres Target "/>
      <sheetName val="Roster"/>
      <sheetName val="Sheet1"/>
      <sheetName val="Produksi Sept  201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6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Lembur"/>
      <sheetName val="PRODUKSI"/>
      <sheetName val="Jam Kerja"/>
      <sheetName val="slip"/>
      <sheetName val="HM"/>
      <sheetName val="HM Produksi  Unit Excavator"/>
      <sheetName val="JKP HAULING"/>
      <sheetName val="HM PRODUKSI JUNI - Co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"/>
      <sheetName val="RESUME"/>
      <sheetName val="WTF."/>
      <sheetName val="07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(2)"/>
      <sheetName val="MASTER"/>
      <sheetName val="Potongan Juni"/>
      <sheetName val="Man Power"/>
      <sheetName val="Absensi"/>
      <sheetName val="BDA"/>
      <sheetName val="B.Premi"/>
      <sheetName val="Slip Gaji Prod"/>
      <sheetName val="Slip Gaji Log"/>
      <sheetName val="Slip Gaji Staff"/>
      <sheetName val="Slip Gaji GA"/>
      <sheetName val="Slip Gaji RM"/>
      <sheetName val="Rekapan RM"/>
      <sheetName val="Rekapan GA"/>
      <sheetName val="Rekapan Staff"/>
      <sheetName val="Rekapan Produksi"/>
      <sheetName val="Rekapan Logistik"/>
      <sheetName val="Rekap Pot "/>
      <sheetName val="Rekap All"/>
      <sheetName val="Rekap Per Item"/>
      <sheetName val="estimate dana"/>
      <sheetName val="Gaji Juni 2011 BSS-MSJ 7 Juli 2"/>
      <sheetName val="RES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6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rESUME"/>
      <sheetName val="Edit"/>
      <sheetName val="PMR76HA3"/>
      <sheetName val="LD201"/>
      <sheetName val="LD202"/>
      <sheetName val="LD203"/>
      <sheetName val="LD204"/>
      <sheetName val="LD205"/>
      <sheetName val="LD106"/>
      <sheetName val="LD107"/>
      <sheetName val="LD108"/>
      <sheetName val="LD109"/>
      <sheetName val="LD110"/>
      <sheetName val="LD111"/>
      <sheetName val="LD112"/>
      <sheetName val="LD113"/>
      <sheetName val="LD114"/>
      <sheetName val="LD115"/>
      <sheetName val="LD206"/>
      <sheetName val="LD207"/>
      <sheetName val="LD208"/>
      <sheetName val="LD209"/>
      <sheetName val="LD210"/>
      <sheetName val="LD121"/>
      <sheetName val="LD122"/>
      <sheetName val="LD116"/>
      <sheetName val="LD117"/>
      <sheetName val="LD118"/>
      <sheetName val="LD119"/>
      <sheetName val="LD120"/>
      <sheetName val="LD123"/>
      <sheetName val="LD124"/>
      <sheetName val="LD125"/>
      <sheetName val="Intro"/>
      <sheetName val="ovh"/>
      <sheetName val="D-04"/>
      <sheetName val="ACTUAL"/>
      <sheetName val="I"/>
      <sheetName val="II"/>
      <sheetName val="III"/>
      <sheetName val="Tabel FPI"/>
      <sheetName val="LP-01 2012"/>
      <sheetName val="DP Report"/>
      <sheetName val="2102"/>
      <sheetName val="Amplop"/>
      <sheetName val="NIBUFIELD"/>
      <sheetName val="Propose Range"/>
      <sheetName val="FORM"/>
      <sheetName val="Master"/>
      <sheetName val="Safety 2"/>
      <sheetName val="18"/>
      <sheetName val="Bant"/>
      <sheetName val="Redo"/>
      <sheetName val="SHE"/>
      <sheetName val="Bantuan"/>
      <sheetName val="Contract"/>
      <sheetName val="Tabel_FPI"/>
      <sheetName val="LP-01_2012"/>
      <sheetName val="DP_Report"/>
      <sheetName val="Propose_Range"/>
      <sheetName val="CUA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16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npower"/>
      <sheetName val="Nat staff Tender Rates"/>
      <sheetName val="Non-staff Tender Rates"/>
      <sheetName val="Airfare ticket"/>
      <sheetName val="Cost"/>
      <sheetName val="Nat staff "/>
      <sheetName val="Non-Staff"/>
      <sheetName val="R&amp;R policy"/>
      <sheetName val="HOUR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"/>
      <sheetName val="ass"/>
      <sheetName val="Prodty"/>
      <sheetName val="sch"/>
      <sheetName val="whrs"/>
      <sheetName val="est"/>
      <sheetName val="whr summary"/>
      <sheetName val="detail eqreq"/>
      <sheetName val="deiv"/>
      <sheetName val="inv"/>
      <sheetName val="ooc"/>
      <sheetName val="LV RENT"/>
      <sheetName val="manp"/>
      <sheetName val="fina"/>
      <sheetName val="sens"/>
      <sheetName val="evav"/>
      <sheetName val="Act Cost"/>
      <sheetName val="Tanggul"/>
      <sheetName val="haul"/>
      <sheetName val="SOURCE"/>
      <sheetName val="overdistance"/>
      <sheetName val="inv infra"/>
      <sheetName val="cover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6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ntuan"/>
      <sheetName val="D435"/>
      <sheetName val="M420"/>
      <sheetName val="M470"/>
      <sheetName val="PMR76HA3"/>
      <sheetName val="ooc"/>
      <sheetName val="Sheet1"/>
      <sheetName val="BOMAG"/>
      <sheetName val="SHE"/>
      <sheetName val="MASTER"/>
      <sheetName val="Open Pits"/>
      <sheetName val="Summary"/>
      <sheetName val="Petrosea"/>
      <sheetName val="Master DPR"/>
      <sheetName val="Budget"/>
      <sheetName val="PRODUKSI"/>
      <sheetName val="List"/>
      <sheetName val="W_H"/>
      <sheetName val="Sum"/>
      <sheetName val="Plant_Week"/>
      <sheetName val="Rental"/>
      <sheetName val="Run"/>
      <sheetName val="Contract"/>
      <sheetName val="Tabel FPI"/>
      <sheetName val="LP-01 2012"/>
      <sheetName val="OFFICE"/>
      <sheetName val="Productivity"/>
      <sheetName val="OPT_GL"/>
      <sheetName val="STD RATES"/>
      <sheetName val="Permanent info"/>
      <sheetName val="GeneralInfo"/>
      <sheetName val="Tabel stock"/>
      <sheetName val="ACTUAL"/>
      <sheetName val="24"/>
      <sheetName val="Non-staff Tender Rates"/>
      <sheetName val="EX2500FIX"/>
      <sheetName val="Movement_Bench15 (ob)"/>
      <sheetName val="Movement_Bench15 (ore)"/>
      <sheetName val="Master Fault"/>
      <sheetName val="KODE"/>
      <sheetName val="DATABASE"/>
      <sheetName val="Wages"/>
      <sheetName val="HARGA MATERIAL"/>
      <sheetName val="Plant Rate"/>
      <sheetName val="PA"/>
      <sheetName val="KPI"/>
      <sheetName val="TABLE"/>
      <sheetName val="Data"/>
      <sheetName val="Konversi Jarak"/>
      <sheetName val="MacPro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Big"/>
      <sheetName val="Coal_Mining"/>
      <sheetName val="Cover"/>
      <sheetName val="Htr"/>
      <sheetName val="KPC Coal"/>
      <sheetName val="KPC"/>
      <sheetName val="KPC_Total"/>
      <sheetName val="MS"/>
      <sheetName val="Overall"/>
      <sheetName val="crushnsp"/>
      <sheetName val="pittonsp"/>
      <sheetName val="1"/>
      <sheetName val="EXA"/>
      <sheetName val="CONTROL"/>
      <sheetName val="Rain"/>
      <sheetName val="Data hauler"/>
      <sheetName val="Daily Forecasting"/>
      <sheetName val="_OB PLAN"/>
      <sheetName val="Roadmaintainance"/>
      <sheetName val="HM "/>
      <sheetName val="Plant"/>
      <sheetName val="ALL"/>
      <sheetName val="Pama"/>
      <sheetName val="EXPL-ADDS"/>
      <sheetName val="dat"/>
      <sheetName val="Truck"/>
      <sheetName val="Project"/>
      <sheetName val="PLAN"/>
      <sheetName val="Entry Data"/>
      <sheetName val="sum_MSY"/>
      <sheetName val="Op_GL"/>
      <sheetName val="fmc"/>
      <sheetName val="Unit"/>
      <sheetName val="G&amp;L"/>
      <sheetName val="Bonus"/>
      <sheetName val="input loading point"/>
      <sheetName val="Range"/>
      <sheetName val="Dates"/>
      <sheetName val="Source"/>
      <sheetName val="C"/>
      <sheetName val="RESUME"/>
      <sheetName val="Table Array"/>
      <sheetName val="Monthly Entry"/>
      <sheetName val="Bank data"/>
      <sheetName val="Data Entry"/>
      <sheetName val="COST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Sheet2"/>
      <sheetName val="BUMA"/>
      <sheetName val="DTDummy"/>
      <sheetName val="HOURLY"/>
      <sheetName val="bg hsbc"/>
      <sheetName val="dBase"/>
      <sheetName val="dBonus"/>
      <sheetName val="Safety 2"/>
      <sheetName val="ARIA IBS vs Actual"/>
      <sheetName val="air_spt_sel_modif"/>
      <sheetName val="air_spt_teng_modif"/>
      <sheetName val="Data links"/>
      <sheetName val="AHCNI (2)"/>
      <sheetName val="전제조건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Loss time"/>
      <sheetName val="HM"/>
      <sheetName val="CHART 1"/>
      <sheetName val="HourlyProblems"/>
      <sheetName val="ProdtyLoader"/>
      <sheetName val="SUMMARY_MAINTENANCE"/>
      <sheetName val="SUMIF"/>
      <sheetName val="LN"/>
      <sheetName val="SUBTOTAL"/>
      <sheetName val="Open_Pits"/>
      <sheetName val="Master_DPR"/>
      <sheetName val="Tabel_FPI"/>
      <sheetName val="LP-01_2012"/>
      <sheetName val="STD_RATES"/>
      <sheetName val="Permanent_info"/>
      <sheetName val="Tabel_stock"/>
      <sheetName val="Non-staff_Tender_Rates"/>
      <sheetName val="Movement_Bench15_(ob)"/>
      <sheetName val="Movement_Bench15_(ore)"/>
      <sheetName val="Master_Fault"/>
      <sheetName val="HARGA_MATERIAL"/>
      <sheetName val="Plant_Rate"/>
      <sheetName val="Konversi_Jarak"/>
      <sheetName val="Input_Coal"/>
      <sheetName val="Data_loader"/>
      <sheetName val="KPC_Coal"/>
      <sheetName val="Data_hauler"/>
      <sheetName val="Daily_Forecasting"/>
      <sheetName val="_OB_PLAN"/>
      <sheetName val="HM_"/>
      <sheetName val="Data_links"/>
      <sheetName val="AHCNI_(2)"/>
      <sheetName val="Entry_Data"/>
      <sheetName val="input_loading_point"/>
      <sheetName val="Table_Array"/>
      <sheetName val="Monthly_Entry"/>
      <sheetName val="Bank_data"/>
      <sheetName val="Data_Entry"/>
      <sheetName val="ACT_HAUL"/>
      <sheetName val="ACT_OB"/>
      <sheetName val="ACT_COAL"/>
      <sheetName val="COAL_CRUSH_PLAN"/>
      <sheetName val="_COAL_MINE_PLAN"/>
      <sheetName val="_COAL_MINE_PLAN1"/>
      <sheetName val="ACT_DIRTY_COAL"/>
      <sheetName val="_OB_PLAN1"/>
      <sheetName val="Rain_&amp;_Slippery_Method"/>
      <sheetName val="Rain___Slippery_Method"/>
      <sheetName val="bg_hsbc"/>
      <sheetName val="Safety_2"/>
      <sheetName val="ARIA_IBS_vs_Actual"/>
      <sheetName val="Open_Pits1"/>
      <sheetName val="Master_DPR1"/>
      <sheetName val="Tabel_FPI1"/>
      <sheetName val="LP-01_20121"/>
      <sheetName val="STD_RATES1"/>
      <sheetName val="Permanent_info1"/>
      <sheetName val="Tabel_stock1"/>
      <sheetName val="Non-staff_Tender_Rates1"/>
      <sheetName val="Movement_Bench15_(ob)1"/>
      <sheetName val="Movement_Bench15_(ore)1"/>
      <sheetName val="Master_Fault1"/>
      <sheetName val="HARGA_MATERIAL1"/>
      <sheetName val="Plant_Rate1"/>
      <sheetName val="Konversi_Jarak1"/>
      <sheetName val="Input_Coal1"/>
      <sheetName val="Data_loader1"/>
      <sheetName val="KPC_Coal1"/>
      <sheetName val="Data_hauler1"/>
      <sheetName val="Daily_Forecasting1"/>
      <sheetName val="_OB_PLAN2"/>
      <sheetName val="HM_1"/>
      <sheetName val="Data_links1"/>
      <sheetName val="AHCNI_(2)1"/>
      <sheetName val="Entry_Data1"/>
      <sheetName val="input_loading_point1"/>
      <sheetName val="Table_Array1"/>
      <sheetName val="Monthly_Entry1"/>
      <sheetName val="Bank_data1"/>
      <sheetName val="Data_Entry1"/>
      <sheetName val="ACT_HAUL1"/>
      <sheetName val="ACT_OB1"/>
      <sheetName val="ACT_COAL1"/>
      <sheetName val="COAL_CRUSH_PLAN1"/>
      <sheetName val="_COAL_MINE_PLAN2"/>
      <sheetName val="_COAL_MINE_PLAN3"/>
      <sheetName val="ACT_DIRTY_COAL1"/>
      <sheetName val="_OB_PLAN3"/>
      <sheetName val="Rain_&amp;_Slippery_Method1"/>
      <sheetName val="Rain___Slippery_Method1"/>
      <sheetName val="bg_hsbc1"/>
      <sheetName val="Safety_21"/>
      <sheetName val="ARIA_IBS_vs_Actual1"/>
      <sheetName val="week Mar"/>
      <sheetName val="Depth_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</sheetDataSet>
  </externalBook>
</externalLink>
</file>

<file path=xl/externalLinks/externalLink17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ily Schedule"/>
      <sheetName val="Master"/>
      <sheetName val="Breakdown"/>
      <sheetName val="HM Unit"/>
      <sheetName val="Equi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Breakdown"/>
      <sheetName val="HM Unit"/>
      <sheetName val="Equiper"/>
      <sheetName val="Cek HM Per Unit"/>
      <sheetName val="HM Multiflo"/>
      <sheetName val="HM Selwod"/>
      <sheetName val="Request Own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gm-subdiv"/>
      <sheetName val="bantua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7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NTEGORIES"/>
      <sheetName val="UOM"/>
      <sheetName val="ISSUED"/>
      <sheetName val="RECIEVED"/>
      <sheetName val="RETURNED"/>
      <sheetName val="MI LOG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7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troduction"/>
      <sheetName val="Company Information"/>
      <sheetName val="Salary &amp; Staffing"/>
      <sheetName val="Short Term Incentives"/>
      <sheetName val="Benefits-1"/>
      <sheetName val="Benefits Summary"/>
      <sheetName val="Benefits-2"/>
      <sheetName val="Retirement"/>
      <sheetName val="Incumbent Data"/>
      <sheetName val="Coding"/>
      <sheetName val="Exchange Rate"/>
      <sheetName val="ORGDATA"/>
      <sheetName val="LOANDATA"/>
      <sheetName val="HEALTHDATA"/>
      <sheetName val="LIFEDATA"/>
      <sheetName val="PLANDATA"/>
      <sheetName val="DCDATA"/>
      <sheetName val="Industry"/>
      <sheetName val="Sector"/>
      <sheetName val="Super_Sector"/>
      <sheetName val="Hitech_Industry"/>
      <sheetName val="ORGOWN"/>
      <sheetName val="ORGTYPE"/>
      <sheetName val="ISOCTRY"/>
      <sheetName val="LTIISSUE"/>
      <sheetName val="Entity"/>
      <sheetName val="Loanrates"/>
      <sheetName val="Clinical"/>
      <sheetName val="Hospital"/>
      <sheetName val="Sheet"/>
      <sheetName val="Sheet2"/>
      <sheetName val="I"/>
      <sheetName val="II"/>
      <sheetName val="III"/>
      <sheetName val="sortb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 refreshError="1"/>
    </sheetDataSet>
  </externalBook>
</externalLink>
</file>

<file path=xl/externalLinks/externalLink17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itle"/>
      <sheetName val="Index"/>
      <sheetName val="Assumptions"/>
      <sheetName val="Sensitivity"/>
      <sheetName val="Report_Highlights"/>
      <sheetName val="Report_Highlights_sensitivity"/>
      <sheetName val="Report_statements"/>
      <sheetName val="Report_Production"/>
      <sheetName val="Report_Amortization"/>
      <sheetName val="Report_Exploration"/>
      <sheetName val="Report_Capital"/>
      <sheetName val="Report_Other expenses"/>
      <sheetName val="Report_Interest Expense"/>
      <sheetName val="Report_Quarter"/>
      <sheetName val="Comparison"/>
      <sheetName val="Con_Income_Q"/>
      <sheetName val="Con_Income_M"/>
      <sheetName val="Con_Income_Mtd"/>
      <sheetName val="Con_Cashflow_Q"/>
      <sheetName val="Con_Cashflow_M"/>
      <sheetName val="Con_Cashflow_Misc"/>
      <sheetName val="Con_Cashflow_Mtd"/>
      <sheetName val="Con_Othincome_M"/>
      <sheetName val="Con_segpl"/>
      <sheetName val="Con_Capita_Q"/>
      <sheetName val="Con_Capita_M"/>
      <sheetName val="Con_Capital_Misc"/>
      <sheetName val="Con_Capital_Mtd"/>
      <sheetName val="Reconciliation"/>
      <sheetName val="Report_Operating Costs"/>
      <sheetName val="Con_ProdCost_Y"/>
      <sheetName val="Con_ProdCostsum_Y"/>
      <sheetName val="Con_ProdCost_Q"/>
      <sheetName val="Con_ProdCost_M"/>
      <sheetName val="Con_ProdCost_Ytd"/>
      <sheetName val="Con_ByProd_M"/>
      <sheetName val="Con_sales_M"/>
      <sheetName val="EpsSumm"/>
      <sheetName val="Betze_Q"/>
      <sheetName val="Betze_M"/>
      <sheetName val="Betze_Misc"/>
      <sheetName val="Betze_Cap"/>
      <sheetName val="Betze_Ytd"/>
      <sheetName val="Meikle_Q"/>
      <sheetName val="Meikle_M"/>
      <sheetName val="Meikle_Misc"/>
      <sheetName val="Meikle_Ytd"/>
      <sheetName val="RndMtn_Q"/>
      <sheetName val="RndMtn_M"/>
      <sheetName val="RndMtn_Misc"/>
      <sheetName val="RndMtn_Mtd"/>
      <sheetName val="RndMtn_Ytd"/>
      <sheetName val="Eskay_Q"/>
      <sheetName val="Eskay_M_US"/>
      <sheetName val="Eskay_Misc"/>
      <sheetName val="Eskay_M_Cdn"/>
      <sheetName val="Eskay_Ytd"/>
      <sheetName val="Williams_Q"/>
      <sheetName val="Williams_M_US"/>
      <sheetName val="Williams_Misc"/>
      <sheetName val="Williams_M_Cdn"/>
      <sheetName val="Williams_Ytd"/>
      <sheetName val="Williams_Mtd"/>
      <sheetName val="DavidBell_Q"/>
      <sheetName val="DavidBel_M_US"/>
      <sheetName val="DavidBell_Misc"/>
      <sheetName val="DavidBell_M_Cdn"/>
      <sheetName val="DavidBell_Mtd"/>
      <sheetName val="DavidBell_Ytd"/>
      <sheetName val="Marig_Q"/>
      <sheetName val="Marig_M"/>
      <sheetName val="Marig_Misc"/>
      <sheetName val="Marig_Mtd"/>
      <sheetName val="Marig_Ytd"/>
      <sheetName val="Storm_Q"/>
      <sheetName val="Storm_M"/>
      <sheetName val="Storm_Misc"/>
      <sheetName val="Storm_Ytd"/>
      <sheetName val="Kalgoorlie_Q"/>
      <sheetName val="Kalgoorlie_M_US"/>
      <sheetName val="Kalgoorlie_Misc"/>
      <sheetName val="Kalgoorlie_M_Aus"/>
      <sheetName val="Kalgoorlie_Ytd"/>
      <sheetName val="Plutonic_Q"/>
      <sheetName val="Plutonic_M_US"/>
      <sheetName val="Plutonic_Misc"/>
      <sheetName val="Plutonic_M_Aus"/>
      <sheetName val="Plutonic_Ytd"/>
      <sheetName val="Darlot_Q"/>
      <sheetName val="Darlot_M_US"/>
      <sheetName val="Darlot_Misc"/>
      <sheetName val="Darlot_M_Aus"/>
      <sheetName val="Darlot_Ytd"/>
      <sheetName val="Lawlers_Q"/>
      <sheetName val="Lawlers_M_US"/>
      <sheetName val="Lawlers_Misc"/>
      <sheetName val="Lawlers_M_Aus"/>
      <sheetName val="Lawlers_Ytd"/>
      <sheetName val="Buly_Q"/>
      <sheetName val="Buly_M"/>
      <sheetName val="Buly_Misc"/>
      <sheetName val="Buly_Ytd"/>
      <sheetName val="Tulawaka_Q"/>
      <sheetName val="Tulawaka_M"/>
      <sheetName val="Tulawaka_Misc"/>
      <sheetName val="Tulawaka_Ytd"/>
      <sheetName val="Pierina_Q"/>
      <sheetName val="Pierina_M"/>
      <sheetName val="Pierina_Misc"/>
      <sheetName val="Pierina_Mtd"/>
      <sheetName val="Pierina_Ytd"/>
      <sheetName val="Lagunas Norte_Q"/>
      <sheetName val="Lagunas Norte_M"/>
      <sheetName val="Lagunas Norte_Misc"/>
      <sheetName val="Lagunas Norte_Mtd"/>
      <sheetName val="Lagunas Norte_Ytd"/>
      <sheetName val="Veladero_Q"/>
      <sheetName val="Veladero_M"/>
      <sheetName val="Veladero_Misc"/>
      <sheetName val="Veladero_Mtd"/>
      <sheetName val="Veladero_Ytd"/>
      <sheetName val="Development_Q"/>
      <sheetName val="Development_M"/>
      <sheetName val="Expl_Busi_Y"/>
      <sheetName val="Expl_Busi_M"/>
      <sheetName val="Mine_Dev_M"/>
      <sheetName val="Expln_M"/>
      <sheetName val="Corp_Q"/>
      <sheetName val="Corp_M_US"/>
      <sheetName val="Corp_M_Cdn"/>
      <sheetName val="Corp_Mtd_US"/>
      <sheetName val="Contents &amp; Checklist"/>
      <sheetName val="Coding"/>
      <sheetName val="Propose R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7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Daily Plan"/>
      <sheetName val="Data D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ram"/>
      <sheetName val="Apr"/>
      <sheetName val="Mei"/>
      <sheetName val="Jun"/>
      <sheetName val="Jul"/>
      <sheetName val="Agt"/>
      <sheetName val="Sep"/>
      <sheetName val="Okt"/>
      <sheetName val="Nop"/>
      <sheetName val="Des"/>
      <sheetName val="THR"/>
      <sheetName val="Bonus"/>
      <sheetName val="Hitung ulang PPh "/>
      <sheetName val="Rekap"/>
      <sheetName val="1721-A1 Hary J"/>
      <sheetName val="1721-A1 Surya D"/>
      <sheetName val="1721-A1 A. Rayen"/>
      <sheetName val="1721-A1 Z. Harahap"/>
      <sheetName val="1721-A1 H. Taher"/>
      <sheetName val="1721-A1 Padjli PP"/>
      <sheetName val="1721-A1 LM. Zainuddin"/>
      <sheetName val="1721-A1 Mardiansyah"/>
      <sheetName val="1721-A1 Soegiarto"/>
      <sheetName val="1721-A1 T. Pardede"/>
      <sheetName val="1721-A1 B.Subianto"/>
      <sheetName val="1721-A1 Basirun"/>
      <sheetName val="1721-A1 Yulius T"/>
      <sheetName val="1721-A1 Nyoman S"/>
      <sheetName val="1721-A1 Victor S"/>
      <sheetName val="1721-A1 A.Rohim"/>
      <sheetName val="1721-A1 Chris R"/>
      <sheetName val="1721-A1 Elly A"/>
      <sheetName val="1721-A1 K.Pergasen"/>
      <sheetName val="1721-A1 S.Tholib"/>
      <sheetName val="1721-A1 Selwa Raja"/>
      <sheetName val="1721-A1 Rifai"/>
      <sheetName val="1721-A1 Aboy"/>
      <sheetName val="1721-A1 Wasudewen"/>
      <sheetName val="1721-A1 M.Rabindra"/>
      <sheetName val="1721-A1 Acep S"/>
      <sheetName val="1721-A1 Sopiansyah"/>
      <sheetName val="1721-A1 Guna Balen"/>
      <sheetName val="1721-A1 B.Suro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7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prodev"/>
      <sheetName val="FIXED"/>
      <sheetName val="PROJECT1"/>
      <sheetName val="Hitung ulang PPh 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7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A RBU"/>
      <sheetName val="Public Guidance"/>
      <sheetName val="Graph &amp; Memo Table"/>
      <sheetName val="Assumptions"/>
      <sheetName val="Kalgoorlie"/>
      <sheetName val="Plutonic"/>
      <sheetName val="Darlot"/>
      <sheetName val="Lawlers"/>
      <sheetName val="Bulyanhulu"/>
      <sheetName val="Tulawaka"/>
      <sheetName val="Cowal"/>
      <sheetName val="Kahama"/>
      <sheetName val="Pangea"/>
      <sheetName val="G&amp;A"/>
      <sheetName val="Australian_Finance"/>
      <sheetName val="Australian Taxation"/>
      <sheetName val="Australian Exploration_M"/>
      <sheetName val="African Exploration_M"/>
      <sheetName val="Checklist"/>
      <sheetName val="July Forecast Production"/>
      <sheetName val="July Forecast Costs"/>
      <sheetName val="Income Statement &amp; Asset Data"/>
      <sheetName val="Australian sales &amp; Expenditure"/>
      <sheetName val="Lalgoorlie"/>
      <sheetName val="prodev"/>
      <sheetName val="FORM"/>
      <sheetName val="Coding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"/>
      <sheetName val="sales scen"/>
      <sheetName val="sales"/>
      <sheetName val="var-cost"/>
      <sheetName val="cogs calc"/>
      <sheetName val="capex-used"/>
      <sheetName val="investment"/>
      <sheetName val="cash budget"/>
      <sheetName val="a-r schedule"/>
      <sheetName val="a-p schedule"/>
      <sheetName val="CF"/>
      <sheetName val="highlight"/>
      <sheetName val="chtop-cashidr"/>
      <sheetName val="title"/>
      <sheetName val="Sheet1"/>
      <sheetName val="sen"/>
      <sheetName val="ANAL KOEF"/>
      <sheetName val="REFEREN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ulyPlan99"/>
      <sheetName val="ActJuly99"/>
      <sheetName val="JuneAct"/>
      <sheetName val="JunePlan"/>
      <sheetName val="PLAN"/>
      <sheetName val="ACTUAL"/>
      <sheetName val="PARAMETER "/>
      <sheetName val="Module1"/>
      <sheetName val="Module2"/>
      <sheetName val="Module3"/>
      <sheetName val="Database"/>
      <sheetName val="Mast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PU"/>
      <sheetName val="SPK"/>
      <sheetName val="STATUS"/>
      <sheetName val="SPK.UNIT"/>
      <sheetName val="PA.UNIT"/>
      <sheetName val="BD PERMANENT"/>
      <sheetName val="BACKLOG"/>
      <sheetName val="Sheet1"/>
      <sheetName val="Laporan RM Oktober 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8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PRELIM BUDGET"/>
    </sheetNames>
    <sheetDataSet>
      <sheetData sheetId="0"/>
      <sheetData sheetId="1"/>
      <sheetData sheetId="2" refreshError="1"/>
    </sheetDataSet>
  </externalBook>
</externalLink>
</file>

<file path=xl/externalLinks/externalLink18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Operational Proc"/>
      <sheetName val="Inventory"/>
      <sheetName val="Detail"/>
      <sheetName val="Asumption"/>
      <sheetName val="Organisasi"/>
      <sheetName val="OS_Opr_div"/>
      <sheetName val="RM_FOL_ENG"/>
      <sheetName val="ASFOL_Comdev"/>
      <sheetName val="OSFOL_GA"/>
      <sheetName val="OS_Treasury"/>
      <sheetName val="OS_ERS"/>
      <sheetName val="OSFOL_Suppdi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urly Prod"/>
      <sheetName val="Crew Perf"/>
      <sheetName val="OB ACTIV"/>
      <sheetName val="Daily Forecasting"/>
      <sheetName val="BD Equip"/>
      <sheetName val="DP Report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#REF!"/>
      <sheetName val="Permanent info"/>
      <sheetName val=" SAF 02"/>
      <sheetName val="_SAF 02"/>
      <sheetName val="SIA"/>
      <sheetName val="ALL PC"/>
      <sheetName val="bantuan"/>
      <sheetName val="EX"/>
      <sheetName val="prod_plan"/>
      <sheetName val="PLO IDR YTD"/>
      <sheetName val="POP"/>
      <sheetName val="Redo"/>
      <sheetName val="summary KPI"/>
      <sheetName val="Master"/>
      <sheetName val="EBL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Data"/>
      <sheetName val="#REF"/>
      <sheetName val="SAF"/>
      <sheetName val="DP_Report"/>
      <sheetName val="Hourly_Prod"/>
      <sheetName val="Crew_Perf"/>
      <sheetName val="OB_ACTIV"/>
      <sheetName val="Daily_Forecasting"/>
      <sheetName val="BD_Equip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March-april (2)"/>
      <sheetName val="March_april _2_"/>
      <sheetName val="Blasting_per_block"/>
      <sheetName val="Overall_plan"/>
      <sheetName val="crushnsp"/>
      <sheetName val="pittonsp"/>
      <sheetName val="UA_PA"/>
      <sheetName val="TB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Safety 2"/>
      <sheetName val="Resume Opp_Loss"/>
      <sheetName val="List"/>
      <sheetName val="Lists"/>
      <sheetName val="P1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Overall"/>
      <sheetName val="rumus 2 (coal ttp &amp; wr)"/>
      <sheetName val="STD RATES"/>
      <sheetName val="Target"/>
      <sheetName val="Depth_41"/>
      <sheetName val="D"/>
      <sheetName val="PC_750"/>
      <sheetName val="I"/>
      <sheetName val="REMARK"/>
      <sheetName val="WORK"/>
      <sheetName val="II"/>
      <sheetName val="III"/>
      <sheetName val="Loading"/>
      <sheetName val="Contract"/>
      <sheetName val="LP-01 2012"/>
      <sheetName val="Gaji"/>
      <sheetName val="HM"/>
      <sheetName val="OLIE"/>
      <sheetName val="April"/>
      <sheetName val="Dates"/>
      <sheetName val="FE-1771$.P1"/>
      <sheetName val="GeneralInfo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Monthly Plan"/>
      <sheetName val="POPULATION"/>
      <sheetName val="Data Coal I"/>
      <sheetName val="Data Coal II"/>
      <sheetName val="mtd ob forecasting"/>
      <sheetName val="MS"/>
      <sheetName val="3_ list of mp"/>
      <sheetName val="ROM-HOPER-size"/>
      <sheetName val="Big"/>
      <sheetName val="Coal_Mining"/>
      <sheetName val="Cover"/>
      <sheetName val="Htr"/>
      <sheetName val="KPC Coal"/>
      <sheetName val="KPC"/>
      <sheetName val="KPC_Total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UP-CIVIL"/>
      <sheetName val="Konversi Jarak"/>
      <sheetName val="Cash Flow"/>
      <sheetName val="DATA MASTER JUN"/>
      <sheetName val="Dozing Estimation"/>
      <sheetName val="EqList"/>
      <sheetName val="DT ob"/>
      <sheetName val="DT coal"/>
      <sheetName val="2.wh"/>
      <sheetName val="6.fc"/>
      <sheetName val="3.pa"/>
      <sheetName val="OPT_GL"/>
      <sheetName val="FMC"/>
      <sheetName val="02"/>
      <sheetName val="01"/>
      <sheetName val="OB_TCM"/>
      <sheetName val="ORTCN"/>
      <sheetName val="COAL old"/>
      <sheetName val="COAL"/>
      <sheetName val="PRO"/>
      <sheetName val="DATABASE"/>
      <sheetName val="Intro"/>
      <sheetName val="ob"/>
      <sheetName val="DRILL_BLAST"/>
      <sheetName val="RAIN_SILPPERY"/>
      <sheetName val="FORM"/>
      <sheetName val="Budget"/>
      <sheetName val="PRO_COAL"/>
      <sheetName val="TABEL"/>
      <sheetName val="Stock Port "/>
      <sheetName val="SUMMARY TONNAGE &amp; USD"/>
      <sheetName val="SP"/>
      <sheetName val="C"/>
      <sheetName val="SSE"/>
      <sheetName val="F1771-IV"/>
      <sheetName val="SOS Summary "/>
      <sheetName val="Elec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Housekeeping"/>
      <sheetName val="SAD"/>
      <sheetName val="MA_PLANS_"/>
      <sheetName val="M_PLANS_"/>
      <sheetName val="table"/>
      <sheetName val="Prod'n"/>
      <sheetName val="PAR"/>
      <sheetName val="Base Unit"/>
      <sheetName val="Ppls"/>
      <sheetName val="PRICE"/>
      <sheetName val="Pupolasi"/>
      <sheetName val="BI Share"/>
      <sheetName val="Query PM"/>
      <sheetName val="WH &amp; Fuel"/>
      <sheetName val="Data Staff"/>
      <sheetName val="DIV.1"/>
      <sheetName val="NP"/>
      <sheetName val="dt-karyawan"/>
      <sheetName val="Assumption"/>
      <sheetName val="환율"/>
      <sheetName val="A_SQL2IMPS_"/>
      <sheetName val="Plant"/>
      <sheetName val="KPI ENG"/>
      <sheetName val="Amplop"/>
      <sheetName val="Price-OTD"/>
      <sheetName val="SAPDb"/>
      <sheetName val="Sum-dc"/>
      <sheetName val="HAUL"/>
      <sheetName val="NON"/>
      <sheetName val="MONTHLY OCT_2000."/>
      <sheetName val="PLAN701_monthlty_s"/>
      <sheetName val="C. daily maRET"/>
      <sheetName val="ABB - OL Q1 (YTD Maret) - edite"/>
      <sheetName val="Hourly_31_Jul_06"/>
      <sheetName val="Data Monthly"/>
      <sheetName val="Copy of Accrued_Dec_in"/>
      <sheetName val="accrued_sept"/>
      <sheetName val="Monthly Feb 2002"/>
      <sheetName val="Daily report Nov"/>
      <sheetName val="Report_Int_09_FEB_06"/>
      <sheetName val="Hourly_31_May_06"/>
      <sheetName val="Pltrates"/>
      <sheetName val="Parameter tables"/>
      <sheetName val="Summ_Prod Cap'ty"/>
      <sheetName val="PROD_EST_PELIKAN"/>
      <sheetName val="Summary Unit (2)"/>
      <sheetName val="Summary Unit"/>
      <sheetName val="Summary_OB"/>
      <sheetName val="EQREQ_OPSI  (3)"/>
      <sheetName val="Criteria"/>
      <sheetName val="Estimate"/>
      <sheetName val="Key Assumptions"/>
      <sheetName val="Data Master 2010"/>
      <sheetName val="Isi_Job_Pending"/>
      <sheetName val="WK1 Key Assumpt"/>
      <sheetName val="6 ACN Mgt View"/>
      <sheetName val="PMRCON"/>
      <sheetName val="Production"/>
      <sheetName val="Consulidation"/>
      <sheetName val="Produksi"/>
      <sheetName val="DailySummaryWeather"/>
      <sheetName val="PLAN606_monthlty"/>
      <sheetName val="Data_May_06"/>
      <sheetName val="RECONSILE"/>
      <sheetName val="Hourly_31_Des_05"/>
      <sheetName val="PLAN701_monthlty_sim_r00---"/>
      <sheetName val="Latihan APAB_1coba"/>
      <sheetName val="Hourly Monitoring master"/>
      <sheetName val="Hourly_Prod5"/>
      <sheetName val="Crew_Perf5"/>
      <sheetName val="OB_ACTIV5"/>
      <sheetName val="Daily_Forecasting5"/>
      <sheetName val="BD_Equip5"/>
      <sheetName val="DP_Report5"/>
      <sheetName val="Curah_hujan5"/>
      <sheetName val="Unit_Lain5"/>
      <sheetName val="HIRE_RATE_19985"/>
      <sheetName val="April_5"/>
      <sheetName val="LTI-24-09_(3)5"/>
      <sheetName val="LTI-24-02_(2)5"/>
      <sheetName val="LTI-01_(1)5"/>
      <sheetName val="Permanent_info5"/>
      <sheetName val="_SAF_0210"/>
      <sheetName val="_SAF_0211"/>
      <sheetName val="ALL_PC5"/>
      <sheetName val="PLO_IDR_YTD5"/>
      <sheetName val="summary_KPI5"/>
      <sheetName val="Truck_Count5"/>
      <sheetName val="Joint_Survey_Actual5"/>
      <sheetName val="Daily_Plan5"/>
      <sheetName val="Dr_s__90_dys5"/>
      <sheetName val="Daily_OB_&amp;_Coal5"/>
      <sheetName val="Safety_24"/>
      <sheetName val="Resume_Opp_Loss4"/>
      <sheetName val="March-april_(2)4"/>
      <sheetName val="March_april__2_4"/>
      <sheetName val="PAMA_ALL4"/>
      <sheetName val="PLO_IDR4"/>
      <sheetName val="PLO_USD4"/>
      <sheetName val="PLO_USD_YTD4"/>
      <sheetName val="Overall__4_4"/>
      <sheetName val="Overall__2_4"/>
      <sheetName val="Cruser_Sp714"/>
      <sheetName val="rumus_2_(coal_ttp_&amp;_wr)1"/>
      <sheetName val="STD_RATES1"/>
      <sheetName val="LP-01_2012"/>
      <sheetName val="FE-1771$_P1"/>
      <sheetName val="kpi_20151"/>
      <sheetName val="Monthly_Plan"/>
      <sheetName val="Data_Coal_I"/>
      <sheetName val="Data_Coal_II"/>
      <sheetName val="mtd_ob_forecasting"/>
      <sheetName val="3__list_of_mp"/>
      <sheetName val="KPC_Coal"/>
      <sheetName val="Daily_Report"/>
      <sheetName val="ACC_Publish"/>
      <sheetName val="Konversi_Jarak"/>
      <sheetName val="Cash_Flow"/>
      <sheetName val="DATA_MASTER_JUN"/>
      <sheetName val="Dozing_Estimation"/>
      <sheetName val="DT_ob"/>
      <sheetName val="DT_coal"/>
      <sheetName val="2_wh"/>
      <sheetName val="6_fc"/>
      <sheetName val="3_pa"/>
      <sheetName val="COAL_old"/>
      <sheetName val="Stock_Port_"/>
      <sheetName val="SUMMARY_TONNAGE_&amp;_USD"/>
      <sheetName val="SOS_Summary_"/>
      <sheetName val="KHUSUS_BRAVO_II"/>
      <sheetName val="Dr's_&gt;90_dys"/>
      <sheetName val="Base_Unit"/>
      <sheetName val="BI_Share"/>
      <sheetName val="Query_PM"/>
      <sheetName val="WH_&amp;_Fuel"/>
      <sheetName val="Data_Staff"/>
      <sheetName val="DIV_1"/>
      <sheetName val="KPI_ENG"/>
      <sheetName val="Hourly_Prod6"/>
      <sheetName val="Crew_Perf6"/>
      <sheetName val="OB_ACTIV6"/>
      <sheetName val="Daily_Forecasting6"/>
      <sheetName val="BD_Equip6"/>
      <sheetName val="DP_Report6"/>
      <sheetName val="Curah_hujan6"/>
      <sheetName val="Unit_Lain6"/>
      <sheetName val="HIRE_RATE_19986"/>
      <sheetName val="April_6"/>
      <sheetName val="LTI-24-09_(3)6"/>
      <sheetName val="LTI-24-02_(2)6"/>
      <sheetName val="LTI-01_(1)6"/>
      <sheetName val="Permanent_info6"/>
      <sheetName val="_SAF_0212"/>
      <sheetName val="_SAF_0213"/>
      <sheetName val="ALL_PC6"/>
      <sheetName val="PLO_IDR_YTD6"/>
      <sheetName val="summary_KPI6"/>
      <sheetName val="Truck_Count6"/>
      <sheetName val="Joint_Survey_Actual6"/>
      <sheetName val="Daily_Plan6"/>
      <sheetName val="Dr_s__90_dys6"/>
      <sheetName val="Daily_OB_&amp;_Coal6"/>
      <sheetName val="Safety_25"/>
      <sheetName val="Resume_Opp_Loss5"/>
      <sheetName val="March-april_(2)5"/>
      <sheetName val="March_april__2_5"/>
      <sheetName val="PAMA_ALL5"/>
      <sheetName val="PLO_IDR5"/>
      <sheetName val="PLO_USD5"/>
      <sheetName val="PLO_USD_YTD5"/>
      <sheetName val="Overall__4_5"/>
      <sheetName val="Overall__2_5"/>
      <sheetName val="Cruser_Sp715"/>
      <sheetName val="rumus_2_(coal_ttp_&amp;_wr)2"/>
      <sheetName val="STD_RATES2"/>
      <sheetName val="LP-01_20121"/>
      <sheetName val="FE-1771$_P11"/>
      <sheetName val="kpi_20152"/>
      <sheetName val="Monthly_Plan1"/>
      <sheetName val="Data_Coal_I1"/>
      <sheetName val="Data_Coal_II1"/>
      <sheetName val="mtd_ob_forecasting1"/>
      <sheetName val="3__list_of_mp1"/>
      <sheetName val="KPC_Coal1"/>
      <sheetName val="Daily_Report1"/>
      <sheetName val="ACC_Publish1"/>
      <sheetName val="Konversi_Jarak1"/>
      <sheetName val="Cash_Flow1"/>
      <sheetName val="DATA_MASTER_JUN1"/>
      <sheetName val="Dozing_Estimation1"/>
      <sheetName val="DT_ob1"/>
      <sheetName val="DT_coal1"/>
      <sheetName val="2_wh1"/>
      <sheetName val="6_fc1"/>
      <sheetName val="3_pa1"/>
      <sheetName val="COAL_old1"/>
      <sheetName val="Stock_Port_1"/>
      <sheetName val="SUMMARY_TONNAGE_&amp;_USD1"/>
      <sheetName val="SOS_Summary_1"/>
      <sheetName val="KHUSUS_BRAVO_II1"/>
      <sheetName val="Dr's_&gt;90_dys1"/>
      <sheetName val="Base_Unit1"/>
      <sheetName val="BI_Share1"/>
      <sheetName val="Query_PM1"/>
      <sheetName val="WH_&amp;_Fuel1"/>
      <sheetName val="Data_Staff1"/>
      <sheetName val="DIV_11"/>
      <sheetName val="KPI_ENG1"/>
      <sheetName val="D-04"/>
      <sheetName val="Plant Rate"/>
      <sheetName val="Monthly Entry"/>
      <sheetName val="Kode"/>
      <sheetName val="Guidance"/>
      <sheetName val="Populasi"/>
      <sheetName val="3. Weekly BALANCE STOCK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/>
      <sheetData sheetId="269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</sheetDataSet>
  </externalBook>
</externalLink>
</file>

<file path=xl/externalLinks/externalLink18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"/>
      <sheetName val="ob"/>
      <sheetName val="coal"/>
      <sheetName val="prod"/>
      <sheetName val="pty"/>
      <sheetName val="Prod'ty"/>
      <sheetName val="Lbr April 2006"/>
      <sheetName val="#REF"/>
      <sheetName val="LABA"/>
      <sheetName val="WBS"/>
      <sheetName val="Sales Mining"/>
      <sheetName val="Parameter"/>
      <sheetName val="SP"/>
      <sheetName val="database"/>
      <sheetName val="Lbr_April_2006"/>
      <sheetName val="Matrix"/>
      <sheetName val="DP Report"/>
      <sheetName val="Act_cost"/>
      <sheetName val="Data Base"/>
      <sheetName val="DATA MASTER JUN"/>
      <sheetName val="Main"/>
      <sheetName val="244 Black coal"/>
      <sheetName val="Period"/>
      <sheetName val="EQL"/>
      <sheetName val="Sept_ Pty"/>
      <sheetName val="Resume"/>
      <sheetName val="DBase Karyawan"/>
      <sheetName val="Dbase Man Hours"/>
      <sheetName val="Code"/>
      <sheetName val="SPO"/>
      <sheetName val="day"/>
      <sheetName val="Plan"/>
      <sheetName val="Project"/>
      <sheetName val="POPULATION"/>
      <sheetName val="Par"/>
      <sheetName val="Daily Forecasting"/>
      <sheetName val="posisi"/>
      <sheetName val="FORM"/>
      <sheetName val="PRICE BOOKS"/>
      <sheetName val="July Forecast Costs"/>
      <sheetName val="9_SuppAlloc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.Pump Spec"/>
      <sheetName val="1.Rainfall"/>
      <sheetName val="3.Pump Req"/>
      <sheetName val="4.MAP"/>
    </sheetNames>
    <sheetDataSet>
      <sheetData sheetId="0"/>
      <sheetData sheetId="1"/>
      <sheetData sheetId="2"/>
      <sheetData sheetId="3"/>
    </sheetDataSet>
  </externalBook>
</externalLink>
</file>

<file path=xl/externalLinks/externalLink18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E"/>
      <sheetName val="Summary"/>
      <sheetName val="Wh Coal"/>
      <sheetName val="Daily Plan"/>
      <sheetName val="Daily Plan_coal"/>
      <sheetName val="Contractor Coal Plan"/>
      <sheetName val="Seq VC Eq"/>
      <sheetName val="Inventory"/>
      <sheetName val="Quality (2)"/>
      <sheetName val="Quali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psi1"/>
      <sheetName val="Opsi1 (edit)"/>
      <sheetName val="Opsi2_Sulphur&lt;1.2"/>
      <sheetName val="Opsi 2_Sulphur&lt;1.5"/>
      <sheetName val="Opsi 2_Low Sulphur"/>
      <sheetName val="coal"/>
      <sheetName val="o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9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RGING"/>
      <sheetName val="SPL-BIN"/>
      <sheetName val="SPL-LATI"/>
      <sheetName val="MINE BLOCK"/>
      <sheetName val="COAL QUALITY"/>
      <sheetName val="BINUNGAN STOCKPILE"/>
      <sheetName val="XXXX"/>
      <sheetName val="XXX0"/>
      <sheetName val="INPUT"/>
      <sheetName val="OUTPUT"/>
      <sheetName val="DATA"/>
      <sheetName val="TONNAGE"/>
      <sheetName val="QUALITY"/>
      <sheetName val="PRINT OUT"/>
      <sheetName val="Stock JP"/>
      <sheetName val="Opsi 2_Sulphur&lt;1.5"/>
      <sheetName val="Life Line ST Analysis"/>
      <sheetName val="FORM"/>
      <sheetName val="coal"/>
      <sheetName val="ob"/>
      <sheetName val="In_Pit5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AL MINE PLAN"/>
      <sheetName val="COAL CRUSH PLAN"/>
      <sheetName val="OB PLAN"/>
      <sheetName val="ACT COAL"/>
      <sheetName val="PITINVENTORY"/>
      <sheetName val="WASHPLANT"/>
      <sheetName val="HAUL C1,C2,C3"/>
      <sheetName val="ACT OB"/>
      <sheetName val="DRILLBLAST"/>
      <sheetName val="Rain &amp; Slippery Method"/>
      <sheetName val="DOZING"/>
      <sheetName val="REPORT 02"/>
      <sheetName val="XXXXXXX"/>
      <sheetName val="samsidb"/>
      <sheetName val="REPORT01"/>
      <sheetName val="REPORT 03"/>
      <sheetName val="ACT DIRTY COAL"/>
      <sheetName val="DAILY_SUM"/>
      <sheetName val="REPORT01 for P'GANIS"/>
      <sheetName val="REPORT01 TS"/>
      <sheetName val="ACT OB TS"/>
      <sheetName val="PLAN"/>
      <sheetName val="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chedule"/>
      <sheetName val="Master"/>
      <sheetName val="Ritase Coal"/>
      <sheetName val="Ritase OB"/>
      <sheetName val="Status"/>
      <sheetName val="RainSlipp"/>
      <sheetName val="Fuel"/>
      <sheetName val="SMS Hourly"/>
      <sheetName val="Hourly OB"/>
      <sheetName val="Dump Point"/>
      <sheetName val="Shiftly"/>
      <sheetName val="Equiper"/>
      <sheetName val="Performance"/>
      <sheetName val="Production"/>
      <sheetName val="FuelCons"/>
      <sheetName val="Coal Expose"/>
      <sheetName val="Rekap Fuel"/>
      <sheetName val="OPTD REVIEW"/>
      <sheetName val="Clearing &amp; Recontouring"/>
      <sheetName val="Day Work"/>
      <sheetName val="Summary Rental"/>
      <sheetName val="BA Rental_Print"/>
      <sheetName val="Daily Meeting"/>
      <sheetName val="SMS Daily"/>
      <sheetName val="Breakdown"/>
      <sheetName val="Availability"/>
      <sheetName val="Fuel OB"/>
      <sheetName val="Fuel Coal"/>
      <sheetName val="Fuel Land Clearing"/>
      <sheetName val="Fuel Disposal Recontou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shiping"/>
      <sheetName val="FIXED"/>
      <sheetName val="mas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9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설치일정표"/>
      <sheetName val="SITE설치비"/>
      <sheetName val="Sheet1"/>
      <sheetName val="OFFICE"/>
      <sheetName val="shiping"/>
      <sheetName val="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smo"/>
      <sheetName val="survey-smo"/>
      <sheetName val="FIXED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PEMASUKAN"/>
      <sheetName val="PEMAKAIAN"/>
      <sheetName val="PT. SHELL"/>
      <sheetName val="PT. AKR"/>
      <sheetName val="PEMAKAIAN SHELL"/>
      <sheetName val="PEMAKAIAN AKR"/>
      <sheetName val="Pemakaian Shift 1"/>
      <sheetName val="Pemakaian Shift 2"/>
      <sheetName val="Pemakaian Total"/>
      <sheetName val="Chart3"/>
      <sheetName val="Persentase"/>
      <sheetName val="Produksi"/>
      <sheetName val="Rekap Solar April 2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분석"/>
      <sheetName val="분석-저실적 장비"/>
      <sheetName val="분석-List"/>
      <sheetName val="실적저조 장비 분류"/>
      <sheetName val="장비관리"/>
      <sheetName val="Focusing Maintenance Unit"/>
      <sheetName val="Purpose and method"/>
      <sheetName val="Monthly"/>
      <sheetName val="Unit Performance"/>
      <sheetName val="Summary"/>
      <sheetName val="Sales"/>
      <sheetName val="Operating HM"/>
      <sheetName val="Depreciation"/>
      <sheetName val="Labor_Maintenance"/>
      <sheetName val="Labor_Operating"/>
      <sheetName val="Overhead"/>
      <sheetName val="Administration"/>
      <sheetName val="BreakDown"/>
      <sheetName val="Waiting time"/>
      <sheetName val="Standby"/>
      <sheetName val="Equipmen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9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Budget Summary_2005"/>
      <sheetName val="Rekapitulasi Budget"/>
      <sheetName val="AHCNI (2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de"/>
      <sheetName val="Range"/>
      <sheetName val="OB Prod Dbase"/>
      <sheetName val="BCM perShift"/>
      <sheetName val="BCM Unit"/>
      <sheetName val="SC &amp; DD"/>
      <sheetName val="COAL Dbase Pit to KM.29"/>
      <sheetName val="Ritase CoaL Pit to KM.29"/>
      <sheetName val="Ton Coal Pit to KM.29"/>
      <sheetName val="Ton Unit"/>
      <sheetName val="COAL Dbase KM.29 to KM.71"/>
      <sheetName val="Ritase Coal KM.29 to KM.71"/>
      <sheetName val="Ton Coal KM.29 to Km.71"/>
      <sheetName val="COAL Dbase DEJ to KM.29"/>
      <sheetName val="Ritase Coal DEJ to KM.29"/>
      <sheetName val="Ton Coal DEJ to KM.29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0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ily Report"/>
      <sheetName val="Print out Safety"/>
      <sheetName val="Mine"/>
      <sheetName val="CPP"/>
      <sheetName val="Plan &amp; F_cast"/>
      <sheetName val="OB Rem."/>
      <sheetName val="Coal_BC"/>
      <sheetName val="Coal_RMN"/>
      <sheetName val="Coal_BMMU"/>
      <sheetName val="Coal_Dls"/>
      <sheetName val="Coal_RMP"/>
      <sheetName val="Summary"/>
      <sheetName val="Stockpile Inv."/>
      <sheetName val="Loss time"/>
      <sheetName val="Weekly_ LT"/>
      <sheetName val="Safety"/>
      <sheetName val="Pit_Int."/>
      <sheetName val="data barging"/>
      <sheetName val="ST"/>
      <sheetName val="MAS"/>
      <sheetName val="Fuel Base"/>
      <sheetName val="Prod"/>
      <sheetName val="RT"/>
      <sheetName val="databank"/>
      <sheetName val="Range"/>
      <sheetName val="Sheet1"/>
      <sheetName val="Maret"/>
      <sheetName val="Data"/>
      <sheetName val="FORM"/>
      <sheetName val="DB"/>
      <sheetName val="Site_BQ"/>
      <sheetName val="PL (MONTHLY)"/>
      <sheetName val="Guidance"/>
      <sheetName val="Roster 3DNO SEPT 09 B"/>
      <sheetName val="shiping"/>
      <sheetName val="DB Delay"/>
      <sheetName val="DASHBOARD DEV"/>
      <sheetName val="XL4Test5"/>
      <sheetName val="Settings"/>
      <sheetName val="Lamp-14(Manajemen)"/>
      <sheetName val="Summary Report"/>
      <sheetName val="Rate Adjust"/>
      <sheetName val="STAFF  332 + 8"/>
      <sheetName val="Kode"/>
      <sheetName val="date"/>
      <sheetName val="FA Movement"/>
      <sheetName val="Inventories"/>
      <sheetName val="SPI"/>
      <sheetName val="SE"/>
      <sheetName val="SubAcc"/>
      <sheetName val="Settingan"/>
      <sheetName val="Daily_Report"/>
      <sheetName val="Print_out_Safety"/>
      <sheetName val="Plan_&amp;_F_cast"/>
      <sheetName val="OB_Rem_"/>
      <sheetName val="Stockpile_Inv_"/>
      <sheetName val="Loss_time"/>
      <sheetName val="Weekly__LT"/>
      <sheetName val="Pit_Int_"/>
      <sheetName val="Fuel_Base"/>
      <sheetName val="Rate_Adjust"/>
      <sheetName val="STAFF__332_+_8"/>
      <sheetName val="FA_Movement"/>
      <sheetName val="PL_(MONTHLY)"/>
      <sheetName val="SPK-IDR"/>
      <sheetName val="SPK-USD"/>
      <sheetName val="SUBCONT"/>
      <sheetName val="Subcontract Status"/>
      <sheetName val="INDIR"/>
      <sheetName val="in"/>
      <sheetName val="base"/>
      <sheetName val="database"/>
      <sheetName val="P2"/>
      <sheetName val="Master"/>
      <sheetName val="Summary Exp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0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A2B"/>
      <sheetName val="DT"/>
      <sheetName val="cHECKER"/>
      <sheetName val="REKAP"/>
      <sheetName val="NEW"/>
      <sheetName val="Sheet1"/>
      <sheetName val="PRIN 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ternal Content"/>
      <sheetName val="Client Content"/>
      <sheetName val="Internal Approval"/>
      <sheetName val="MENU"/>
      <sheetName val="Cover"/>
      <sheetName val="Client Approval"/>
      <sheetName val="SPO"/>
      <sheetName val="SPO (2)"/>
      <sheetName val="SUMMARY ACTIVITY"/>
      <sheetName val="Productivity"/>
      <sheetName val="List Unit"/>
      <sheetName val="pa_lawas"/>
      <sheetName val="pa agust"/>
      <sheetName val="OB Cap"/>
      <sheetName val="wbs alat produksi"/>
      <sheetName val="WBS Production"/>
      <sheetName val="CO Cap"/>
      <sheetName val="Master activity WBS "/>
      <sheetName val="Planning WH &amp; Fuel WBS"/>
      <sheetName val="WH and EWH"/>
      <sheetName val="WH and EWH (2)"/>
      <sheetName val="PLAN DISTANCE OB_ rev planning"/>
      <sheetName val="Posisi Fleet"/>
      <sheetName val="Equipment and Fleet_allocation"/>
      <sheetName val="Equipment ID"/>
      <sheetName val="Fuel Consump"/>
      <sheetName val="Fuel Ratio"/>
      <sheetName val="Fuel Ratio (2)"/>
      <sheetName val="DRILING"/>
      <sheetName val="PLAN DISTANCE COAL"/>
      <sheetName val="Plan Summary"/>
      <sheetName val="MAN POWER"/>
      <sheetName val="Mine Scheduling Result"/>
      <sheetName val="Material Class and Balance"/>
      <sheetName val="Equipment and Fleet_allocat(2)"/>
      <sheetName val="Man Power Operator (2)"/>
      <sheetName val="Chart1"/>
      <sheetName val="Man Power Operator (3)"/>
      <sheetName val="Man Power Operator"/>
      <sheetName val="Plan Summary (2)"/>
      <sheetName val="Mine Scheduling Result (2)"/>
      <sheetName val="Reclamation Plan"/>
      <sheetName val="Material Class and Balance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0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ta"/>
      <sheetName val="data"/>
      <sheetName val="input"/>
      <sheetName val="rain"/>
      <sheetName val="aplan"/>
      <sheetName val="bplan"/>
      <sheetName val="_"/>
      <sheetName val="gabungan"/>
      <sheetName val="r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0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el-sepakat"/>
      <sheetName val="Tabel FPI"/>
      <sheetName val="Perhitungan"/>
      <sheetName val="Print-Prod"/>
      <sheetName val="Print-Tempel"/>
      <sheetName val="0804"/>
      <sheetName val="설치일정표"/>
      <sheetName val="Bantuan"/>
      <sheetName val="DP Report"/>
      <sheetName val="Loading"/>
      <sheetName val="PMR76HA3"/>
      <sheetName val="raw"/>
      <sheetName val="Notes to BS"/>
      <sheetName val="Daily Report"/>
      <sheetName val="Source2"/>
      <sheetName val="Sheet1"/>
      <sheetName val="Tabel_FPI"/>
      <sheetName val="DP_Report"/>
      <sheetName val="Notes_to_BS"/>
      <sheetName val="Daily_Report"/>
      <sheetName val="Tabel_FPI1"/>
      <sheetName val="DP_Report1"/>
      <sheetName val="Notes_to_BS1"/>
      <sheetName val="Daily_Report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0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1"/>
      <sheetName val="2"/>
      <sheetName val="3"/>
      <sheetName val="4"/>
      <sheetName val="5"/>
      <sheetName val="6"/>
      <sheetName val="7"/>
      <sheetName val="Week I"/>
      <sheetName val="8"/>
      <sheetName val="9"/>
      <sheetName val="10"/>
      <sheetName val="11"/>
      <sheetName val="12"/>
      <sheetName val="13"/>
      <sheetName val="14"/>
      <sheetName val="15"/>
      <sheetName val="Week II"/>
      <sheetName val="16"/>
      <sheetName val="17"/>
      <sheetName val="18"/>
      <sheetName val="19"/>
      <sheetName val="20"/>
      <sheetName val="21"/>
      <sheetName val="22"/>
      <sheetName val="23"/>
      <sheetName val="Week III"/>
      <sheetName val="24"/>
      <sheetName val="25"/>
      <sheetName val="26"/>
      <sheetName val="27"/>
      <sheetName val="28"/>
      <sheetName val="29"/>
      <sheetName val="30"/>
      <sheetName val="31"/>
      <sheetName val="MTD"/>
      <sheetName val="Daily Plan"/>
      <sheetName val="OB per seam"/>
      <sheetName val="Coal per seam"/>
      <sheetName val="OB &amp; Coal"/>
      <sheetName val="OB &amp; Coal Actual"/>
      <sheetName val="OB_Coal_Hauling_Rain"/>
      <sheetName val="Ritase 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0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STR"/>
      <sheetName val="PRC"/>
      <sheetName val="OUTCM"/>
      <sheetName val="INCM"/>
      <sheetName val="INCM RKP"/>
      <sheetName val="INDX"/>
      <sheetName val="SUMMARY"/>
      <sheetName val="MONITORING LV"/>
      <sheetName val="CHAR"/>
      <sheetName val="PRD"/>
      <sheetName val="Sheet1"/>
      <sheetName val="SOUNDING-2"/>
      <sheetName val="SOUNDING-1"/>
      <sheetName val="MONITOR-FT"/>
      <sheetName val="FUEL REPORT MEI 2014"/>
      <sheetName val="Loss time"/>
      <sheetName val="WHRS"/>
      <sheetName val="seq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ract"/>
      <sheetName val="Cost"/>
      <sheetName val="PL"/>
      <sheetName val="Tot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Budget_Description"/>
      <sheetName val="Technical_Assumption"/>
      <sheetName val="Master_Data"/>
      <sheetName val="General_Assumption"/>
      <sheetName val="UPDATED_02-PROD_PLANNING"/>
      <sheetName val="650 09"/>
      <sheetName val="650 13"/>
      <sheetName val="650 40&amp;650 41"/>
      <sheetName val="650 45"/>
      <sheetName val="Survey Equip. Utl "/>
      <sheetName val="UPDATED_Hire_Equipment_T"/>
      <sheetName val="UPDATED_Consultant"/>
      <sheetName val="UPDATED_Surveying"/>
      <sheetName val="UPDATED_Other_Expense"/>
      <sheetName val="UPDATED_CAPEX_PROD_PLANNING"/>
      <sheetName val="Centralized Expense_rev"/>
      <sheetName val="Org Chart 2012"/>
      <sheetName val="Estimate SO 2012"/>
      <sheetName val="BOQ_CS"/>
      <sheetName val="Contract"/>
      <sheetName val="FORM"/>
      <sheetName val="DIFF Material UPGRADE"/>
      <sheetName val="650_09"/>
      <sheetName val="650_13"/>
      <sheetName val="650_40&amp;650_41"/>
      <sheetName val="650_45"/>
      <sheetName val="Survey_Equip__Utl_"/>
      <sheetName val="Centralized_Expense_rev"/>
      <sheetName val="Org_Chart_2012"/>
      <sheetName val="Estimate_SO_2012"/>
      <sheetName val="DIFF_Material_UPGRADE"/>
      <sheetName val="650_091"/>
      <sheetName val="650_131"/>
      <sheetName val="650_40&amp;650_411"/>
      <sheetName val="650_451"/>
      <sheetName val="Survey_Equip__Utl_1"/>
      <sheetName val="Centralized_Expense_rev1"/>
      <sheetName val="Org_Chart_20121"/>
      <sheetName val="Estimate_SO_20121"/>
      <sheetName val="DIFF_Material_UPGRAD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0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"/>
      <sheetName val="FIXED"/>
      <sheetName val="Detail"/>
      <sheetName val="Asli"/>
      <sheetName val="General_Assump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 by procon"/>
      <sheetName val="GL jan"/>
      <sheetName val="GL peb"/>
      <sheetName val="GL mar"/>
      <sheetName val="GL apr"/>
      <sheetName val="Bantuan"/>
      <sheetName val="Loading"/>
      <sheetName val="Hauling"/>
      <sheetName val="Maret 2004"/>
      <sheetName val="Data GL"/>
      <sheetName val="Data Loading"/>
      <sheetName val="Data Hauling"/>
      <sheetName val="TOTAL"/>
      <sheetName val="Contract"/>
      <sheetName val="Petrosea"/>
      <sheetName val="JKT경비"/>
      <sheetName val="DP Report"/>
      <sheetName val="Master "/>
      <sheetName val="Productivity"/>
      <sheetName val="A_SQL2IMPS_"/>
      <sheetName val="air_klp_biru_per10cm modif"/>
      <sheetName val="air_spt_sel_modif"/>
      <sheetName val="air_spt_teng_modif"/>
      <sheetName val="Cost Centre &amp; COA"/>
      <sheetName val="Lookup"/>
      <sheetName val="FORM"/>
      <sheetName val="Tabel FPI"/>
      <sheetName val="Reff"/>
      <sheetName val="XL4Test5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MR42OA2 Des"/>
      <sheetName val="PMR42OA1"/>
      <sheetName val="Edit OB"/>
      <sheetName val="Edit Coal"/>
      <sheetName val="ytd Distance"/>
      <sheetName val="Bantuan"/>
      <sheetName val="Loading"/>
      <sheetName val="Tabel FPI"/>
      <sheetName val="M"/>
      <sheetName val="FORM"/>
      <sheetName val="HARVEST02"/>
      <sheetName val="Sheet1"/>
      <sheetName val="Petrosea"/>
      <sheetName val="TOTAL"/>
      <sheetName val="WH"/>
      <sheetName val="PMR42OA2_Des"/>
      <sheetName val="Edit_OB"/>
      <sheetName val="Edit_Coal"/>
      <sheetName val="ytd_Distance"/>
      <sheetName val="Tabel_F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</sheetDataSet>
  </externalBook>
</externalLink>
</file>

<file path=xl/externalLinks/externalLink2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BoQ"/>
      <sheetName val="Bantua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umsi"/>
      <sheetName val="BoQ"/>
      <sheetName val="020220"/>
    </sheetNames>
    <sheetDataSet>
      <sheetData sheetId="0"/>
      <sheetData sheetId="1" refreshError="1"/>
      <sheetData sheetId="2" refreshError="1"/>
    </sheetDataSet>
  </externalBook>
</externalLink>
</file>

<file path=xl/externalLinks/externalLink2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umsi"/>
      <sheetName val="BoQ"/>
      <sheetName val="Pipe"/>
      <sheetName val="General_Assumptio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er Target"/>
      <sheetName val="POPULASI EQ"/>
      <sheetName val="OOC"/>
      <sheetName val="SPECH ALAT"/>
      <sheetName val="STBY &amp; IDLE HRS"/>
      <sheetName val="AVAILABLE HRS"/>
      <sheetName val="ASSUMPT"/>
      <sheetName val="INPUT PAR"/>
      <sheetName val="EQ SELEC"/>
      <sheetName val="PROD CALCULATE"/>
      <sheetName val="EQ PLAN"/>
      <sheetName val="PROD"/>
      <sheetName val="Schedule Plan"/>
      <sheetName val="Correc UA"/>
      <sheetName val="EQ HRS"/>
      <sheetName val="Equip SCRAP"/>
      <sheetName val="EQ ADD"/>
      <sheetName val="SUBCONT"/>
      <sheetName val="MOBFLEET"/>
      <sheetName val="RUN EQ"/>
      <sheetName val="FUEL"/>
      <sheetName val="HR DB"/>
      <sheetName val="PLANT"/>
      <sheetName val="RM Cost"/>
      <sheetName val="INVST FLEET"/>
      <sheetName val="ASSET Exist"/>
      <sheetName val="ASSET Add"/>
      <sheetName val="DEPR &amp; LEASED"/>
      <sheetName val="CSR"/>
      <sheetName val="SHE"/>
      <sheetName val="Employee cost COA"/>
      <sheetName val="LV"/>
      <sheetName val="GAOHE"/>
      <sheetName val="REVENUE"/>
      <sheetName val="PLO"/>
      <sheetName val="Sheet1"/>
      <sheetName val="PA from Pl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BP_K_FOB "/>
      <sheetName val="BP_E_FOB"/>
      <sheetName val="E_FOB"/>
      <sheetName val="K_FOB "/>
      <sheetName val="Indices"/>
      <sheetName val="Summary"/>
      <sheetName val="Rep. Monthly"/>
      <sheetName val="Unfixed(Statu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st Depre"/>
      <sheetName val="JKT경비"/>
      <sheetName val="COSTSALES"/>
      <sheetName val="MCOST1"/>
      <sheetName val="전제조건"/>
      <sheetName val="Contract"/>
      <sheetName val="Control"/>
      <sheetName val="Contents"/>
      <sheetName val="BS-RTI"/>
      <sheetName val="1999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1.작성기준"/>
      <sheetName val="2.총괄"/>
      <sheetName val="4.인원"/>
      <sheetName val="3-10.계획"/>
      <sheetName val="11.손익"/>
      <sheetName val="인건비"/>
      <sheetName val="경비"/>
      <sheetName val="자재"/>
      <sheetName val="손익총괄"/>
      <sheetName val="학자금"/>
      <sheetName val="산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st Depre"/>
      <sheetName val="JKT경비"/>
      <sheetName val="COSTSALES"/>
      <sheetName val="MCOST1"/>
      <sheetName val="Control"/>
      <sheetName val="Contents"/>
      <sheetName val="전제조건"/>
      <sheetName val="Contract"/>
      <sheetName val="BS-RTI"/>
      <sheetName val="1999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26"/>
      <sheetName val="Book1"/>
      <sheetName val="Asumsi"/>
      <sheetName val="PEMBESIAN BALOK tukang (2)"/>
      <sheetName val="Bantuan"/>
      <sheetName val="인건비"/>
    </sheetNames>
    <definedNames>
      <definedName refersTo="#REF!" name="MCOST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Sheet1"/>
      <sheetName val="SUMMARY"/>
      <sheetName val="PRODUKSI"/>
      <sheetName val="COPY KE DAILY"/>
      <sheetName val="OB"/>
      <sheetName val="COAL"/>
      <sheetName val="Sheet2"/>
      <sheetName val="Sheet3"/>
      <sheetName val="Sheet1 (2)"/>
      <sheetName val="Sheet4"/>
      <sheetName val="Sheet5"/>
      <sheetName val="Sheet6"/>
      <sheetName val="Sheet7"/>
      <sheetName val="07. SUMMARY JULY 2016 TMU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Sheet1"/>
      <sheetName val="SUMMARY"/>
      <sheetName val="PRODUKSI"/>
      <sheetName val="COPY KE DAILY"/>
      <sheetName val="OB"/>
      <sheetName val="COAL"/>
      <sheetName val="Sheet2"/>
      <sheetName val="Sheet3"/>
      <sheetName val="Sheet1 (2)"/>
      <sheetName val="Sheet4"/>
      <sheetName val="Sheet5"/>
      <sheetName val="Sheet6"/>
      <sheetName val="Sheet7"/>
      <sheetName val="03. SUMMARY MARET 2016 TMU"/>
      <sheetName val="lost-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D"/>
      <sheetName val="Rev"/>
      <sheetName val="GM"/>
      <sheetName val="DD summary"/>
      <sheetName val="Cov Sep (2)"/>
      <sheetName val="EBT audited"/>
      <sheetName val="Fixed Assets"/>
      <sheetName val="Cov Sep"/>
      <sheetName val="Data presentasi"/>
      <sheetName val="Format Ppt"/>
      <sheetName val="FS Consol"/>
      <sheetName val="Forecast Jun09 Actual"/>
      <sheetName val="Mar 09"/>
      <sheetName val="Mar 08"/>
      <sheetName val="BS"/>
      <sheetName val="P2"/>
      <sheetName val="Sep 08"/>
      <sheetName val="Sep 07"/>
      <sheetName val="Jun 08"/>
      <sheetName val="Jun 07"/>
      <sheetName val="Sheet1"/>
      <sheetName val="MA%"/>
      <sheetName val="ROFE ROA (GBP ex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.6 Turnover"/>
      <sheetName val=".2 Movement"/>
      <sheetName val=".3Detail Dec"/>
      <sheetName val=".4 Detail June"/>
      <sheetName val="Sheet1"/>
      <sheetName val="GL exp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"/>
      <sheetName val="Main_Month"/>
      <sheetName val="Main_Week"/>
      <sheetName val="Equip_Para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9.30"/>
      <sheetName val="9.29"/>
      <sheetName val="9.28"/>
      <sheetName val="9.27"/>
      <sheetName val="9.26"/>
      <sheetName val="9.23"/>
      <sheetName val="9.22"/>
      <sheetName val="9.21"/>
      <sheetName val="9.20"/>
      <sheetName val="9.15"/>
      <sheetName val="9.14"/>
      <sheetName val="9.13"/>
      <sheetName val="9.12"/>
      <sheetName val="9.8"/>
      <sheetName val="9.6"/>
      <sheetName val="9.5"/>
      <sheetName val="9.2"/>
      <sheetName val="9.1"/>
      <sheetName val="8.31"/>
      <sheetName val="8.30"/>
      <sheetName val="8.29"/>
      <sheetName val="8.26"/>
      <sheetName val="8.25"/>
      <sheetName val="8.24"/>
      <sheetName val="8.23"/>
      <sheetName val="8.22"/>
      <sheetName val="8.19"/>
      <sheetName val="8.18"/>
      <sheetName val="8.17"/>
      <sheetName val="8.12"/>
      <sheetName val="8.11"/>
      <sheetName val="8.10"/>
      <sheetName val="8.9"/>
      <sheetName val="8.8"/>
      <sheetName val="8.5"/>
      <sheetName val="8.4"/>
      <sheetName val="8.3"/>
      <sheetName val="8.1"/>
      <sheetName val="7.29"/>
      <sheetName val="7.28"/>
      <sheetName val="7.27"/>
      <sheetName val="7.26"/>
      <sheetName val="7.25"/>
      <sheetName val="7.21"/>
      <sheetName val="7.20"/>
      <sheetName val="7.19"/>
      <sheetName val="7.18"/>
      <sheetName val="7.15"/>
      <sheetName val="7.14"/>
      <sheetName val="7.13"/>
      <sheetName val="7.12"/>
      <sheetName val="7.11"/>
      <sheetName val="7.8"/>
      <sheetName val="7.7"/>
      <sheetName val="7.6"/>
      <sheetName val="7.5"/>
      <sheetName val="7.4"/>
      <sheetName val="7.1"/>
      <sheetName val="6.30"/>
      <sheetName val="6.29"/>
      <sheetName val="6.28"/>
      <sheetName val="6.27"/>
      <sheetName val="6.24"/>
      <sheetName val="6.23"/>
      <sheetName val="6.22"/>
      <sheetName val="6.21"/>
      <sheetName val="6.20"/>
      <sheetName val="6.17"/>
      <sheetName val="6.16"/>
      <sheetName val="6.15"/>
      <sheetName val="6.14"/>
      <sheetName val="6.13"/>
      <sheetName val="6.10."/>
      <sheetName val="6.9"/>
      <sheetName val="6.8"/>
      <sheetName val="6.7"/>
      <sheetName val="6.3"/>
      <sheetName val="6.2"/>
      <sheetName val="6.1"/>
      <sheetName val="Contract"/>
      <sheetName val="인건비"/>
      <sheetName val="D-04"/>
      <sheetName val="구역별 손익(팀장당월)"/>
      <sheetName val="구역별 손익(누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설치비산출"/>
      <sheetName val="CRCSU통보-2대-SP제외"/>
      <sheetName val="WT"/>
      <sheetName val="VXXXXXXXXXXXXXXXXXXXXXXXX"/>
      <sheetName val="COVER"/>
      <sheetName val="확인ITEM&amp;참고SPEC"/>
      <sheetName val="KSHI변경사항"/>
      <sheetName val="상세계획"/>
      <sheetName val="입찰가'99.5.24"/>
      <sheetName val="물류원가통보'01.3.28"/>
      <sheetName val="CSU원가통보'99.6"/>
      <sheetName val="CSU원가통보'01.3"/>
      <sheetName val="CR PJT원가통보'01.3"/>
      <sheetName val="가격변동사항"/>
      <sheetName val="통CR"/>
      <sheetName val="CRCSU실행"/>
      <sheetName val="CRCSU통보-2대-SP,ST포"/>
      <sheetName val="WT대비"/>
      <sheetName val="Royalty"/>
      <sheetName val="JSHI분 협의용CR"/>
      <sheetName val="인건비'01"/>
      <sheetName val="설치비"/>
      <sheetName val="단가비교"/>
      <sheetName val="강재비-상세"/>
      <sheetName val="강재비-CR"/>
      <sheetName val="기본 방침"/>
      <sheetName val="해상운송비1"/>
      <sheetName val="철구단가"/>
      <sheetName val="도장비"/>
      <sheetName val="경비출장비"/>
      <sheetName val="YH-SHOP설치비"/>
      <sheetName val="SITE설치비용"/>
      <sheetName val="자작비"/>
      <sheetName val="부대비용KSHI '01.3변경"/>
      <sheetName val="해상운송비"/>
      <sheetName val="SP기-CR"/>
      <sheetName val="SITE설치비"/>
      <sheetName val="설치단가"/>
      <sheetName val="比주요사양"/>
      <sheetName val="SP&amp;ST-CR"/>
      <sheetName val="JSHI분 협의용CRt"/>
      <sheetName val="JSHI PR-CR"/>
      <sheetName val="JSHI PR-KY"/>
      <sheetName val="인건비'99R1"/>
      <sheetName val="JSHI분 협의용TA"/>
      <sheetName val="해외파견비-설치"/>
      <sheetName val="Item별PR"/>
      <sheetName val="JSHI분 협의용TAt1"/>
      <sheetName val="JSHI PR-TAEAN'99.3"/>
      <sheetName val="JSHI PR-TAEAN"/>
      <sheetName val="해외파견비-제작"/>
      <sheetName val="견적의뢰"/>
      <sheetName val="SP기-TA"/>
      <sheetName val="SP전-TA"/>
      <sheetName val="SP&amp;ST-TA"/>
      <sheetName val="SP전-제출LIST"/>
      <sheetName val="ST-제출LIST"/>
      <sheetName val="SP&amp;ST-KY"/>
      <sheetName val="SP&amp;ST-PWH"/>
      <sheetName val="SV일정표"/>
      <sheetName val="강재비-KYCSU"/>
      <sheetName val="NANAO견적가"/>
      <sheetName val="NANAO강재"/>
      <sheetName val="NANAO강재 한국보정"/>
      <sheetName val="BLOCKWT대비"/>
      <sheetName val="기내BC대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부대비용KSHI"/>
      <sheetName val="계약서"/>
      <sheetName val="계정code"/>
      <sheetName val="1.투자계획(중장비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2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ract"/>
      <sheetName val="Cost"/>
      <sheetName val="PL"/>
      <sheetName val="Total"/>
      <sheetName val="Test Depre"/>
      <sheetName val="slab"/>
      <sheetName val="COSTSALES"/>
      <sheetName val="MCOST1"/>
      <sheetName val="JKT경비"/>
      <sheetName val="2004년 12월계획"/>
      <sheetName val="Des"/>
      <sheetName val="Nov"/>
      <sheetName val="Test_Depre"/>
      <sheetName val="기본Data"/>
      <sheetName val="bni(rp)"/>
      <sheetName val="bni($)"/>
      <sheetName val="bpd(rp)"/>
      <sheetName val="cash"/>
      <sheetName val="kebd(rp)"/>
      <sheetName val="kebd($)"/>
      <sheetName val="Input"/>
      <sheetName val="DCOST"/>
      <sheetName val="MCOST2"/>
      <sheetName val="BukuKas-kah ini"/>
      <sheetName val="3. FUEL"/>
      <sheetName val="임차도급"/>
      <sheetName val="Control"/>
      <sheetName val="VXXXXXXXXXXXXXXXXXXXXXXXX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목차"/>
      <sheetName val="원탄생산"/>
      <sheetName val="폐석"/>
      <sheetName val="정탄운송"/>
      <sheetName val="작업방법별"/>
      <sheetName val="판매계획"/>
      <sheetName val="단가(CFR)"/>
      <sheetName val="단가(FRT)"/>
      <sheetName val="단가(FOB)"/>
      <sheetName val="매출(CFR)"/>
      <sheetName val="매출(FOB)"/>
      <sheetName val="인원(한국)"/>
      <sheetName val="인원(현지인)"/>
      <sheetName val="투자계획"/>
      <sheetName val="매출액"/>
      <sheetName val="영업외수익"/>
      <sheetName val="생산비"/>
      <sheetName val="인건비"/>
      <sheetName val="재료비"/>
      <sheetName val="경비"/>
      <sheetName val="JKT인건비"/>
      <sheetName val="JKT경비"/>
      <sheetName val="판매비"/>
      <sheetName val="영업외비용"/>
      <sheetName val="월별손익"/>
      <sheetName val="산출내역(인건비)"/>
      <sheetName val="산출내역(재료비)"/>
      <sheetName val="산출내역(경비)"/>
      <sheetName val="임차계획(x)"/>
      <sheetName val="도급계획(x)"/>
      <sheetName val="월별도급"/>
      <sheetName val="대민지원"/>
      <sheetName val="Jkt인건비(산출)"/>
      <sheetName val="Jkt경비(산출)"/>
      <sheetName val="판매비(산출)"/>
      <sheetName val="영업외비용(산출)"/>
      <sheetName val="월별자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2.63" defaultRowHeight="15.0"/>
  <cols>
    <col customWidth="1" min="1" max="1" width="13.5"/>
    <col customWidth="1" min="2" max="2" width="14.75"/>
    <col customWidth="1" min="3" max="3" width="18.63"/>
    <col customWidth="1" min="4" max="4" width="12.25"/>
    <col customWidth="1" min="5" max="5" width="17.88"/>
    <col customWidth="1" min="6" max="6" width="19.88"/>
    <col customWidth="1" min="7" max="7" width="22.25"/>
    <col customWidth="1" min="8" max="8" width="6.25"/>
    <col customWidth="1" min="9" max="9" width="19.0"/>
    <col customWidth="1" min="10" max="12" width="12.25"/>
    <col customWidth="1" min="13" max="13" width="12.13"/>
    <col customWidth="1" min="14" max="14" width="22.38"/>
    <col customWidth="1" min="15" max="15" width="19.88"/>
    <col customWidth="1" min="16" max="16" width="22.25"/>
    <col customWidth="1" min="17" max="17" width="27.88"/>
    <col customWidth="1" min="18" max="18" width="23.75"/>
    <col customWidth="1" min="19" max="21" width="12.25"/>
    <col customWidth="1" min="22" max="22" width="12.13"/>
    <col customWidth="1" min="23" max="23" width="17.88"/>
    <col customWidth="1" min="24" max="24" width="19.88"/>
    <col customWidth="1" min="25" max="25" width="22.25"/>
    <col customWidth="1" min="26" max="26" width="8.63"/>
  </cols>
  <sheetData>
    <row r="1" ht="14.25" customHeight="1"/>
    <row r="2" ht="25.5" customHeight="1">
      <c r="B2" s="10"/>
      <c r="C2" s="12"/>
    </row>
    <row r="3" ht="14.25" customHeight="1">
      <c r="B3" s="15"/>
      <c r="E3" s="18" t="s">
        <v>15</v>
      </c>
      <c r="F3" s="18" t="s">
        <v>19</v>
      </c>
      <c r="G3" s="18" t="s">
        <v>21</v>
      </c>
      <c r="H3" s="24" t="s">
        <v>19</v>
      </c>
      <c r="I3" s="26"/>
      <c r="J3" s="24" t="s">
        <v>28</v>
      </c>
      <c r="K3" s="30"/>
      <c r="L3" s="30"/>
      <c r="M3" s="26"/>
      <c r="N3" s="33"/>
      <c r="O3" s="18" t="s">
        <v>32</v>
      </c>
      <c r="P3" s="34" t="s">
        <v>34</v>
      </c>
      <c r="Q3" s="24" t="s">
        <v>36</v>
      </c>
      <c r="R3" s="30"/>
      <c r="S3" s="26"/>
      <c r="T3" s="18"/>
    </row>
    <row r="4" ht="14.25" customHeight="1">
      <c r="C4" s="3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ht="14.25" customHeight="1">
      <c r="C5" s="39"/>
      <c r="E5" s="41">
        <f>G41</f>
        <v>0.1549654806</v>
      </c>
      <c r="F5" s="42" t="s">
        <v>19</v>
      </c>
      <c r="G5" s="41">
        <f>G53</f>
        <v>0.7027777778</v>
      </c>
      <c r="H5" s="46" t="s">
        <v>19</v>
      </c>
      <c r="I5" s="26"/>
      <c r="J5" s="49">
        <f>P26</f>
        <v>0.2199334427</v>
      </c>
      <c r="K5" s="30"/>
      <c r="L5" s="30"/>
      <c r="M5" s="26"/>
      <c r="N5" s="42" t="s">
        <v>19</v>
      </c>
      <c r="O5" s="41" t="str">
        <f>Y42</f>
        <v>#REF!</v>
      </c>
      <c r="P5" s="50" t="s">
        <v>34</v>
      </c>
      <c r="Q5" s="52"/>
      <c r="R5" s="41" t="str">
        <f>E5+G5+J5+O5</f>
        <v>#REF!</v>
      </c>
      <c r="S5" s="36"/>
      <c r="T5" s="36"/>
    </row>
    <row r="6" ht="14.25" customHeight="1">
      <c r="B6" s="55"/>
      <c r="C6" s="56"/>
      <c r="E6" s="36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ht="14.25" customHeight="1">
      <c r="B7" s="47"/>
      <c r="C7" s="39"/>
    </row>
    <row r="8" ht="14.25" customHeight="1">
      <c r="C8" s="39"/>
    </row>
    <row r="9" ht="14.25" customHeight="1">
      <c r="C9" s="39"/>
      <c r="F9" s="61" t="s">
        <v>88</v>
      </c>
      <c r="G9" s="62"/>
      <c r="H9" s="63"/>
      <c r="M9" s="61" t="s">
        <v>91</v>
      </c>
      <c r="N9" s="62"/>
      <c r="O9" s="62"/>
      <c r="P9" s="62"/>
      <c r="Q9" s="63"/>
    </row>
    <row r="10" ht="14.25" customHeight="1">
      <c r="C10" s="39"/>
      <c r="F10" s="64"/>
      <c r="H10" s="65"/>
      <c r="M10" s="64"/>
      <c r="Q10" s="65"/>
    </row>
    <row r="11" ht="14.25" customHeight="1">
      <c r="C11" s="39"/>
      <c r="F11" s="64"/>
      <c r="H11" s="65"/>
      <c r="M11" s="64"/>
      <c r="Q11" s="65"/>
    </row>
    <row r="12" ht="14.25" customHeight="1">
      <c r="C12" s="39"/>
      <c r="F12" s="64"/>
      <c r="H12" s="65"/>
      <c r="M12" s="64"/>
      <c r="Q12" s="65"/>
    </row>
    <row r="13" ht="14.25" customHeight="1">
      <c r="C13" s="39"/>
      <c r="F13" s="64"/>
      <c r="H13" s="65"/>
      <c r="M13" s="64"/>
      <c r="Q13" s="65"/>
    </row>
    <row r="14" ht="14.25" customHeight="1">
      <c r="C14" s="39"/>
      <c r="F14" s="64"/>
      <c r="H14" s="65"/>
      <c r="M14" s="64"/>
      <c r="Q14" s="65"/>
    </row>
    <row r="15" ht="14.25" customHeight="1">
      <c r="C15" s="39"/>
      <c r="F15" s="64"/>
      <c r="H15" s="65"/>
      <c r="M15" s="64"/>
      <c r="Q15" s="65"/>
    </row>
    <row r="16" ht="14.25" customHeight="1">
      <c r="C16" s="39"/>
      <c r="F16" s="64"/>
      <c r="H16" s="65"/>
      <c r="M16" s="64"/>
      <c r="Q16" s="65"/>
    </row>
    <row r="17" ht="14.25" customHeight="1">
      <c r="C17" s="39"/>
      <c r="F17" s="64"/>
      <c r="H17" s="65"/>
      <c r="M17" s="64"/>
      <c r="Q17" s="65"/>
    </row>
    <row r="18" ht="14.25" customHeight="1">
      <c r="F18" s="67"/>
      <c r="G18" s="69"/>
      <c r="H18" s="70"/>
      <c r="M18" s="67"/>
      <c r="N18" s="69"/>
      <c r="O18" s="69"/>
      <c r="P18" s="69"/>
      <c r="Q18" s="70"/>
    </row>
    <row r="19" ht="14.25" customHeight="1"/>
    <row r="20" ht="14.25" customHeight="1"/>
    <row r="21" ht="14.25" customHeight="1"/>
    <row r="22" ht="14.25" customHeight="1">
      <c r="B22" s="72" t="s">
        <v>110</v>
      </c>
      <c r="C22" s="73"/>
      <c r="D22" s="73"/>
      <c r="E22" s="73"/>
      <c r="F22" s="73"/>
      <c r="G22" s="73"/>
      <c r="I22" s="74" t="s">
        <v>108</v>
      </c>
      <c r="J22" s="30"/>
      <c r="K22" s="30"/>
      <c r="L22" s="30"/>
      <c r="M22" s="30"/>
      <c r="N22" s="30"/>
      <c r="O22" s="30"/>
      <c r="P22" s="26"/>
      <c r="R22" s="75" t="s">
        <v>32</v>
      </c>
      <c r="S22" s="30"/>
      <c r="T22" s="30"/>
      <c r="U22" s="30"/>
      <c r="V22" s="30"/>
      <c r="W22" s="30"/>
      <c r="X22" s="30"/>
      <c r="Y22" s="26"/>
    </row>
    <row r="23" ht="14.25" customHeight="1"/>
    <row r="24" ht="14.25" customHeight="1">
      <c r="B24" s="76" t="s">
        <v>14</v>
      </c>
      <c r="R24" s="77"/>
    </row>
    <row r="25" ht="14.25" customHeight="1">
      <c r="A25" s="78"/>
      <c r="B25" s="79" t="s">
        <v>5</v>
      </c>
      <c r="C25" s="80" t="s">
        <v>121</v>
      </c>
      <c r="D25" s="81" t="s">
        <v>6</v>
      </c>
      <c r="E25" s="80" t="s">
        <v>122</v>
      </c>
      <c r="F25" s="80" t="s">
        <v>124</v>
      </c>
      <c r="G25" s="80" t="s">
        <v>125</v>
      </c>
      <c r="I25" s="81" t="s">
        <v>126</v>
      </c>
      <c r="J25" s="81" t="s">
        <v>6</v>
      </c>
      <c r="K25" s="82" t="s">
        <v>128</v>
      </c>
      <c r="L25" s="82" t="s">
        <v>129</v>
      </c>
      <c r="M25" s="81" t="s">
        <v>131</v>
      </c>
      <c r="N25" s="80" t="s">
        <v>122</v>
      </c>
      <c r="O25" s="80" t="s">
        <v>133</v>
      </c>
      <c r="P25" s="80" t="s">
        <v>125</v>
      </c>
      <c r="R25" s="81" t="s">
        <v>126</v>
      </c>
      <c r="S25" s="81" t="s">
        <v>6</v>
      </c>
      <c r="T25" s="82" t="s">
        <v>128</v>
      </c>
      <c r="U25" s="82" t="s">
        <v>129</v>
      </c>
      <c r="V25" s="81" t="s">
        <v>131</v>
      </c>
      <c r="W25" s="80" t="s">
        <v>122</v>
      </c>
      <c r="X25" s="80" t="s">
        <v>144</v>
      </c>
      <c r="Y25" s="80" t="s">
        <v>125</v>
      </c>
    </row>
    <row r="26" ht="14.25" customHeight="1">
      <c r="A26" s="83" t="s">
        <v>146</v>
      </c>
      <c r="B26" s="84" t="s">
        <v>14</v>
      </c>
      <c r="C26" s="85" t="s">
        <v>9</v>
      </c>
      <c r="D26" s="86">
        <f>VLOOKUP(C26,'Equipment Summary'!A:D,4,0)</f>
        <v>3</v>
      </c>
      <c r="E26" s="87">
        <f>VLOOKUP($A26,Ref_fuel!$B:$E,4,)</f>
        <v>187</v>
      </c>
      <c r="F26" s="88">
        <f>VLOOKUP(C26,'Equipment Summary'!A:E,5,0)</f>
        <v>920</v>
      </c>
      <c r="G26" s="89">
        <f>SUMPRODUCT(D26:D32,E26:E32)/SUMPRODUCT(D26:D32,F26:F32)</f>
        <v>0.1549654806</v>
      </c>
      <c r="I26" s="90" t="s">
        <v>152</v>
      </c>
      <c r="J26" s="86">
        <f>SUMIF('Equipment Summary'!$A$13:$A$54,$I26,'Equipment Summary'!$D$13:$D$54)</f>
        <v>3</v>
      </c>
      <c r="K26" s="86">
        <v>0.9</v>
      </c>
      <c r="L26" s="86">
        <v>0.53</v>
      </c>
      <c r="M26" s="91">
        <f t="shared" ref="M26:M39" si="1">K26*L26*24*360</f>
        <v>4121.28</v>
      </c>
      <c r="N26" s="92">
        <f>VLOOKUP($I26,Ref_fuel!$B:$E,4,)</f>
        <v>16</v>
      </c>
      <c r="O26" s="93">
        <f>1.05*86930000</f>
        <v>91276500</v>
      </c>
      <c r="P26" s="89">
        <f>SUMPRODUCT(M26:M33,N26:N33,J26:J33)/O26</f>
        <v>0.2199334427</v>
      </c>
      <c r="Q26" s="83" t="s">
        <v>185</v>
      </c>
      <c r="R26" s="90" t="s">
        <v>63</v>
      </c>
      <c r="S26" s="86">
        <f>SUMIF('Equipment Summary'!$A$13:$A$54,$R26,'Equipment Summary'!$D$13:$D$54)</f>
        <v>6</v>
      </c>
      <c r="T26" s="86">
        <v>0.9</v>
      </c>
      <c r="U26" s="86">
        <v>0.63</v>
      </c>
      <c r="V26" s="91">
        <f t="shared" ref="V26:V40" si="2">T26*U26*24*360</f>
        <v>4898.88</v>
      </c>
      <c r="W26" s="87">
        <f>VLOOKUP($Q26,Ref_fuel!$B:$E,4,)</f>
        <v>40</v>
      </c>
      <c r="X26" s="94">
        <f>O26</f>
        <v>91276500</v>
      </c>
      <c r="Y26" s="95" t="str">
        <f>SUMPRODUCT(S26:S40,V26:V40,W26:W40)/X26</f>
        <v>#REF!</v>
      </c>
    </row>
    <row r="27" ht="14.25" customHeight="1">
      <c r="A27" s="83" t="s">
        <v>193</v>
      </c>
      <c r="B27" s="96"/>
      <c r="C27" s="97" t="s">
        <v>25</v>
      </c>
      <c r="D27" s="86">
        <f>VLOOKUP(C27,'Equipment Summary'!A:D,4,0)</f>
        <v>18</v>
      </c>
      <c r="E27" s="87">
        <f>VLOOKUP($A27,Ref_fuel!$B:$E,4,)</f>
        <v>59</v>
      </c>
      <c r="F27" s="88">
        <f>VLOOKUP(C27,'Equipment Summary'!A:E,5,0)</f>
        <v>310</v>
      </c>
      <c r="G27" s="98"/>
      <c r="I27" s="90" t="s">
        <v>154</v>
      </c>
      <c r="J27" s="86">
        <f>SUMIF('Equipment Summary'!$A$13:$A$54,$I27,'Equipment Summary'!$D$13:$D$54)</f>
        <v>8</v>
      </c>
      <c r="K27" s="86">
        <v>0.9</v>
      </c>
      <c r="L27" s="86">
        <v>0.53</v>
      </c>
      <c r="M27" s="91">
        <f t="shared" si="1"/>
        <v>4121.28</v>
      </c>
      <c r="N27" s="92">
        <f>N28</f>
        <v>29</v>
      </c>
      <c r="O27" s="98"/>
      <c r="P27" s="98"/>
      <c r="Q27" s="83"/>
      <c r="R27" s="90" t="s">
        <v>201</v>
      </c>
      <c r="S27" s="86">
        <f>SUMIF('Equipment Summary'!$A$13:$A$54,$R27,'Equipment Summary'!$D$13:$D$54)</f>
        <v>0</v>
      </c>
      <c r="T27" s="86">
        <v>0.9</v>
      </c>
      <c r="U27" s="86">
        <v>0.63</v>
      </c>
      <c r="V27" s="91">
        <f t="shared" si="2"/>
        <v>4898.88</v>
      </c>
      <c r="W27" s="87" t="str">
        <f>VLOOKUP($R27,#REF!,5,)</f>
        <v>#REF!</v>
      </c>
      <c r="X27" s="98"/>
      <c r="Y27" s="98"/>
    </row>
    <row r="28" ht="14.25" customHeight="1">
      <c r="A28" s="83" t="s">
        <v>31</v>
      </c>
      <c r="B28" s="96"/>
      <c r="C28" s="97" t="s">
        <v>31</v>
      </c>
      <c r="D28" s="86">
        <f>VLOOKUP(C28,'Equipment Summary'!A:D,4,0)</f>
        <v>12</v>
      </c>
      <c r="E28" s="87">
        <f>VLOOKUP($A28,Ref_fuel!$B:$E,4,)</f>
        <v>64</v>
      </c>
      <c r="F28" s="88">
        <f>VLOOKUP(C28,'Equipment Summary'!A:E,5,0)</f>
        <v>320</v>
      </c>
      <c r="G28" s="98"/>
      <c r="I28" s="90" t="s">
        <v>158</v>
      </c>
      <c r="J28" s="86">
        <f>SUMIF('Equipment Summary'!$A$13:$A$54,$I28,'Equipment Summary'!$D$13:$D$54)</f>
        <v>4</v>
      </c>
      <c r="K28" s="86">
        <v>0.9</v>
      </c>
      <c r="L28" s="86">
        <v>0.53</v>
      </c>
      <c r="M28" s="91">
        <f t="shared" si="1"/>
        <v>4121.28</v>
      </c>
      <c r="N28" s="92">
        <f>VLOOKUP($I28,Ref_fuel!$B:$E,4,)</f>
        <v>29</v>
      </c>
      <c r="O28" s="98"/>
      <c r="P28" s="98"/>
      <c r="Q28" s="83" t="s">
        <v>201</v>
      </c>
      <c r="R28" s="90" t="s">
        <v>66</v>
      </c>
      <c r="S28" s="86">
        <f>SUMIF('Equipment Summary'!$A$13:$A$54,$R28,'Equipment Summary'!$D$13:$D$54)</f>
        <v>7</v>
      </c>
      <c r="T28" s="86">
        <v>0.9</v>
      </c>
      <c r="U28" s="86">
        <v>0.63</v>
      </c>
      <c r="V28" s="91">
        <f t="shared" si="2"/>
        <v>4898.88</v>
      </c>
      <c r="W28" s="87" t="str">
        <f t="shared" ref="W28:W30" si="3">VLOOKUP($Q28,#REF!,5,)</f>
        <v>#REF!</v>
      </c>
      <c r="X28" s="98"/>
      <c r="Y28" s="98"/>
    </row>
    <row r="29" ht="14.25" customHeight="1">
      <c r="A29" s="83" t="s">
        <v>233</v>
      </c>
      <c r="B29" s="96"/>
      <c r="C29" s="97" t="s">
        <v>35</v>
      </c>
      <c r="D29" s="86">
        <f>VLOOKUP(C29,'Equipment Summary'!A:D,4,0)</f>
        <v>18</v>
      </c>
      <c r="E29" s="87">
        <f>VLOOKUP($A29,Ref_fuel!$B:$E,4,)</f>
        <v>100</v>
      </c>
      <c r="F29" s="88">
        <f>VLOOKUP(C29,'Equipment Summary'!A:E,5,0)</f>
        <v>820</v>
      </c>
      <c r="G29" s="98"/>
      <c r="I29" s="90" t="s">
        <v>160</v>
      </c>
      <c r="J29" s="86">
        <f>SUMIF('Equipment Summary'!$A$13:$A$54,$I29,'Equipment Summary'!$D$13:$D$54)</f>
        <v>36</v>
      </c>
      <c r="K29" s="86">
        <v>0.9</v>
      </c>
      <c r="L29" s="86">
        <v>0.53</v>
      </c>
      <c r="M29" s="91">
        <f t="shared" si="1"/>
        <v>4121.28</v>
      </c>
      <c r="N29" s="92">
        <f>VLOOKUP($I29,Ref_fuel!$B:$E,4,)</f>
        <v>29</v>
      </c>
      <c r="O29" s="98"/>
      <c r="P29" s="98"/>
      <c r="Q29" s="83" t="s">
        <v>245</v>
      </c>
      <c r="R29" s="90" t="s">
        <v>69</v>
      </c>
      <c r="S29" s="86">
        <f>SUMIF('Equipment Summary'!$A$13:$A$54,$R29,'Equipment Summary'!$D$13:$D$54)</f>
        <v>9</v>
      </c>
      <c r="T29" s="86">
        <v>0.9</v>
      </c>
      <c r="U29" s="86">
        <v>0.63</v>
      </c>
      <c r="V29" s="91">
        <f t="shared" si="2"/>
        <v>4898.88</v>
      </c>
      <c r="W29" s="87" t="str">
        <f t="shared" si="3"/>
        <v>#REF!</v>
      </c>
      <c r="X29" s="98"/>
      <c r="Y29" s="98"/>
    </row>
    <row r="30" ht="14.25" customHeight="1">
      <c r="A30" s="83" t="s">
        <v>250</v>
      </c>
      <c r="B30" s="96"/>
      <c r="C30" s="97" t="s">
        <v>38</v>
      </c>
      <c r="D30" s="86">
        <f>VLOOKUP(C30,'Equipment Summary'!A:D,4,0)</f>
        <v>16</v>
      </c>
      <c r="E30" s="87">
        <f>VLOOKUP($A30,Ref_fuel!$B:$E,4,)</f>
        <v>100</v>
      </c>
      <c r="F30" s="88">
        <f>VLOOKUP(C30,'Equipment Summary'!A:E,5,0)</f>
        <v>480</v>
      </c>
      <c r="G30" s="98"/>
      <c r="I30" s="90" t="s">
        <v>166</v>
      </c>
      <c r="J30" s="86">
        <f>SUMIF('Equipment Summary'!$A$13:$A$54,$I30,'Equipment Summary'!$D$13:$D$54)</f>
        <v>10</v>
      </c>
      <c r="K30" s="86">
        <v>0.9</v>
      </c>
      <c r="L30" s="86">
        <v>0.53</v>
      </c>
      <c r="M30" s="91">
        <f t="shared" si="1"/>
        <v>4121.28</v>
      </c>
      <c r="N30" s="92">
        <f>N31</f>
        <v>67</v>
      </c>
      <c r="O30" s="98"/>
      <c r="P30" s="98"/>
      <c r="Q30" s="83" t="s">
        <v>261</v>
      </c>
      <c r="R30" s="90" t="s">
        <v>75</v>
      </c>
      <c r="S30" s="86">
        <f>SUMIF('Equipment Summary'!$A$13:$A$54,$R30,'Equipment Summary'!$D$13:$D$54)</f>
        <v>3</v>
      </c>
      <c r="T30" s="86">
        <v>0.9</v>
      </c>
      <c r="U30" s="86">
        <v>0.63</v>
      </c>
      <c r="V30" s="91">
        <f t="shared" si="2"/>
        <v>4898.88</v>
      </c>
      <c r="W30" s="87" t="str">
        <f t="shared" si="3"/>
        <v>#REF!</v>
      </c>
      <c r="X30" s="98"/>
      <c r="Y30" s="98"/>
    </row>
    <row r="31" ht="14.25" customHeight="1">
      <c r="A31" s="83" t="s">
        <v>268</v>
      </c>
      <c r="B31" s="96"/>
      <c r="C31" s="104" t="s">
        <v>42</v>
      </c>
      <c r="D31" s="86">
        <f>VLOOKUP(C31,'Equipment Summary'!A:D,4,0)</f>
        <v>2</v>
      </c>
      <c r="E31" s="87">
        <f>VLOOKUP($A31,Ref_fuel!$B:$E,4,)</f>
        <v>12</v>
      </c>
      <c r="F31" s="88">
        <f>VLOOKUP(C31,'Equipment Summary'!A:E,5,0)</f>
        <v>940</v>
      </c>
      <c r="G31" s="98"/>
      <c r="I31" s="90" t="s">
        <v>168</v>
      </c>
      <c r="J31" s="86">
        <f>SUMIF('Equipment Summary'!$A$13:$A$54,$I31,'Equipment Summary'!$D$13:$D$54)</f>
        <v>20</v>
      </c>
      <c r="K31" s="86">
        <v>0.9</v>
      </c>
      <c r="L31" s="86">
        <v>0.53</v>
      </c>
      <c r="M31" s="91">
        <f t="shared" si="1"/>
        <v>4121.28</v>
      </c>
      <c r="N31" s="92">
        <f>VLOOKUP($I31,Ref_fuel!$B:$E,4,)</f>
        <v>67</v>
      </c>
      <c r="O31" s="98"/>
      <c r="P31" s="98"/>
      <c r="Q31" s="83"/>
      <c r="R31" s="90" t="s">
        <v>78</v>
      </c>
      <c r="S31" s="86">
        <f>SUMIF('Equipment Summary'!$A$13:$A$54,$R31,'Equipment Summary'!$D$13:$D$54)</f>
        <v>40</v>
      </c>
      <c r="T31" s="86">
        <v>0.9</v>
      </c>
      <c r="U31" s="86">
        <v>0.63</v>
      </c>
      <c r="V31" s="91">
        <f t="shared" si="2"/>
        <v>4898.88</v>
      </c>
      <c r="W31" s="87" t="str">
        <f>W33</f>
        <v>#REF!</v>
      </c>
      <c r="X31" s="98"/>
      <c r="Y31" s="98"/>
    </row>
    <row r="32" ht="14.25" customHeight="1">
      <c r="A32" s="83" t="s">
        <v>280</v>
      </c>
      <c r="B32" s="96"/>
      <c r="C32" s="97" t="s">
        <v>47</v>
      </c>
      <c r="D32" s="86">
        <f>VLOOKUP(C32,'Equipment Summary'!A:D,4,0)</f>
        <v>1</v>
      </c>
      <c r="E32" s="87">
        <f>VLOOKUP($A32,Ref_fuel!$B:$E,4,)</f>
        <v>21</v>
      </c>
      <c r="F32" s="88">
        <f>VLOOKUP(C32,'Equipment Summary'!A:E,5,0)</f>
        <v>1160</v>
      </c>
      <c r="G32" s="98"/>
      <c r="I32" s="90" t="s">
        <v>287</v>
      </c>
      <c r="J32" s="86">
        <f>SUMIF('Equipment Summary'!$A$13:$A$54,$I32,'Equipment Summary'!$D$13:$D$54)</f>
        <v>0</v>
      </c>
      <c r="K32" s="86">
        <v>0.9</v>
      </c>
      <c r="L32" s="86">
        <v>0.53</v>
      </c>
      <c r="M32" s="91">
        <f t="shared" si="1"/>
        <v>4121.28</v>
      </c>
      <c r="N32" s="92">
        <f>VLOOKUP($I32,Ref_fuel!$B:$E,4,)</f>
        <v>27</v>
      </c>
      <c r="O32" s="98"/>
      <c r="P32" s="98"/>
      <c r="Q32" s="83" t="s">
        <v>57</v>
      </c>
      <c r="R32" s="90" t="s">
        <v>80</v>
      </c>
      <c r="S32" s="86">
        <f>SUMIF('Equipment Summary'!$A$13:$A$54,$R32,'Equipment Summary'!$D$13:$D$54)</f>
        <v>6</v>
      </c>
      <c r="T32" s="86">
        <v>0.9</v>
      </c>
      <c r="U32" s="86">
        <v>0.63</v>
      </c>
      <c r="V32" s="91">
        <f t="shared" si="2"/>
        <v>4898.88</v>
      </c>
      <c r="W32" s="87" t="str">
        <f t="shared" ref="W32:W34" si="4">VLOOKUP($Q32,#REF!,5,)</f>
        <v>#REF!</v>
      </c>
      <c r="X32" s="98"/>
      <c r="Y32" s="98"/>
    </row>
    <row r="33" ht="14.25" customHeight="1">
      <c r="A33" s="78" t="s">
        <v>42</v>
      </c>
      <c r="B33" s="96"/>
      <c r="C33" s="97"/>
      <c r="D33" s="86"/>
      <c r="E33" s="86"/>
      <c r="F33" s="88"/>
      <c r="G33" s="98"/>
      <c r="I33" s="90" t="s">
        <v>172</v>
      </c>
      <c r="J33" s="86">
        <f>SUMIF('Equipment Summary'!$A$13:$A$54,$I33,'Equipment Summary'!$D$13:$D$54)</f>
        <v>49</v>
      </c>
      <c r="K33" s="86">
        <v>0.9</v>
      </c>
      <c r="L33" s="86">
        <v>0.53</v>
      </c>
      <c r="M33" s="91">
        <f t="shared" si="1"/>
        <v>4121.28</v>
      </c>
      <c r="N33" s="92">
        <f>VLOOKUP($I33,Ref_fuel!$B:$E,4,)</f>
        <v>29</v>
      </c>
      <c r="O33" s="98"/>
      <c r="P33" s="98"/>
      <c r="Q33" s="83" t="s">
        <v>90</v>
      </c>
      <c r="R33" s="90" t="s">
        <v>83</v>
      </c>
      <c r="S33" s="86">
        <f>SUMIF('Equipment Summary'!$A$13:$A$54,$R33,'Equipment Summary'!$D$13:$D$54)</f>
        <v>30</v>
      </c>
      <c r="T33" s="86">
        <v>0.9</v>
      </c>
      <c r="U33" s="86">
        <v>0.63</v>
      </c>
      <c r="V33" s="91">
        <f t="shared" si="2"/>
        <v>4898.88</v>
      </c>
      <c r="W33" s="87" t="str">
        <f t="shared" si="4"/>
        <v>#REF!</v>
      </c>
      <c r="X33" s="98"/>
      <c r="Y33" s="98"/>
    </row>
    <row r="34" ht="14.25" customHeight="1">
      <c r="A34" s="78" t="s">
        <v>42</v>
      </c>
      <c r="B34" s="96"/>
      <c r="C34" s="97"/>
      <c r="D34" s="86"/>
      <c r="E34" s="86"/>
      <c r="F34" s="88"/>
      <c r="G34" s="98"/>
      <c r="I34" s="105" t="s">
        <v>116</v>
      </c>
      <c r="J34" s="86">
        <f>SUMIF('Equipment Summary'!$A$13:$A$54,$I34,'Equipment Summary'!$D$13:$D$54)</f>
        <v>20</v>
      </c>
      <c r="K34" s="86">
        <v>0.9</v>
      </c>
      <c r="L34" s="86">
        <v>0.53</v>
      </c>
      <c r="M34" s="91">
        <f t="shared" si="1"/>
        <v>4121.28</v>
      </c>
      <c r="N34" s="92">
        <f>VLOOKUP($I34,Ref_fuel!$B:$E,4,)</f>
        <v>44</v>
      </c>
      <c r="O34" s="98"/>
      <c r="P34" s="98"/>
      <c r="Q34" s="83" t="s">
        <v>90</v>
      </c>
      <c r="R34" s="90" t="s">
        <v>85</v>
      </c>
      <c r="S34" s="86">
        <f>SUMIF('Equipment Summary'!$A$13:$A$54,$R34,'Equipment Summary'!$D$13:$D$54)</f>
        <v>12</v>
      </c>
      <c r="T34" s="86">
        <v>0.9</v>
      </c>
      <c r="U34" s="86">
        <v>0.63</v>
      </c>
      <c r="V34" s="91">
        <f t="shared" si="2"/>
        <v>4898.88</v>
      </c>
      <c r="W34" s="87" t="str">
        <f t="shared" si="4"/>
        <v>#REF!</v>
      </c>
      <c r="X34" s="98"/>
      <c r="Y34" s="98"/>
    </row>
    <row r="35" ht="14.25" customHeight="1">
      <c r="A35" s="78" t="s">
        <v>305</v>
      </c>
      <c r="B35" s="96"/>
      <c r="C35" s="97"/>
      <c r="D35" s="86"/>
      <c r="E35" s="86"/>
      <c r="F35" s="88"/>
      <c r="G35" s="98"/>
      <c r="I35" s="105" t="s">
        <v>106</v>
      </c>
      <c r="J35" s="86">
        <f>SUMIF('Equipment Summary'!$A$13:$A$54,$I35,'Equipment Summary'!$D$13:$D$54)</f>
        <v>2</v>
      </c>
      <c r="K35" s="86">
        <v>0.9</v>
      </c>
      <c r="L35" s="86">
        <v>0.53</v>
      </c>
      <c r="M35" s="91">
        <f t="shared" si="1"/>
        <v>4121.28</v>
      </c>
      <c r="N35" s="92">
        <f>VLOOKUP($I35,Ref_fuel!$B:$E,4,)</f>
        <v>23</v>
      </c>
      <c r="O35" s="98"/>
      <c r="P35" s="98"/>
      <c r="Q35" s="83"/>
      <c r="R35" s="90" t="s">
        <v>90</v>
      </c>
      <c r="S35" s="86">
        <f>SUMIF('Equipment Summary'!$A$13:$A$54,$R35,'Equipment Summary'!$D$13:$D$54)</f>
        <v>6</v>
      </c>
      <c r="T35" s="86">
        <v>0.9</v>
      </c>
      <c r="U35" s="86">
        <v>0.63</v>
      </c>
      <c r="V35" s="91">
        <f t="shared" si="2"/>
        <v>4898.88</v>
      </c>
      <c r="W35" s="87" t="str">
        <f t="shared" ref="W35:W36" si="5">VLOOKUP($R35,#REF!,5,)</f>
        <v>#REF!</v>
      </c>
      <c r="X35" s="98"/>
      <c r="Y35" s="98"/>
    </row>
    <row r="36" ht="14.25" customHeight="1">
      <c r="A36" s="78" t="s">
        <v>305</v>
      </c>
      <c r="B36" s="96"/>
      <c r="C36" s="97"/>
      <c r="D36" s="86"/>
      <c r="E36" s="86"/>
      <c r="F36" s="88"/>
      <c r="G36" s="98"/>
      <c r="I36" s="105" t="s">
        <v>311</v>
      </c>
      <c r="J36" s="86">
        <f>SUMIF('Equipment Summary'!$A$13:$A$54,$I36,'Equipment Summary'!$D$13:$D$54)</f>
        <v>0</v>
      </c>
      <c r="K36" s="86">
        <v>0.9</v>
      </c>
      <c r="L36" s="86">
        <v>0.53</v>
      </c>
      <c r="M36" s="91">
        <f t="shared" si="1"/>
        <v>4121.28</v>
      </c>
      <c r="N36" s="92">
        <f>N37</f>
        <v>77</v>
      </c>
      <c r="O36" s="98"/>
      <c r="P36" s="98"/>
      <c r="Q36" s="83"/>
      <c r="R36" s="90" t="s">
        <v>94</v>
      </c>
      <c r="S36" s="86">
        <f>SUMIF('Equipment Summary'!$A$13:$A$54,$R36,'Equipment Summary'!$D$13:$D$54)</f>
        <v>20</v>
      </c>
      <c r="T36" s="86">
        <v>0.9</v>
      </c>
      <c r="U36" s="86">
        <v>0.63</v>
      </c>
      <c r="V36" s="91">
        <f t="shared" si="2"/>
        <v>4898.88</v>
      </c>
      <c r="W36" s="87" t="str">
        <f t="shared" si="5"/>
        <v>#REF!</v>
      </c>
      <c r="X36" s="98"/>
      <c r="Y36" s="98"/>
    </row>
    <row r="37" ht="14.25" customHeight="1">
      <c r="A37" s="78" t="s">
        <v>147</v>
      </c>
      <c r="B37" s="96"/>
      <c r="C37" s="97"/>
      <c r="D37" s="86"/>
      <c r="E37" s="86"/>
      <c r="F37" s="88"/>
      <c r="G37" s="98"/>
      <c r="I37" s="105" t="s">
        <v>118</v>
      </c>
      <c r="J37" s="86">
        <f>SUMIF('Equipment Summary'!$A$13:$A$54,$I37,'Equipment Summary'!$D$13:$D$54)</f>
        <v>22</v>
      </c>
      <c r="K37" s="86">
        <v>0.9</v>
      </c>
      <c r="L37" s="86">
        <v>0.53</v>
      </c>
      <c r="M37" s="91">
        <f t="shared" si="1"/>
        <v>4121.28</v>
      </c>
      <c r="N37" s="92">
        <f>VLOOKUP($I37,Ref_fuel!$B:$E,4,)</f>
        <v>77</v>
      </c>
      <c r="O37" s="98"/>
      <c r="P37" s="98"/>
      <c r="Q37" s="83" t="s">
        <v>97</v>
      </c>
      <c r="R37" s="90" t="s">
        <v>95</v>
      </c>
      <c r="S37" s="86">
        <f>SUMIF('Equipment Summary'!$A$13:$A$54,$R37,'Equipment Summary'!$D$13:$D$54)</f>
        <v>2</v>
      </c>
      <c r="T37" s="86">
        <v>0.9</v>
      </c>
      <c r="U37" s="86">
        <v>0.63</v>
      </c>
      <c r="V37" s="91">
        <f t="shared" si="2"/>
        <v>4898.88</v>
      </c>
      <c r="W37" s="87" t="str">
        <f>VLOOKUP($Q37,#REF!,5,)</f>
        <v>#REF!</v>
      </c>
      <c r="X37" s="98"/>
      <c r="Y37" s="98"/>
    </row>
    <row r="38" ht="14.25" customHeight="1">
      <c r="A38" s="78" t="s">
        <v>147</v>
      </c>
      <c r="B38" s="96"/>
      <c r="C38" s="97"/>
      <c r="D38" s="86"/>
      <c r="E38" s="86"/>
      <c r="F38" s="88"/>
      <c r="G38" s="98"/>
      <c r="I38" s="105" t="s">
        <v>123</v>
      </c>
      <c r="J38" s="86">
        <f>SUMIF('Equipment Summary'!$A$13:$A$54,$I38,'Equipment Summary'!$D$13:$D$54)</f>
        <v>6</v>
      </c>
      <c r="K38" s="86">
        <v>0.9</v>
      </c>
      <c r="L38" s="86">
        <v>0.53</v>
      </c>
      <c r="M38" s="91">
        <f t="shared" si="1"/>
        <v>4121.28</v>
      </c>
      <c r="N38" s="92">
        <f>VLOOKUP($I38,Ref_fuel!$B:$E,4,)</f>
        <v>26</v>
      </c>
      <c r="O38" s="98"/>
      <c r="P38" s="98"/>
      <c r="Q38" s="83"/>
      <c r="R38" s="90" t="s">
        <v>97</v>
      </c>
      <c r="S38" s="86">
        <f>SUMIF('Equipment Summary'!$A$13:$A$54,$R38,'Equipment Summary'!$D$13:$D$54)</f>
        <v>4</v>
      </c>
      <c r="T38" s="86">
        <v>0.9</v>
      </c>
      <c r="U38" s="86">
        <v>0.63</v>
      </c>
      <c r="V38" s="91">
        <f t="shared" si="2"/>
        <v>4898.88</v>
      </c>
      <c r="W38" s="87" t="str">
        <f t="shared" ref="W38:W39" si="6">VLOOKUP($R38,#REF!,5,)</f>
        <v>#REF!</v>
      </c>
      <c r="X38" s="98"/>
      <c r="Y38" s="98"/>
    </row>
    <row r="39" ht="14.25" customHeight="1">
      <c r="A39" s="78" t="s">
        <v>147</v>
      </c>
      <c r="B39" s="108"/>
      <c r="C39" s="97"/>
      <c r="D39" s="86"/>
      <c r="E39" s="86"/>
      <c r="F39" s="88"/>
      <c r="G39" s="109"/>
      <c r="I39" s="105" t="s">
        <v>120</v>
      </c>
      <c r="J39" s="86">
        <f>SUMIF('Equipment Summary'!$A$13:$A$54,$I39,'Equipment Summary'!$D$13:$D$54)</f>
        <v>3</v>
      </c>
      <c r="K39" s="86">
        <v>0.9</v>
      </c>
      <c r="L39" s="86">
        <v>0.53</v>
      </c>
      <c r="M39" s="91">
        <f t="shared" si="1"/>
        <v>4121.28</v>
      </c>
      <c r="N39" s="92">
        <f>N38</f>
        <v>26</v>
      </c>
      <c r="O39" s="109"/>
      <c r="P39" s="109"/>
      <c r="Q39" s="83"/>
      <c r="R39" s="90" t="s">
        <v>100</v>
      </c>
      <c r="S39" s="86">
        <f>SUMIF('Equipment Summary'!$A$13:$A$54,$R39,'Equipment Summary'!$D$13:$D$54)</f>
        <v>20</v>
      </c>
      <c r="T39" s="86">
        <v>0.9</v>
      </c>
      <c r="U39" s="86">
        <v>0.63</v>
      </c>
      <c r="V39" s="91">
        <f t="shared" si="2"/>
        <v>4898.88</v>
      </c>
      <c r="W39" s="87" t="str">
        <f t="shared" si="6"/>
        <v>#REF!</v>
      </c>
      <c r="X39" s="98"/>
      <c r="Y39" s="98"/>
    </row>
    <row r="40" ht="14.25" customHeight="1">
      <c r="A40" s="78"/>
      <c r="E40" s="110">
        <f>(E26*D26)/(F26*D26)</f>
        <v>0.2032608696</v>
      </c>
      <c r="N40" s="3"/>
      <c r="Q40" s="83" t="s">
        <v>104</v>
      </c>
      <c r="R40" s="90" t="s">
        <v>102</v>
      </c>
      <c r="S40" s="86">
        <f>SUMIF('Equipment Summary'!$A$13:$A$54,$R40,'Equipment Summary'!$D$13:$D$54)</f>
        <v>10</v>
      </c>
      <c r="T40" s="86">
        <v>0.9</v>
      </c>
      <c r="U40" s="86">
        <v>0.63</v>
      </c>
      <c r="V40" s="91">
        <f t="shared" si="2"/>
        <v>4898.88</v>
      </c>
      <c r="W40" s="87" t="str">
        <f>VLOOKUP($Q40,#REF!,5,)</f>
        <v>#REF!</v>
      </c>
      <c r="X40" s="109"/>
      <c r="Y40" s="109"/>
    </row>
    <row r="41" ht="14.25" customHeight="1">
      <c r="A41" s="78"/>
      <c r="B41" s="111" t="s">
        <v>349</v>
      </c>
      <c r="C41" s="30"/>
      <c r="D41" s="30"/>
      <c r="E41" s="30"/>
      <c r="F41" s="26"/>
      <c r="G41" s="112">
        <f>G26</f>
        <v>0.1549654806</v>
      </c>
      <c r="I41" s="111" t="s">
        <v>354</v>
      </c>
      <c r="J41" s="30"/>
      <c r="K41" s="30"/>
      <c r="L41" s="30"/>
      <c r="M41" s="30"/>
      <c r="N41" s="30"/>
      <c r="O41" s="26"/>
      <c r="P41" s="112">
        <f>P26</f>
        <v>0.2199334427</v>
      </c>
    </row>
    <row r="42" ht="14.25" customHeight="1">
      <c r="A42" s="78"/>
      <c r="I42" s="47"/>
      <c r="R42" s="111" t="s">
        <v>357</v>
      </c>
      <c r="S42" s="30"/>
      <c r="T42" s="30"/>
      <c r="U42" s="30"/>
      <c r="V42" s="30"/>
      <c r="W42" s="30"/>
      <c r="X42" s="26"/>
      <c r="Y42" s="112" t="str">
        <f>Y26</f>
        <v>#REF!</v>
      </c>
    </row>
    <row r="43" ht="14.25" customHeight="1">
      <c r="A43" s="78"/>
      <c r="Q43" s="83"/>
    </row>
    <row r="44" ht="14.25" customHeight="1">
      <c r="A44" s="78"/>
      <c r="B44" s="113" t="s">
        <v>362</v>
      </c>
      <c r="Q44" s="83"/>
    </row>
    <row r="45" ht="14.25" customHeight="1">
      <c r="A45" s="78"/>
      <c r="B45" s="79" t="s">
        <v>5</v>
      </c>
      <c r="C45" s="79" t="s">
        <v>121</v>
      </c>
      <c r="D45" s="81" t="s">
        <v>6</v>
      </c>
      <c r="E45" s="80" t="s">
        <v>122</v>
      </c>
      <c r="F45" s="80" t="s">
        <v>124</v>
      </c>
      <c r="G45" s="79" t="s">
        <v>125</v>
      </c>
    </row>
    <row r="46" ht="14.25" customHeight="1">
      <c r="A46" s="78" t="s">
        <v>113</v>
      </c>
      <c r="B46" s="84" t="s">
        <v>52</v>
      </c>
      <c r="C46" s="105" t="s">
        <v>49</v>
      </c>
      <c r="D46" s="86">
        <f>VLOOKUP(C46,'Equipment Summary'!A:D,4,0)</f>
        <v>400</v>
      </c>
      <c r="E46" s="114">
        <f>VLOOKUP($C46,Ref_fuel!$B:$E,4,)</f>
        <v>77</v>
      </c>
      <c r="F46" s="115">
        <f>'Ref_Prodty Hauler per 100mtr'!Q40</f>
        <v>109.5652174</v>
      </c>
      <c r="G46" s="116">
        <f>SUMPRODUCT(D46:D51,E46:E51)/SUMPRODUCT(D46:D51,F46:F51)</f>
        <v>0.7027777778</v>
      </c>
      <c r="Q46" s="83"/>
    </row>
    <row r="47" ht="14.25" customHeight="1">
      <c r="A47" s="78" t="s">
        <v>113</v>
      </c>
      <c r="B47" s="96"/>
      <c r="C47" s="105" t="s">
        <v>59</v>
      </c>
      <c r="D47" s="86">
        <f>VLOOKUP(C47,'Equipment Summary'!A:D,4,0)</f>
        <v>15</v>
      </c>
      <c r="E47" s="114">
        <f>VLOOKUP($C47,Ref_fuel!$B:$E,4,)</f>
        <v>77</v>
      </c>
      <c r="F47" s="115">
        <f>F46</f>
        <v>109.5652174</v>
      </c>
      <c r="G47" s="96"/>
      <c r="Q47" s="83"/>
    </row>
    <row r="48" ht="14.25" customHeight="1">
      <c r="A48" s="78" t="s">
        <v>105</v>
      </c>
      <c r="B48" s="96"/>
      <c r="C48" s="105"/>
      <c r="D48" s="117"/>
      <c r="E48" s="118"/>
      <c r="F48" s="115"/>
      <c r="G48" s="96"/>
    </row>
    <row r="49" ht="14.25" customHeight="1">
      <c r="A49" s="78" t="s">
        <v>105</v>
      </c>
      <c r="B49" s="96"/>
      <c r="C49" s="105"/>
      <c r="D49" s="117"/>
      <c r="E49" s="119"/>
      <c r="F49" s="115"/>
      <c r="G49" s="96"/>
      <c r="Q49" s="83"/>
      <c r="V49" s="120"/>
    </row>
    <row r="50" ht="14.25" customHeight="1">
      <c r="A50" s="78"/>
      <c r="B50" s="96"/>
      <c r="C50" s="105"/>
      <c r="D50" s="117"/>
      <c r="E50" s="119"/>
      <c r="F50" s="115"/>
      <c r="G50" s="96"/>
    </row>
    <row r="51" ht="14.25" customHeight="1">
      <c r="A51" s="78"/>
      <c r="B51" s="108"/>
      <c r="C51" s="105"/>
      <c r="D51" s="117"/>
      <c r="E51" s="119"/>
      <c r="F51" s="115"/>
      <c r="G51" s="108"/>
    </row>
    <row r="52" ht="14.25" customHeight="1">
      <c r="B52" s="121"/>
    </row>
    <row r="53" ht="14.25" customHeight="1">
      <c r="B53" s="111" t="s">
        <v>379</v>
      </c>
      <c r="C53" s="30"/>
      <c r="D53" s="30"/>
      <c r="E53" s="30"/>
      <c r="F53" s="26"/>
      <c r="G53" s="112">
        <f>G46</f>
        <v>0.7027777778</v>
      </c>
    </row>
    <row r="54" ht="14.25" customHeight="1"/>
    <row r="55" ht="14.25" customHeight="1"/>
    <row r="56" ht="14.25" customHeight="1"/>
    <row r="57" ht="14.25" customHeight="1"/>
    <row r="58" ht="14.25" customHeight="1">
      <c r="B58" s="12" t="s">
        <v>381</v>
      </c>
    </row>
    <row r="59" ht="14.25" customHeight="1"/>
    <row r="60" ht="14.25" customHeight="1">
      <c r="B60" s="122" t="s">
        <v>382</v>
      </c>
    </row>
    <row r="61" ht="14.25" customHeight="1">
      <c r="B61" s="122" t="s">
        <v>383</v>
      </c>
      <c r="C61" s="22"/>
    </row>
    <row r="62" ht="14.25" customHeight="1">
      <c r="B62" s="122" t="s">
        <v>385</v>
      </c>
      <c r="C62" s="22"/>
    </row>
    <row r="63" ht="14.25" customHeight="1">
      <c r="C63" s="22"/>
    </row>
    <row r="64" ht="14.25" customHeight="1">
      <c r="C64" s="39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3:C3"/>
    <mergeCell ref="H3:I3"/>
    <mergeCell ref="J3:M3"/>
    <mergeCell ref="Q3:S3"/>
    <mergeCell ref="H5:I5"/>
    <mergeCell ref="J5:M5"/>
    <mergeCell ref="F9:H9"/>
    <mergeCell ref="P26:P39"/>
    <mergeCell ref="X26:X40"/>
    <mergeCell ref="Y26:Y40"/>
    <mergeCell ref="R42:X42"/>
    <mergeCell ref="B41:F41"/>
    <mergeCell ref="I41:O41"/>
    <mergeCell ref="B44:G44"/>
    <mergeCell ref="B46:B51"/>
    <mergeCell ref="G46:G51"/>
    <mergeCell ref="B53:F53"/>
    <mergeCell ref="M9:Q9"/>
    <mergeCell ref="I22:P22"/>
    <mergeCell ref="R22:Y22"/>
    <mergeCell ref="B24:G24"/>
    <mergeCell ref="B26:B39"/>
    <mergeCell ref="G26:G39"/>
    <mergeCell ref="O26:O39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2.63" defaultRowHeight="15.0"/>
  <cols>
    <col customWidth="1" min="1" max="1" width="13.88"/>
    <col customWidth="1" min="2" max="3" width="17.88"/>
    <col customWidth="1" min="4" max="4" width="8.38"/>
    <col customWidth="1" min="5" max="5" width="23.5"/>
    <col customWidth="1" min="6" max="26" width="8.63"/>
  </cols>
  <sheetData>
    <row r="1" ht="14.25" customHeight="1">
      <c r="A1" s="1" t="s">
        <v>0</v>
      </c>
    </row>
    <row r="2" ht="14.25" customHeight="1"/>
    <row r="3" ht="14.25" customHeight="1">
      <c r="A3" s="8" t="s">
        <v>1</v>
      </c>
      <c r="B3" s="8" t="s">
        <v>4</v>
      </c>
      <c r="C3" s="8" t="s">
        <v>5</v>
      </c>
      <c r="D3" s="8" t="s">
        <v>6</v>
      </c>
      <c r="E3" s="8" t="s">
        <v>7</v>
      </c>
    </row>
    <row r="4" ht="14.25" customHeight="1">
      <c r="A4" s="13" t="s">
        <v>9</v>
      </c>
      <c r="B4" s="13" t="s">
        <v>13</v>
      </c>
      <c r="C4" s="13" t="s">
        <v>14</v>
      </c>
      <c r="D4" s="13">
        <v>3.0</v>
      </c>
      <c r="E4" s="19">
        <v>920.0</v>
      </c>
      <c r="F4" s="22"/>
    </row>
    <row r="5" ht="14.25" customHeight="1">
      <c r="A5" s="13" t="s">
        <v>25</v>
      </c>
      <c r="B5" s="13" t="s">
        <v>13</v>
      </c>
      <c r="C5" s="13" t="s">
        <v>14</v>
      </c>
      <c r="D5" s="13">
        <v>18.0</v>
      </c>
      <c r="E5" s="19">
        <v>310.0</v>
      </c>
    </row>
    <row r="6" ht="14.25" customHeight="1">
      <c r="A6" s="13" t="s">
        <v>31</v>
      </c>
      <c r="B6" s="13" t="s">
        <v>13</v>
      </c>
      <c r="C6" s="13" t="s">
        <v>14</v>
      </c>
      <c r="D6" s="13">
        <v>12.0</v>
      </c>
      <c r="E6" s="19">
        <v>320.0</v>
      </c>
      <c r="F6" s="22"/>
    </row>
    <row r="7" ht="14.25" customHeight="1">
      <c r="A7" s="13" t="s">
        <v>35</v>
      </c>
      <c r="B7" s="13" t="s">
        <v>13</v>
      </c>
      <c r="C7" s="13" t="s">
        <v>14</v>
      </c>
      <c r="D7" s="13">
        <v>18.0</v>
      </c>
      <c r="E7" s="19">
        <v>820.0</v>
      </c>
    </row>
    <row r="8" ht="14.25" customHeight="1">
      <c r="A8" s="13" t="s">
        <v>38</v>
      </c>
      <c r="B8" s="13" t="s">
        <v>13</v>
      </c>
      <c r="C8" s="13" t="s">
        <v>14</v>
      </c>
      <c r="D8" s="13">
        <v>16.0</v>
      </c>
      <c r="E8" s="19">
        <v>480.0</v>
      </c>
    </row>
    <row r="9" ht="14.25" customHeight="1">
      <c r="A9" s="13" t="s">
        <v>42</v>
      </c>
      <c r="B9" s="13" t="s">
        <v>13</v>
      </c>
      <c r="C9" s="13" t="s">
        <v>14</v>
      </c>
      <c r="D9" s="13">
        <v>2.0</v>
      </c>
      <c r="E9" s="19">
        <v>940.0</v>
      </c>
    </row>
    <row r="10" ht="14.25" customHeight="1">
      <c r="A10" s="13" t="s">
        <v>47</v>
      </c>
      <c r="B10" s="13" t="s">
        <v>13</v>
      </c>
      <c r="C10" s="13" t="s">
        <v>14</v>
      </c>
      <c r="D10" s="13">
        <v>1.0</v>
      </c>
      <c r="E10" s="19">
        <v>1160.0</v>
      </c>
    </row>
    <row r="11" ht="14.25" customHeight="1">
      <c r="A11" s="13" t="s">
        <v>49</v>
      </c>
      <c r="B11" s="13" t="s">
        <v>50</v>
      </c>
      <c r="C11" s="13" t="s">
        <v>52</v>
      </c>
      <c r="D11" s="13">
        <v>400.0</v>
      </c>
      <c r="E11" s="44">
        <f>E12</f>
        <v>109.5652174</v>
      </c>
      <c r="F11" s="45" t="s">
        <v>58</v>
      </c>
    </row>
    <row r="12" ht="14.25" customHeight="1">
      <c r="A12" s="13" t="s">
        <v>59</v>
      </c>
      <c r="B12" s="13" t="s">
        <v>50</v>
      </c>
      <c r="C12" s="13" t="s">
        <v>52</v>
      </c>
      <c r="D12" s="13">
        <v>15.0</v>
      </c>
      <c r="E12" s="44">
        <f>'Ref_Prodty Hauler per 100mtr'!Q40</f>
        <v>109.5652174</v>
      </c>
      <c r="F12" s="45" t="s">
        <v>58</v>
      </c>
    </row>
    <row r="13" ht="14.25" customHeight="1">
      <c r="A13" s="13" t="s">
        <v>63</v>
      </c>
      <c r="B13" s="13" t="s">
        <v>53</v>
      </c>
      <c r="C13" s="13" t="s">
        <v>32</v>
      </c>
      <c r="D13" s="13">
        <v>6.0</v>
      </c>
      <c r="E13" s="19"/>
    </row>
    <row r="14" ht="14.25" customHeight="1">
      <c r="A14" s="13" t="s">
        <v>65</v>
      </c>
      <c r="B14" s="13" t="s">
        <v>53</v>
      </c>
      <c r="C14" s="13" t="s">
        <v>32</v>
      </c>
      <c r="D14" s="13">
        <v>2.0</v>
      </c>
      <c r="E14" s="19"/>
    </row>
    <row r="15" ht="14.25" customHeight="1">
      <c r="A15" s="13" t="s">
        <v>66</v>
      </c>
      <c r="B15" s="13" t="s">
        <v>53</v>
      </c>
      <c r="C15" s="13" t="s">
        <v>32</v>
      </c>
      <c r="D15" s="13">
        <v>7.0</v>
      </c>
      <c r="E15" s="19"/>
    </row>
    <row r="16" ht="14.25" customHeight="1">
      <c r="A16" s="13" t="s">
        <v>69</v>
      </c>
      <c r="B16" s="13" t="s">
        <v>53</v>
      </c>
      <c r="C16" s="13" t="s">
        <v>32</v>
      </c>
      <c r="D16" s="13">
        <v>9.0</v>
      </c>
      <c r="E16" s="19"/>
    </row>
    <row r="17" ht="14.25" customHeight="1">
      <c r="A17" s="13" t="s">
        <v>75</v>
      </c>
      <c r="B17" s="13" t="s">
        <v>53</v>
      </c>
      <c r="C17" s="13" t="s">
        <v>32</v>
      </c>
      <c r="D17" s="13">
        <v>3.0</v>
      </c>
      <c r="E17" s="19" t="s">
        <v>77</v>
      </c>
    </row>
    <row r="18" ht="14.25" customHeight="1">
      <c r="A18" s="13" t="s">
        <v>78</v>
      </c>
      <c r="B18" s="13" t="s">
        <v>53</v>
      </c>
      <c r="C18" s="13" t="s">
        <v>32</v>
      </c>
      <c r="D18" s="13">
        <v>40.0</v>
      </c>
      <c r="E18" s="19"/>
    </row>
    <row r="19" ht="14.25" customHeight="1">
      <c r="A19" s="13" t="s">
        <v>80</v>
      </c>
      <c r="B19" s="13" t="s">
        <v>53</v>
      </c>
      <c r="C19" s="13" t="s">
        <v>32</v>
      </c>
      <c r="D19" s="13">
        <v>6.0</v>
      </c>
      <c r="E19" s="19"/>
    </row>
    <row r="20" ht="14.25" customHeight="1">
      <c r="A20" s="13" t="s">
        <v>83</v>
      </c>
      <c r="B20" s="13" t="s">
        <v>53</v>
      </c>
      <c r="C20" s="13" t="s">
        <v>32</v>
      </c>
      <c r="D20" s="13">
        <v>30.0</v>
      </c>
      <c r="E20" s="19"/>
    </row>
    <row r="21" ht="14.25" customHeight="1">
      <c r="A21" s="13" t="s">
        <v>85</v>
      </c>
      <c r="B21" s="13" t="s">
        <v>53</v>
      </c>
      <c r="C21" s="13" t="s">
        <v>32</v>
      </c>
      <c r="D21" s="13">
        <v>12.0</v>
      </c>
      <c r="E21" s="19"/>
    </row>
    <row r="22" ht="14.25" customHeight="1">
      <c r="A22" s="13" t="s">
        <v>87</v>
      </c>
      <c r="B22" s="13" t="s">
        <v>53</v>
      </c>
      <c r="C22" s="13" t="s">
        <v>32</v>
      </c>
      <c r="D22" s="13">
        <v>3.0</v>
      </c>
      <c r="E22" s="19" t="s">
        <v>77</v>
      </c>
    </row>
    <row r="23" ht="14.25" customHeight="1">
      <c r="A23" s="13" t="s">
        <v>90</v>
      </c>
      <c r="B23" s="13" t="s">
        <v>53</v>
      </c>
      <c r="C23" s="13" t="s">
        <v>32</v>
      </c>
      <c r="D23" s="13">
        <v>6.0</v>
      </c>
      <c r="E23" s="19"/>
    </row>
    <row r="24" ht="14.25" customHeight="1">
      <c r="A24" s="13" t="s">
        <v>94</v>
      </c>
      <c r="B24" s="13" t="s">
        <v>53</v>
      </c>
      <c r="C24" s="13" t="s">
        <v>32</v>
      </c>
      <c r="D24" s="13">
        <v>20.0</v>
      </c>
      <c r="E24" s="19"/>
    </row>
    <row r="25" ht="14.25" customHeight="1">
      <c r="A25" s="13" t="s">
        <v>95</v>
      </c>
      <c r="B25" s="13" t="s">
        <v>53</v>
      </c>
      <c r="C25" s="13" t="s">
        <v>32</v>
      </c>
      <c r="D25" s="13">
        <v>2.0</v>
      </c>
      <c r="E25" s="19" t="s">
        <v>77</v>
      </c>
    </row>
    <row r="26" ht="14.25" customHeight="1">
      <c r="A26" s="13" t="s">
        <v>97</v>
      </c>
      <c r="B26" s="13" t="s">
        <v>53</v>
      </c>
      <c r="C26" s="13" t="s">
        <v>32</v>
      </c>
      <c r="D26" s="13">
        <v>4.0</v>
      </c>
      <c r="E26" s="19" t="s">
        <v>77</v>
      </c>
    </row>
    <row r="27" ht="14.25" customHeight="1">
      <c r="A27" s="13" t="s">
        <v>100</v>
      </c>
      <c r="B27" s="13" t="s">
        <v>53</v>
      </c>
      <c r="C27" s="13" t="s">
        <v>32</v>
      </c>
      <c r="D27" s="13">
        <v>20.0</v>
      </c>
      <c r="E27" s="19"/>
    </row>
    <row r="28" ht="14.25" customHeight="1">
      <c r="A28" s="13" t="s">
        <v>102</v>
      </c>
      <c r="B28" s="13" t="s">
        <v>53</v>
      </c>
      <c r="C28" s="13" t="s">
        <v>32</v>
      </c>
      <c r="D28" s="13">
        <v>10.0</v>
      </c>
      <c r="E28" s="19"/>
    </row>
    <row r="29" ht="14.25" customHeight="1">
      <c r="A29" s="13" t="s">
        <v>104</v>
      </c>
      <c r="B29" s="13" t="s">
        <v>53</v>
      </c>
      <c r="C29" s="13" t="s">
        <v>32</v>
      </c>
      <c r="D29" s="13">
        <v>5.0</v>
      </c>
      <c r="E29" s="19"/>
    </row>
    <row r="30" ht="14.25" customHeight="1">
      <c r="A30" s="13" t="s">
        <v>106</v>
      </c>
      <c r="B30" s="13" t="s">
        <v>107</v>
      </c>
      <c r="C30" s="13" t="s">
        <v>108</v>
      </c>
      <c r="D30" s="13">
        <v>2.0</v>
      </c>
      <c r="E30" s="19"/>
    </row>
    <row r="31" ht="14.25" customHeight="1">
      <c r="A31" s="13" t="s">
        <v>111</v>
      </c>
      <c r="B31" s="13" t="s">
        <v>112</v>
      </c>
      <c r="C31" s="13" t="s">
        <v>108</v>
      </c>
      <c r="D31" s="13">
        <v>2.0</v>
      </c>
      <c r="E31" s="19" t="s">
        <v>77</v>
      </c>
      <c r="F31" s="22"/>
    </row>
    <row r="32" ht="14.25" customHeight="1">
      <c r="A32" s="13" t="s">
        <v>114</v>
      </c>
      <c r="B32" s="13" t="s">
        <v>112</v>
      </c>
      <c r="C32" s="13" t="s">
        <v>108</v>
      </c>
      <c r="D32" s="13">
        <v>1.0</v>
      </c>
      <c r="E32" s="19" t="s">
        <v>77</v>
      </c>
      <c r="F32" s="22"/>
    </row>
    <row r="33" ht="14.25" customHeight="1">
      <c r="A33" s="13" t="s">
        <v>116</v>
      </c>
      <c r="B33" s="13" t="s">
        <v>112</v>
      </c>
      <c r="C33" s="13" t="s">
        <v>108</v>
      </c>
      <c r="D33" s="13">
        <v>20.0</v>
      </c>
      <c r="E33" s="19"/>
      <c r="F33" s="22"/>
    </row>
    <row r="34" ht="14.25" customHeight="1">
      <c r="A34" s="13" t="s">
        <v>118</v>
      </c>
      <c r="B34" s="13" t="s">
        <v>107</v>
      </c>
      <c r="C34" s="13" t="s">
        <v>108</v>
      </c>
      <c r="D34" s="13">
        <v>22.0</v>
      </c>
      <c r="E34" s="19"/>
      <c r="F34" s="22"/>
    </row>
    <row r="35" ht="14.25" customHeight="1">
      <c r="A35" s="13" t="s">
        <v>120</v>
      </c>
      <c r="B35" s="13" t="s">
        <v>107</v>
      </c>
      <c r="C35" s="13" t="s">
        <v>108</v>
      </c>
      <c r="D35" s="13">
        <v>3.0</v>
      </c>
      <c r="E35" s="19"/>
      <c r="F35" s="22"/>
    </row>
    <row r="36" ht="14.25" customHeight="1">
      <c r="A36" s="13" t="s">
        <v>123</v>
      </c>
      <c r="B36" s="13" t="s">
        <v>107</v>
      </c>
      <c r="C36" s="13" t="s">
        <v>108</v>
      </c>
      <c r="D36" s="13">
        <v>6.0</v>
      </c>
      <c r="E36" s="19"/>
      <c r="F36" s="22"/>
    </row>
    <row r="37" ht="14.25" customHeight="1">
      <c r="A37" s="13" t="s">
        <v>127</v>
      </c>
      <c r="B37" s="13" t="s">
        <v>112</v>
      </c>
      <c r="C37" s="13" t="s">
        <v>108</v>
      </c>
      <c r="D37" s="13">
        <v>3.0</v>
      </c>
      <c r="E37" s="19"/>
    </row>
    <row r="38" ht="14.25" customHeight="1">
      <c r="A38" s="13" t="s">
        <v>132</v>
      </c>
      <c r="B38" s="13" t="s">
        <v>112</v>
      </c>
      <c r="C38" s="13" t="s">
        <v>108</v>
      </c>
      <c r="D38" s="13">
        <v>3.0</v>
      </c>
      <c r="E38" s="19"/>
    </row>
    <row r="39" ht="14.25" customHeight="1">
      <c r="A39" s="13" t="s">
        <v>134</v>
      </c>
      <c r="B39" s="13" t="s">
        <v>135</v>
      </c>
      <c r="C39" s="13" t="s">
        <v>108</v>
      </c>
      <c r="D39" s="13">
        <v>9.0</v>
      </c>
      <c r="E39" s="19"/>
    </row>
    <row r="40" ht="14.25" customHeight="1">
      <c r="A40" s="13" t="s">
        <v>137</v>
      </c>
      <c r="B40" s="13" t="s">
        <v>135</v>
      </c>
      <c r="C40" s="13" t="s">
        <v>108</v>
      </c>
      <c r="D40" s="13">
        <v>61.0</v>
      </c>
      <c r="E40" s="19"/>
    </row>
    <row r="41" ht="14.25" customHeight="1">
      <c r="A41" s="13" t="s">
        <v>139</v>
      </c>
      <c r="B41" s="13" t="s">
        <v>141</v>
      </c>
      <c r="C41" s="13" t="s">
        <v>108</v>
      </c>
      <c r="D41" s="13">
        <v>3.0</v>
      </c>
      <c r="E41" s="19"/>
    </row>
    <row r="42" ht="14.25" customHeight="1">
      <c r="A42" s="13" t="s">
        <v>142</v>
      </c>
      <c r="B42" s="13" t="s">
        <v>141</v>
      </c>
      <c r="C42" s="13" t="s">
        <v>108</v>
      </c>
      <c r="D42" s="13">
        <v>6.0</v>
      </c>
      <c r="E42" s="19"/>
    </row>
    <row r="43" ht="14.25" customHeight="1">
      <c r="A43" s="13" t="s">
        <v>143</v>
      </c>
      <c r="B43" s="13" t="s">
        <v>145</v>
      </c>
      <c r="C43" s="13" t="s">
        <v>108</v>
      </c>
      <c r="D43" s="13">
        <v>2.0</v>
      </c>
      <c r="E43" s="19"/>
    </row>
    <row r="44" ht="14.25" customHeight="1">
      <c r="A44" s="13" t="s">
        <v>147</v>
      </c>
      <c r="B44" s="13" t="s">
        <v>148</v>
      </c>
      <c r="C44" s="13" t="s">
        <v>108</v>
      </c>
      <c r="D44" s="13">
        <v>1.0</v>
      </c>
      <c r="E44" s="19"/>
    </row>
    <row r="45" ht="14.25" customHeight="1">
      <c r="A45" s="13" t="s">
        <v>149</v>
      </c>
      <c r="B45" s="13" t="s">
        <v>148</v>
      </c>
      <c r="C45" s="13" t="s">
        <v>108</v>
      </c>
      <c r="D45" s="13">
        <v>2.0</v>
      </c>
      <c r="E45" s="19"/>
    </row>
    <row r="46" ht="14.25" customHeight="1">
      <c r="A46" s="13" t="s">
        <v>152</v>
      </c>
      <c r="B46" s="13" t="s">
        <v>153</v>
      </c>
      <c r="C46" s="13" t="s">
        <v>108</v>
      </c>
      <c r="D46" s="13">
        <v>3.0</v>
      </c>
      <c r="E46" s="19"/>
    </row>
    <row r="47" ht="14.25" customHeight="1">
      <c r="A47" s="13" t="s">
        <v>154</v>
      </c>
      <c r="B47" s="13" t="s">
        <v>155</v>
      </c>
      <c r="C47" s="13" t="s">
        <v>108</v>
      </c>
      <c r="D47" s="13">
        <v>8.0</v>
      </c>
      <c r="E47" s="19"/>
    </row>
    <row r="48" ht="14.25" customHeight="1">
      <c r="A48" s="13" t="s">
        <v>158</v>
      </c>
      <c r="B48" s="13" t="s">
        <v>159</v>
      </c>
      <c r="C48" s="13" t="s">
        <v>108</v>
      </c>
      <c r="D48" s="13">
        <v>4.0</v>
      </c>
      <c r="E48" s="19"/>
    </row>
    <row r="49" ht="14.25" customHeight="1">
      <c r="A49" s="13" t="s">
        <v>160</v>
      </c>
      <c r="B49" s="13" t="s">
        <v>161</v>
      </c>
      <c r="C49" s="13" t="s">
        <v>108</v>
      </c>
      <c r="D49" s="13">
        <v>36.0</v>
      </c>
      <c r="E49" s="19"/>
    </row>
    <row r="50" ht="14.25" customHeight="1">
      <c r="A50" s="13" t="s">
        <v>163</v>
      </c>
      <c r="B50" s="13" t="s">
        <v>155</v>
      </c>
      <c r="C50" s="13" t="s">
        <v>108</v>
      </c>
      <c r="D50" s="13">
        <v>9.0</v>
      </c>
      <c r="E50" s="19"/>
    </row>
    <row r="51" ht="14.25" customHeight="1">
      <c r="A51" s="13" t="s">
        <v>166</v>
      </c>
      <c r="B51" s="13" t="s">
        <v>155</v>
      </c>
      <c r="C51" s="13" t="s">
        <v>108</v>
      </c>
      <c r="D51" s="13">
        <v>10.0</v>
      </c>
      <c r="E51" s="19"/>
    </row>
    <row r="52" ht="14.25" customHeight="1">
      <c r="A52" s="13" t="s">
        <v>168</v>
      </c>
      <c r="B52" s="13" t="s">
        <v>161</v>
      </c>
      <c r="C52" s="13" t="s">
        <v>108</v>
      </c>
      <c r="D52" s="13">
        <v>20.0</v>
      </c>
      <c r="E52" s="19"/>
    </row>
    <row r="53" ht="14.25" customHeight="1">
      <c r="A53" s="13" t="s">
        <v>169</v>
      </c>
      <c r="B53" s="13" t="s">
        <v>159</v>
      </c>
      <c r="C53" s="13" t="s">
        <v>108</v>
      </c>
      <c r="D53" s="13">
        <v>3.0</v>
      </c>
      <c r="E53" s="19" t="s">
        <v>77</v>
      </c>
    </row>
    <row r="54" ht="14.25" customHeight="1">
      <c r="A54" s="13" t="s">
        <v>172</v>
      </c>
      <c r="B54" s="13" t="s">
        <v>153</v>
      </c>
      <c r="C54" s="13" t="s">
        <v>108</v>
      </c>
      <c r="D54" s="13">
        <v>49.0</v>
      </c>
      <c r="E54" s="19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9.38"/>
    <col customWidth="1" min="3" max="3" width="8.13"/>
    <col customWidth="1" min="4" max="4" width="9.5"/>
    <col customWidth="1" min="5" max="5" width="9.13"/>
    <col customWidth="1" min="6" max="6" width="7.63"/>
    <col customWidth="1" min="7" max="7" width="6.63"/>
    <col customWidth="1" min="8" max="8" width="6.5"/>
    <col customWidth="1" min="9" max="9" width="6.63"/>
    <col customWidth="1" min="10" max="10" width="7.0"/>
    <col customWidth="1" min="11" max="12" width="5.75"/>
    <col customWidth="1" min="13" max="13" width="6.25"/>
    <col customWidth="1" min="14" max="14" width="6.88"/>
    <col customWidth="1" min="15" max="15" width="10.5"/>
    <col customWidth="1" min="16" max="16" width="6.5"/>
    <col customWidth="1" min="17" max="17" width="8.88"/>
    <col customWidth="1" min="18" max="19" width="9.13"/>
    <col customWidth="1" min="20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4.25" customHeight="1">
      <c r="A2" s="6"/>
      <c r="B2" s="9" t="s">
        <v>2</v>
      </c>
      <c r="C2" s="11" t="s">
        <v>8</v>
      </c>
      <c r="D2" s="11" t="s">
        <v>10</v>
      </c>
      <c r="E2" s="11"/>
      <c r="F2" s="11" t="s">
        <v>11</v>
      </c>
      <c r="G2" s="14" t="s">
        <v>12</v>
      </c>
      <c r="H2" s="14"/>
      <c r="I2" s="14" t="s">
        <v>12</v>
      </c>
      <c r="J2" s="11"/>
      <c r="K2" s="17"/>
      <c r="L2" s="17"/>
      <c r="M2" s="17"/>
      <c r="N2" s="17"/>
      <c r="O2" s="17"/>
      <c r="P2" s="17"/>
      <c r="Q2" s="17"/>
      <c r="R2" s="17"/>
      <c r="S2" s="21"/>
    </row>
    <row r="3" ht="14.25" customHeight="1">
      <c r="A3" s="23"/>
      <c r="B3" s="25" t="s">
        <v>26</v>
      </c>
      <c r="C3" s="28">
        <v>3.3</v>
      </c>
      <c r="D3" s="35">
        <f t="shared" ref="D3:D4" si="1">C3/60</f>
        <v>0.055</v>
      </c>
      <c r="E3" s="25"/>
      <c r="F3" s="25" t="s">
        <v>39</v>
      </c>
      <c r="G3" s="37">
        <v>10.0</v>
      </c>
      <c r="H3" s="38">
        <v>25.0</v>
      </c>
      <c r="I3" s="37">
        <v>10.0</v>
      </c>
      <c r="J3" s="25" t="s">
        <v>44</v>
      </c>
      <c r="K3" s="2"/>
      <c r="L3" s="2"/>
      <c r="M3" s="2"/>
      <c r="N3" s="39"/>
      <c r="O3" s="39"/>
      <c r="P3" s="2"/>
      <c r="Q3" s="2"/>
      <c r="R3" s="2"/>
      <c r="S3" s="40"/>
    </row>
    <row r="4" ht="14.25" customHeight="1">
      <c r="A4" s="23"/>
      <c r="B4" s="25" t="s">
        <v>48</v>
      </c>
      <c r="C4" s="28">
        <v>0.5</v>
      </c>
      <c r="D4" s="35">
        <f t="shared" si="1"/>
        <v>0.008333333333</v>
      </c>
      <c r="E4" s="25"/>
      <c r="F4" s="25" t="s">
        <v>54</v>
      </c>
      <c r="G4" s="37">
        <v>10.0</v>
      </c>
      <c r="H4" s="38">
        <v>35.0</v>
      </c>
      <c r="I4" s="37">
        <v>10.0</v>
      </c>
      <c r="J4" s="25" t="s">
        <v>44</v>
      </c>
      <c r="K4" s="43">
        <f t="shared" ref="K4:N4" si="2">K11*60</f>
        <v>3.3</v>
      </c>
      <c r="L4" s="43">
        <f t="shared" si="2"/>
        <v>3.84</v>
      </c>
      <c r="M4" s="43">
        <f t="shared" si="2"/>
        <v>0.5</v>
      </c>
      <c r="N4" s="43">
        <f t="shared" si="2"/>
        <v>3.428571429</v>
      </c>
      <c r="O4" s="1"/>
      <c r="P4" s="47"/>
      <c r="Q4" s="47"/>
      <c r="R4" s="47"/>
      <c r="S4" s="48"/>
    </row>
    <row r="5" ht="14.25" customHeight="1">
      <c r="A5" s="23"/>
      <c r="B5" s="25" t="s">
        <v>60</v>
      </c>
      <c r="C5" s="28">
        <v>42.0</v>
      </c>
      <c r="D5" s="25" t="s">
        <v>62</v>
      </c>
      <c r="E5" s="2"/>
      <c r="F5" s="2"/>
      <c r="G5" s="2"/>
      <c r="H5" s="2"/>
      <c r="I5" s="2"/>
      <c r="J5" s="2"/>
      <c r="K5" s="51" t="s">
        <v>26</v>
      </c>
      <c r="L5" s="51" t="s">
        <v>39</v>
      </c>
      <c r="M5" s="51" t="s">
        <v>48</v>
      </c>
      <c r="N5" s="51" t="s">
        <v>54</v>
      </c>
      <c r="O5" s="51" t="s">
        <v>70</v>
      </c>
      <c r="P5" s="53" t="s">
        <v>71</v>
      </c>
      <c r="Q5" s="53" t="s">
        <v>74</v>
      </c>
      <c r="R5" s="47"/>
      <c r="S5" s="48"/>
    </row>
    <row r="6" ht="14.25" customHeight="1">
      <c r="A6" s="54"/>
      <c r="B6" s="35" t="s">
        <v>76</v>
      </c>
      <c r="C6" s="58">
        <f>C5*60/C3</f>
        <v>763.6363636</v>
      </c>
      <c r="D6" s="25" t="s">
        <v>82</v>
      </c>
      <c r="E6" s="2"/>
      <c r="F6" s="2"/>
      <c r="G6" s="59">
        <v>0.2</v>
      </c>
      <c r="H6" s="60">
        <f t="shared" ref="H6:H105" si="3">P6-G6-I6</f>
        <v>0.1</v>
      </c>
      <c r="I6" s="60">
        <f>G6</f>
        <v>0.2</v>
      </c>
      <c r="J6" s="2"/>
      <c r="K6" s="35">
        <f t="shared" ref="K6:K105" si="4">D$3</f>
        <v>0.055</v>
      </c>
      <c r="L6" s="35">
        <f t="shared" ref="L6:L105" si="5">(G6/G$3)+(H6/H$3)+(I6/I$3)</f>
        <v>0.044</v>
      </c>
      <c r="M6" s="35">
        <f t="shared" ref="M6:M105" si="6">D$4</f>
        <v>0.008333333333</v>
      </c>
      <c r="N6" s="35">
        <f t="shared" ref="N6:N105" si="7">(G6/G$4)+(H6/H$4)+(I6/I$4)</f>
        <v>0.04285714286</v>
      </c>
      <c r="O6" s="35">
        <f t="shared" ref="O6:O105" si="8">SUM(K6:N6)</f>
        <v>0.1501904762</v>
      </c>
      <c r="P6" s="66">
        <v>0.5</v>
      </c>
      <c r="Q6" s="68">
        <f t="shared" ref="Q6:Q105" si="9">C$5*1/O6</f>
        <v>279.6448954</v>
      </c>
      <c r="R6" s="3"/>
      <c r="S6" s="71"/>
    </row>
    <row r="7" ht="14.25" customHeight="1">
      <c r="A7" s="54"/>
      <c r="B7" s="2"/>
      <c r="C7" s="2"/>
      <c r="D7" s="2"/>
      <c r="E7" s="2"/>
      <c r="F7" s="2"/>
      <c r="G7" s="60">
        <f t="shared" ref="G7:G105" si="10">G6</f>
        <v>0.2</v>
      </c>
      <c r="H7" s="60">
        <f t="shared" si="3"/>
        <v>0.2</v>
      </c>
      <c r="I7" s="60">
        <f t="shared" ref="I7:I105" si="11">I6</f>
        <v>0.2</v>
      </c>
      <c r="J7" s="2"/>
      <c r="K7" s="35">
        <f t="shared" si="4"/>
        <v>0.055</v>
      </c>
      <c r="L7" s="35">
        <f t="shared" si="5"/>
        <v>0.048</v>
      </c>
      <c r="M7" s="35">
        <f t="shared" si="6"/>
        <v>0.008333333333</v>
      </c>
      <c r="N7" s="35">
        <f t="shared" si="7"/>
        <v>0.04571428571</v>
      </c>
      <c r="O7" s="35">
        <f t="shared" si="8"/>
        <v>0.157047619</v>
      </c>
      <c r="P7" s="66">
        <v>0.6</v>
      </c>
      <c r="Q7" s="68">
        <f t="shared" si="9"/>
        <v>267.434809</v>
      </c>
      <c r="R7" s="3"/>
      <c r="S7" s="71"/>
    </row>
    <row r="8" ht="14.25" customHeight="1">
      <c r="A8" s="54"/>
      <c r="B8" s="2"/>
      <c r="C8" s="2"/>
      <c r="D8" s="2"/>
      <c r="E8" s="2"/>
      <c r="F8" s="2"/>
      <c r="G8" s="60">
        <f t="shared" si="10"/>
        <v>0.2</v>
      </c>
      <c r="H8" s="60">
        <f t="shared" si="3"/>
        <v>0.3</v>
      </c>
      <c r="I8" s="60">
        <f t="shared" si="11"/>
        <v>0.2</v>
      </c>
      <c r="J8" s="2"/>
      <c r="K8" s="35">
        <f t="shared" si="4"/>
        <v>0.055</v>
      </c>
      <c r="L8" s="35">
        <f t="shared" si="5"/>
        <v>0.052</v>
      </c>
      <c r="M8" s="35">
        <f t="shared" si="6"/>
        <v>0.008333333333</v>
      </c>
      <c r="N8" s="35">
        <f t="shared" si="7"/>
        <v>0.04857142857</v>
      </c>
      <c r="O8" s="35">
        <f t="shared" si="8"/>
        <v>0.1639047619</v>
      </c>
      <c r="P8" s="66">
        <v>0.7</v>
      </c>
      <c r="Q8" s="68">
        <f t="shared" si="9"/>
        <v>256.2463684</v>
      </c>
      <c r="R8" s="3"/>
      <c r="S8" s="71"/>
    </row>
    <row r="9" ht="14.25" customHeight="1">
      <c r="A9" s="23"/>
      <c r="B9" s="2"/>
      <c r="C9" s="2"/>
      <c r="D9" s="2"/>
      <c r="E9" s="2"/>
      <c r="F9" s="2"/>
      <c r="G9" s="60">
        <f t="shared" si="10"/>
        <v>0.2</v>
      </c>
      <c r="H9" s="60">
        <f t="shared" si="3"/>
        <v>0.4</v>
      </c>
      <c r="I9" s="60">
        <f t="shared" si="11"/>
        <v>0.2</v>
      </c>
      <c r="J9" s="2"/>
      <c r="K9" s="35">
        <f t="shared" si="4"/>
        <v>0.055</v>
      </c>
      <c r="L9" s="35">
        <f t="shared" si="5"/>
        <v>0.056</v>
      </c>
      <c r="M9" s="35">
        <f t="shared" si="6"/>
        <v>0.008333333333</v>
      </c>
      <c r="N9" s="35">
        <f t="shared" si="7"/>
        <v>0.05142857143</v>
      </c>
      <c r="O9" s="35">
        <f t="shared" si="8"/>
        <v>0.1707619048</v>
      </c>
      <c r="P9" s="66">
        <v>0.8</v>
      </c>
      <c r="Q9" s="68">
        <f t="shared" si="9"/>
        <v>245.9564975</v>
      </c>
      <c r="R9" s="3"/>
      <c r="S9" s="71"/>
    </row>
    <row r="10" ht="14.25" customHeight="1">
      <c r="A10" s="23"/>
      <c r="B10" s="2"/>
      <c r="C10" s="2"/>
      <c r="D10" s="2"/>
      <c r="E10" s="2"/>
      <c r="F10" s="2"/>
      <c r="G10" s="60">
        <f t="shared" si="10"/>
        <v>0.2</v>
      </c>
      <c r="H10" s="60">
        <f t="shared" si="3"/>
        <v>0.5</v>
      </c>
      <c r="I10" s="60">
        <f t="shared" si="11"/>
        <v>0.2</v>
      </c>
      <c r="J10" s="2"/>
      <c r="K10" s="35">
        <f t="shared" si="4"/>
        <v>0.055</v>
      </c>
      <c r="L10" s="35">
        <f t="shared" si="5"/>
        <v>0.06</v>
      </c>
      <c r="M10" s="35">
        <f t="shared" si="6"/>
        <v>0.008333333333</v>
      </c>
      <c r="N10" s="35">
        <f t="shared" si="7"/>
        <v>0.05428571429</v>
      </c>
      <c r="O10" s="35">
        <f t="shared" si="8"/>
        <v>0.1776190476</v>
      </c>
      <c r="P10" s="66">
        <v>0.9</v>
      </c>
      <c r="Q10" s="68">
        <f t="shared" si="9"/>
        <v>236.461126</v>
      </c>
      <c r="R10" s="3"/>
      <c r="S10" s="71"/>
    </row>
    <row r="11" ht="14.25" customHeight="1">
      <c r="A11" s="23"/>
      <c r="B11" s="2"/>
      <c r="C11" s="2"/>
      <c r="D11" s="2"/>
      <c r="E11" s="2"/>
      <c r="F11" s="2"/>
      <c r="G11" s="60">
        <f t="shared" si="10"/>
        <v>0.2</v>
      </c>
      <c r="H11" s="60">
        <f t="shared" si="3"/>
        <v>0.6</v>
      </c>
      <c r="I11" s="60">
        <f t="shared" si="11"/>
        <v>0.2</v>
      </c>
      <c r="J11" s="2"/>
      <c r="K11" s="35">
        <f t="shared" si="4"/>
        <v>0.055</v>
      </c>
      <c r="L11" s="35">
        <f t="shared" si="5"/>
        <v>0.064</v>
      </c>
      <c r="M11" s="35">
        <f t="shared" si="6"/>
        <v>0.008333333333</v>
      </c>
      <c r="N11" s="35">
        <f t="shared" si="7"/>
        <v>0.05714285714</v>
      </c>
      <c r="O11" s="35">
        <f t="shared" si="8"/>
        <v>0.1844761905</v>
      </c>
      <c r="P11" s="66">
        <v>1.0</v>
      </c>
      <c r="Q11" s="68">
        <f t="shared" si="9"/>
        <v>227.6716572</v>
      </c>
      <c r="R11" s="3"/>
      <c r="S11" s="71"/>
    </row>
    <row r="12" ht="14.25" customHeight="1">
      <c r="A12" s="23"/>
      <c r="B12" s="2"/>
      <c r="C12" s="2"/>
      <c r="D12" s="2"/>
      <c r="E12" s="2"/>
      <c r="F12" s="2"/>
      <c r="G12" s="60">
        <f t="shared" si="10"/>
        <v>0.2</v>
      </c>
      <c r="H12" s="60">
        <f t="shared" si="3"/>
        <v>0.7</v>
      </c>
      <c r="I12" s="60">
        <f t="shared" si="11"/>
        <v>0.2</v>
      </c>
      <c r="J12" s="2"/>
      <c r="K12" s="35">
        <f t="shared" si="4"/>
        <v>0.055</v>
      </c>
      <c r="L12" s="35">
        <f t="shared" si="5"/>
        <v>0.068</v>
      </c>
      <c r="M12" s="35">
        <f t="shared" si="6"/>
        <v>0.008333333333</v>
      </c>
      <c r="N12" s="35">
        <f t="shared" si="7"/>
        <v>0.06</v>
      </c>
      <c r="O12" s="35">
        <f t="shared" si="8"/>
        <v>0.1913333333</v>
      </c>
      <c r="P12" s="66">
        <v>1.1</v>
      </c>
      <c r="Q12" s="68">
        <f t="shared" si="9"/>
        <v>219.5121951</v>
      </c>
      <c r="R12" s="3"/>
      <c r="S12" s="71"/>
    </row>
    <row r="13" ht="14.25" customHeight="1">
      <c r="A13" s="23"/>
      <c r="B13" s="2"/>
      <c r="C13" s="2"/>
      <c r="D13" s="2"/>
      <c r="E13" s="2"/>
      <c r="F13" s="2"/>
      <c r="G13" s="60">
        <f t="shared" si="10"/>
        <v>0.2</v>
      </c>
      <c r="H13" s="60">
        <f t="shared" si="3"/>
        <v>0.8</v>
      </c>
      <c r="I13" s="60">
        <f t="shared" si="11"/>
        <v>0.2</v>
      </c>
      <c r="J13" s="2"/>
      <c r="K13" s="35">
        <f t="shared" si="4"/>
        <v>0.055</v>
      </c>
      <c r="L13" s="35">
        <f t="shared" si="5"/>
        <v>0.072</v>
      </c>
      <c r="M13" s="35">
        <f t="shared" si="6"/>
        <v>0.008333333333</v>
      </c>
      <c r="N13" s="35">
        <f t="shared" si="7"/>
        <v>0.06285714286</v>
      </c>
      <c r="O13" s="35">
        <f t="shared" si="8"/>
        <v>0.1981904762</v>
      </c>
      <c r="P13" s="66">
        <v>1.2</v>
      </c>
      <c r="Q13" s="68">
        <f t="shared" si="9"/>
        <v>211.9173474</v>
      </c>
      <c r="R13" s="3"/>
      <c r="S13" s="71"/>
    </row>
    <row r="14" ht="14.25" customHeight="1">
      <c r="A14" s="23"/>
      <c r="B14" s="2"/>
      <c r="C14" s="2"/>
      <c r="D14" s="2"/>
      <c r="E14" s="2"/>
      <c r="F14" s="2"/>
      <c r="G14" s="60">
        <f t="shared" si="10"/>
        <v>0.2</v>
      </c>
      <c r="H14" s="60">
        <f t="shared" si="3"/>
        <v>0.9</v>
      </c>
      <c r="I14" s="60">
        <f t="shared" si="11"/>
        <v>0.2</v>
      </c>
      <c r="J14" s="2"/>
      <c r="K14" s="35">
        <f t="shared" si="4"/>
        <v>0.055</v>
      </c>
      <c r="L14" s="35">
        <f t="shared" si="5"/>
        <v>0.076</v>
      </c>
      <c r="M14" s="35">
        <f t="shared" si="6"/>
        <v>0.008333333333</v>
      </c>
      <c r="N14" s="35">
        <f t="shared" si="7"/>
        <v>0.06571428571</v>
      </c>
      <c r="O14" s="35">
        <f t="shared" si="8"/>
        <v>0.205047619</v>
      </c>
      <c r="P14" s="66">
        <v>1.3</v>
      </c>
      <c r="Q14" s="68">
        <f t="shared" si="9"/>
        <v>204.8304691</v>
      </c>
      <c r="R14" s="3"/>
      <c r="S14" s="71"/>
    </row>
    <row r="15" ht="14.25" customHeight="1">
      <c r="A15" s="23"/>
      <c r="B15" s="2"/>
      <c r="C15" s="2"/>
      <c r="D15" s="2"/>
      <c r="E15" s="2"/>
      <c r="F15" s="2"/>
      <c r="G15" s="60">
        <f t="shared" si="10"/>
        <v>0.2</v>
      </c>
      <c r="H15" s="60">
        <f t="shared" si="3"/>
        <v>1</v>
      </c>
      <c r="I15" s="60">
        <f t="shared" si="11"/>
        <v>0.2</v>
      </c>
      <c r="J15" s="2"/>
      <c r="K15" s="35">
        <f t="shared" si="4"/>
        <v>0.055</v>
      </c>
      <c r="L15" s="35">
        <f t="shared" si="5"/>
        <v>0.08</v>
      </c>
      <c r="M15" s="35">
        <f t="shared" si="6"/>
        <v>0.008333333333</v>
      </c>
      <c r="N15" s="35">
        <f t="shared" si="7"/>
        <v>0.06857142857</v>
      </c>
      <c r="O15" s="35">
        <f t="shared" si="8"/>
        <v>0.2119047619</v>
      </c>
      <c r="P15" s="66">
        <v>1.4</v>
      </c>
      <c r="Q15" s="68">
        <f t="shared" si="9"/>
        <v>198.2022472</v>
      </c>
      <c r="R15" s="3"/>
      <c r="S15" s="71"/>
    </row>
    <row r="16" ht="14.25" customHeight="1">
      <c r="A16" s="23"/>
      <c r="B16" s="2"/>
      <c r="C16" s="2"/>
      <c r="D16" s="2"/>
      <c r="E16" s="2"/>
      <c r="F16" s="2"/>
      <c r="G16" s="60">
        <f t="shared" si="10"/>
        <v>0.2</v>
      </c>
      <c r="H16" s="60">
        <f t="shared" si="3"/>
        <v>1.1</v>
      </c>
      <c r="I16" s="60">
        <f t="shared" si="11"/>
        <v>0.2</v>
      </c>
      <c r="J16" s="2"/>
      <c r="K16" s="35">
        <f t="shared" si="4"/>
        <v>0.055</v>
      </c>
      <c r="L16" s="35">
        <f t="shared" si="5"/>
        <v>0.084</v>
      </c>
      <c r="M16" s="35">
        <f t="shared" si="6"/>
        <v>0.008333333333</v>
      </c>
      <c r="N16" s="35">
        <f t="shared" si="7"/>
        <v>0.07142857143</v>
      </c>
      <c r="O16" s="35">
        <f t="shared" si="8"/>
        <v>0.2187619048</v>
      </c>
      <c r="P16" s="66">
        <v>1.5</v>
      </c>
      <c r="Q16" s="68">
        <f t="shared" si="9"/>
        <v>191.9895516</v>
      </c>
      <c r="R16" s="3"/>
      <c r="S16" s="71"/>
    </row>
    <row r="17" ht="14.25" customHeight="1">
      <c r="A17" s="23"/>
      <c r="B17" s="2"/>
      <c r="C17" s="2"/>
      <c r="D17" s="2"/>
      <c r="E17" s="2"/>
      <c r="F17" s="2"/>
      <c r="G17" s="60">
        <f t="shared" si="10"/>
        <v>0.2</v>
      </c>
      <c r="H17" s="60">
        <f t="shared" si="3"/>
        <v>1.2</v>
      </c>
      <c r="I17" s="60">
        <f t="shared" si="11"/>
        <v>0.2</v>
      </c>
      <c r="J17" s="2"/>
      <c r="K17" s="35">
        <f t="shared" si="4"/>
        <v>0.055</v>
      </c>
      <c r="L17" s="35">
        <f t="shared" si="5"/>
        <v>0.088</v>
      </c>
      <c r="M17" s="35">
        <f t="shared" si="6"/>
        <v>0.008333333333</v>
      </c>
      <c r="N17" s="35">
        <f t="shared" si="7"/>
        <v>0.07428571429</v>
      </c>
      <c r="O17" s="35">
        <f t="shared" si="8"/>
        <v>0.2256190476</v>
      </c>
      <c r="P17" s="66">
        <v>1.6</v>
      </c>
      <c r="Q17" s="68">
        <f t="shared" si="9"/>
        <v>186.1544956</v>
      </c>
      <c r="R17" s="3"/>
      <c r="S17" s="71"/>
    </row>
    <row r="18" ht="14.25" customHeight="1">
      <c r="A18" s="23"/>
      <c r="B18" s="2"/>
      <c r="C18" s="2"/>
      <c r="D18" s="2"/>
      <c r="E18" s="2"/>
      <c r="F18" s="2"/>
      <c r="G18" s="60">
        <f t="shared" si="10"/>
        <v>0.2</v>
      </c>
      <c r="H18" s="60">
        <f t="shared" si="3"/>
        <v>1.3</v>
      </c>
      <c r="I18" s="60">
        <f t="shared" si="11"/>
        <v>0.2</v>
      </c>
      <c r="J18" s="2"/>
      <c r="K18" s="35">
        <f t="shared" si="4"/>
        <v>0.055</v>
      </c>
      <c r="L18" s="35">
        <f t="shared" si="5"/>
        <v>0.092</v>
      </c>
      <c r="M18" s="35">
        <f t="shared" si="6"/>
        <v>0.008333333333</v>
      </c>
      <c r="N18" s="35">
        <f t="shared" si="7"/>
        <v>0.07714285714</v>
      </c>
      <c r="O18" s="35">
        <f t="shared" si="8"/>
        <v>0.2324761905</v>
      </c>
      <c r="P18" s="66">
        <v>1.7</v>
      </c>
      <c r="Q18" s="68">
        <f t="shared" si="9"/>
        <v>180.6636624</v>
      </c>
      <c r="R18" s="3"/>
      <c r="S18" s="71"/>
    </row>
    <row r="19" ht="14.25" customHeight="1">
      <c r="A19" s="23"/>
      <c r="B19" s="2"/>
      <c r="C19" s="2"/>
      <c r="D19" s="2"/>
      <c r="E19" s="2"/>
      <c r="F19" s="2"/>
      <c r="G19" s="60">
        <f t="shared" si="10"/>
        <v>0.2</v>
      </c>
      <c r="H19" s="60">
        <f t="shared" si="3"/>
        <v>1.4</v>
      </c>
      <c r="I19" s="60">
        <f t="shared" si="11"/>
        <v>0.2</v>
      </c>
      <c r="J19" s="2"/>
      <c r="K19" s="35">
        <f t="shared" si="4"/>
        <v>0.055</v>
      </c>
      <c r="L19" s="35">
        <f t="shared" si="5"/>
        <v>0.096</v>
      </c>
      <c r="M19" s="35">
        <f t="shared" si="6"/>
        <v>0.008333333333</v>
      </c>
      <c r="N19" s="35">
        <f t="shared" si="7"/>
        <v>0.08</v>
      </c>
      <c r="O19" s="35">
        <f t="shared" si="8"/>
        <v>0.2393333333</v>
      </c>
      <c r="P19" s="66">
        <v>1.8</v>
      </c>
      <c r="Q19" s="68">
        <f t="shared" si="9"/>
        <v>175.4874652</v>
      </c>
      <c r="R19" s="3"/>
      <c r="S19" s="100"/>
    </row>
    <row r="20" ht="14.25" customHeight="1">
      <c r="A20" s="23"/>
      <c r="B20" s="39"/>
      <c r="C20" s="2"/>
      <c r="D20" s="2"/>
      <c r="E20" s="2"/>
      <c r="F20" s="2"/>
      <c r="G20" s="60">
        <f t="shared" si="10"/>
        <v>0.2</v>
      </c>
      <c r="H20" s="60">
        <f t="shared" si="3"/>
        <v>1.5</v>
      </c>
      <c r="I20" s="60">
        <f t="shared" si="11"/>
        <v>0.2</v>
      </c>
      <c r="J20" s="2"/>
      <c r="K20" s="35">
        <f t="shared" si="4"/>
        <v>0.055</v>
      </c>
      <c r="L20" s="35">
        <f t="shared" si="5"/>
        <v>0.1</v>
      </c>
      <c r="M20" s="35">
        <f t="shared" si="6"/>
        <v>0.008333333333</v>
      </c>
      <c r="N20" s="35">
        <f t="shared" si="7"/>
        <v>0.08285714286</v>
      </c>
      <c r="O20" s="35">
        <f t="shared" si="8"/>
        <v>0.2461904762</v>
      </c>
      <c r="P20" s="66">
        <v>1.9</v>
      </c>
      <c r="Q20" s="68">
        <f t="shared" si="9"/>
        <v>170.5996132</v>
      </c>
      <c r="R20" s="3"/>
      <c r="S20" s="71"/>
    </row>
    <row r="21" ht="14.25" customHeight="1">
      <c r="A21" s="23"/>
      <c r="B21" s="39"/>
      <c r="C21" s="2"/>
      <c r="D21" s="2"/>
      <c r="E21" s="2"/>
      <c r="F21" s="2"/>
      <c r="G21" s="60">
        <f t="shared" si="10"/>
        <v>0.2</v>
      </c>
      <c r="H21" s="60">
        <f t="shared" si="3"/>
        <v>1.6</v>
      </c>
      <c r="I21" s="60">
        <f t="shared" si="11"/>
        <v>0.2</v>
      </c>
      <c r="J21" s="2"/>
      <c r="K21" s="35">
        <f t="shared" si="4"/>
        <v>0.055</v>
      </c>
      <c r="L21" s="35">
        <f t="shared" si="5"/>
        <v>0.104</v>
      </c>
      <c r="M21" s="35">
        <f t="shared" si="6"/>
        <v>0.008333333333</v>
      </c>
      <c r="N21" s="35">
        <f t="shared" si="7"/>
        <v>0.08571428571</v>
      </c>
      <c r="O21" s="35">
        <f t="shared" si="8"/>
        <v>0.253047619</v>
      </c>
      <c r="P21" s="66">
        <v>2.0</v>
      </c>
      <c r="Q21" s="68">
        <f t="shared" si="9"/>
        <v>165.9766654</v>
      </c>
      <c r="R21" s="3"/>
      <c r="S21" s="71"/>
    </row>
    <row r="22" ht="14.25" customHeight="1">
      <c r="A22" s="23"/>
      <c r="B22" s="39"/>
      <c r="C22" s="2"/>
      <c r="D22" s="2"/>
      <c r="E22" s="2"/>
      <c r="F22" s="2"/>
      <c r="G22" s="60">
        <f t="shared" si="10"/>
        <v>0.2</v>
      </c>
      <c r="H22" s="60">
        <f t="shared" si="3"/>
        <v>1.7</v>
      </c>
      <c r="I22" s="60">
        <f t="shared" si="11"/>
        <v>0.2</v>
      </c>
      <c r="J22" s="2"/>
      <c r="K22" s="35">
        <f t="shared" si="4"/>
        <v>0.055</v>
      </c>
      <c r="L22" s="35">
        <f t="shared" si="5"/>
        <v>0.108</v>
      </c>
      <c r="M22" s="35">
        <f t="shared" si="6"/>
        <v>0.008333333333</v>
      </c>
      <c r="N22" s="35">
        <f t="shared" si="7"/>
        <v>0.08857142857</v>
      </c>
      <c r="O22" s="35">
        <f t="shared" si="8"/>
        <v>0.2599047619</v>
      </c>
      <c r="P22" s="66">
        <v>2.1</v>
      </c>
      <c r="Q22" s="68">
        <f t="shared" si="9"/>
        <v>161.5976548</v>
      </c>
      <c r="R22" s="3"/>
      <c r="S22" s="71"/>
    </row>
    <row r="23" ht="14.25" customHeight="1">
      <c r="A23" s="23"/>
      <c r="B23" s="39"/>
      <c r="C23" s="2"/>
      <c r="D23" s="2"/>
      <c r="E23" s="2"/>
      <c r="F23" s="2"/>
      <c r="G23" s="60">
        <f t="shared" si="10"/>
        <v>0.2</v>
      </c>
      <c r="H23" s="60">
        <f t="shared" si="3"/>
        <v>1.8</v>
      </c>
      <c r="I23" s="60">
        <f t="shared" si="11"/>
        <v>0.2</v>
      </c>
      <c r="J23" s="2"/>
      <c r="K23" s="35">
        <f t="shared" si="4"/>
        <v>0.055</v>
      </c>
      <c r="L23" s="35">
        <f t="shared" si="5"/>
        <v>0.112</v>
      </c>
      <c r="M23" s="35">
        <f t="shared" si="6"/>
        <v>0.008333333333</v>
      </c>
      <c r="N23" s="35">
        <f t="shared" si="7"/>
        <v>0.09142857143</v>
      </c>
      <c r="O23" s="35">
        <f t="shared" si="8"/>
        <v>0.2667619048</v>
      </c>
      <c r="P23" s="66">
        <v>2.2</v>
      </c>
      <c r="Q23" s="68">
        <f t="shared" si="9"/>
        <v>157.4437701</v>
      </c>
      <c r="R23" s="3"/>
      <c r="S23" s="71"/>
    </row>
    <row r="24" ht="14.25" customHeight="1">
      <c r="A24" s="23"/>
      <c r="B24" s="39"/>
      <c r="C24" s="2"/>
      <c r="D24" s="2"/>
      <c r="E24" s="2"/>
      <c r="F24" s="2"/>
      <c r="G24" s="60">
        <f t="shared" si="10"/>
        <v>0.2</v>
      </c>
      <c r="H24" s="60">
        <f t="shared" si="3"/>
        <v>1.9</v>
      </c>
      <c r="I24" s="60">
        <f t="shared" si="11"/>
        <v>0.2</v>
      </c>
      <c r="J24" s="2"/>
      <c r="K24" s="35">
        <f t="shared" si="4"/>
        <v>0.055</v>
      </c>
      <c r="L24" s="35">
        <f t="shared" si="5"/>
        <v>0.116</v>
      </c>
      <c r="M24" s="35">
        <f t="shared" si="6"/>
        <v>0.008333333333</v>
      </c>
      <c r="N24" s="35">
        <f t="shared" si="7"/>
        <v>0.09428571429</v>
      </c>
      <c r="O24" s="35">
        <f t="shared" si="8"/>
        <v>0.2736190476</v>
      </c>
      <c r="P24" s="66">
        <v>2.3</v>
      </c>
      <c r="Q24" s="68">
        <f t="shared" si="9"/>
        <v>153.4980856</v>
      </c>
      <c r="R24" s="3"/>
      <c r="S24" s="71"/>
    </row>
    <row r="25" ht="14.25" customHeight="1">
      <c r="A25" s="23"/>
      <c r="B25" s="2"/>
      <c r="C25" s="2"/>
      <c r="D25" s="2"/>
      <c r="E25" s="2"/>
      <c r="F25" s="2"/>
      <c r="G25" s="60">
        <f t="shared" si="10"/>
        <v>0.2</v>
      </c>
      <c r="H25" s="60">
        <f t="shared" si="3"/>
        <v>2</v>
      </c>
      <c r="I25" s="60">
        <f t="shared" si="11"/>
        <v>0.2</v>
      </c>
      <c r="J25" s="2"/>
      <c r="K25" s="35">
        <f t="shared" si="4"/>
        <v>0.055</v>
      </c>
      <c r="L25" s="35">
        <f t="shared" si="5"/>
        <v>0.12</v>
      </c>
      <c r="M25" s="35">
        <f t="shared" si="6"/>
        <v>0.008333333333</v>
      </c>
      <c r="N25" s="35">
        <f t="shared" si="7"/>
        <v>0.09714285714</v>
      </c>
      <c r="O25" s="35">
        <f t="shared" si="8"/>
        <v>0.2804761905</v>
      </c>
      <c r="P25" s="66">
        <v>2.4</v>
      </c>
      <c r="Q25" s="68">
        <f t="shared" si="9"/>
        <v>149.7453311</v>
      </c>
      <c r="R25" s="3"/>
      <c r="S25" s="71"/>
    </row>
    <row r="26" ht="14.25" customHeight="1">
      <c r="A26" s="23"/>
      <c r="B26" s="2"/>
      <c r="C26" s="2"/>
      <c r="D26" s="2"/>
      <c r="E26" s="2"/>
      <c r="F26" s="2"/>
      <c r="G26" s="60">
        <f t="shared" si="10"/>
        <v>0.2</v>
      </c>
      <c r="H26" s="60">
        <f t="shared" si="3"/>
        <v>2.1</v>
      </c>
      <c r="I26" s="60">
        <f t="shared" si="11"/>
        <v>0.2</v>
      </c>
      <c r="J26" s="2"/>
      <c r="K26" s="35">
        <f t="shared" si="4"/>
        <v>0.055</v>
      </c>
      <c r="L26" s="35">
        <f t="shared" si="5"/>
        <v>0.124</v>
      </c>
      <c r="M26" s="35">
        <f t="shared" si="6"/>
        <v>0.008333333333</v>
      </c>
      <c r="N26" s="35">
        <f t="shared" si="7"/>
        <v>0.1</v>
      </c>
      <c r="O26" s="35">
        <f t="shared" si="8"/>
        <v>0.2873333333</v>
      </c>
      <c r="P26" s="66">
        <v>2.5</v>
      </c>
      <c r="Q26" s="68">
        <f t="shared" si="9"/>
        <v>146.1716937</v>
      </c>
      <c r="R26" s="3"/>
      <c r="S26" s="71"/>
    </row>
    <row r="27" ht="14.25" customHeight="1">
      <c r="A27" s="23"/>
      <c r="B27" s="2"/>
      <c r="C27" s="2"/>
      <c r="D27" s="2"/>
      <c r="E27" s="2"/>
      <c r="F27" s="2"/>
      <c r="G27" s="60">
        <f t="shared" si="10"/>
        <v>0.2</v>
      </c>
      <c r="H27" s="60">
        <f t="shared" si="3"/>
        <v>2.2</v>
      </c>
      <c r="I27" s="60">
        <f t="shared" si="11"/>
        <v>0.2</v>
      </c>
      <c r="J27" s="2"/>
      <c r="K27" s="35">
        <f t="shared" si="4"/>
        <v>0.055</v>
      </c>
      <c r="L27" s="35">
        <f t="shared" si="5"/>
        <v>0.128</v>
      </c>
      <c r="M27" s="35">
        <f t="shared" si="6"/>
        <v>0.008333333333</v>
      </c>
      <c r="N27" s="35">
        <f t="shared" si="7"/>
        <v>0.1028571429</v>
      </c>
      <c r="O27" s="35">
        <f t="shared" si="8"/>
        <v>0.2941904762</v>
      </c>
      <c r="P27" s="66">
        <v>2.6</v>
      </c>
      <c r="Q27" s="68">
        <f t="shared" si="9"/>
        <v>142.7646488</v>
      </c>
      <c r="R27" s="3"/>
      <c r="S27" s="100"/>
    </row>
    <row r="28" ht="14.25" customHeight="1">
      <c r="A28" s="23"/>
      <c r="B28" s="2"/>
      <c r="C28" s="2"/>
      <c r="D28" s="2"/>
      <c r="E28" s="2"/>
      <c r="F28" s="2"/>
      <c r="G28" s="60">
        <f t="shared" si="10"/>
        <v>0.2</v>
      </c>
      <c r="H28" s="60">
        <f t="shared" si="3"/>
        <v>2.3</v>
      </c>
      <c r="I28" s="60">
        <f t="shared" si="11"/>
        <v>0.2</v>
      </c>
      <c r="J28" s="2"/>
      <c r="K28" s="35">
        <f t="shared" si="4"/>
        <v>0.055</v>
      </c>
      <c r="L28" s="35">
        <f t="shared" si="5"/>
        <v>0.132</v>
      </c>
      <c r="M28" s="35">
        <f t="shared" si="6"/>
        <v>0.008333333333</v>
      </c>
      <c r="N28" s="35">
        <f t="shared" si="7"/>
        <v>0.1057142857</v>
      </c>
      <c r="O28" s="35">
        <f t="shared" si="8"/>
        <v>0.301047619</v>
      </c>
      <c r="P28" s="66">
        <v>2.7</v>
      </c>
      <c r="Q28" s="68">
        <f t="shared" si="9"/>
        <v>139.5128124</v>
      </c>
      <c r="R28" s="3"/>
      <c r="S28" s="71"/>
    </row>
    <row r="29" ht="14.25" customHeight="1">
      <c r="A29" s="23"/>
      <c r="B29" s="2"/>
      <c r="C29" s="2"/>
      <c r="D29" s="2"/>
      <c r="E29" s="2"/>
      <c r="F29" s="2"/>
      <c r="G29" s="60">
        <f t="shared" si="10"/>
        <v>0.2</v>
      </c>
      <c r="H29" s="60">
        <f t="shared" si="3"/>
        <v>2.4</v>
      </c>
      <c r="I29" s="60">
        <f t="shared" si="11"/>
        <v>0.2</v>
      </c>
      <c r="J29" s="2"/>
      <c r="K29" s="35">
        <f t="shared" si="4"/>
        <v>0.055</v>
      </c>
      <c r="L29" s="35">
        <f t="shared" si="5"/>
        <v>0.136</v>
      </c>
      <c r="M29" s="35">
        <f t="shared" si="6"/>
        <v>0.008333333333</v>
      </c>
      <c r="N29" s="35">
        <f t="shared" si="7"/>
        <v>0.1085714286</v>
      </c>
      <c r="O29" s="35">
        <f t="shared" si="8"/>
        <v>0.3079047619</v>
      </c>
      <c r="P29" s="66">
        <v>2.8</v>
      </c>
      <c r="Q29" s="68">
        <f t="shared" si="9"/>
        <v>136.405815</v>
      </c>
      <c r="R29" s="3"/>
      <c r="S29" s="71"/>
    </row>
    <row r="30" ht="14.25" customHeight="1">
      <c r="A30" s="23"/>
      <c r="B30" s="2"/>
      <c r="C30" s="2"/>
      <c r="D30" s="2"/>
      <c r="E30" s="2"/>
      <c r="F30" s="2"/>
      <c r="G30" s="60">
        <f t="shared" si="10"/>
        <v>0.2</v>
      </c>
      <c r="H30" s="60">
        <f t="shared" si="3"/>
        <v>2.5</v>
      </c>
      <c r="I30" s="60">
        <f t="shared" si="11"/>
        <v>0.2</v>
      </c>
      <c r="J30" s="2"/>
      <c r="K30" s="35">
        <f t="shared" si="4"/>
        <v>0.055</v>
      </c>
      <c r="L30" s="35">
        <f t="shared" si="5"/>
        <v>0.14</v>
      </c>
      <c r="M30" s="35">
        <f t="shared" si="6"/>
        <v>0.008333333333</v>
      </c>
      <c r="N30" s="35">
        <f t="shared" si="7"/>
        <v>0.1114285714</v>
      </c>
      <c r="O30" s="35">
        <f t="shared" si="8"/>
        <v>0.3147619048</v>
      </c>
      <c r="P30" s="66">
        <v>2.9</v>
      </c>
      <c r="Q30" s="68">
        <f t="shared" si="9"/>
        <v>133.4341906</v>
      </c>
      <c r="R30" s="3"/>
      <c r="S30" s="71"/>
    </row>
    <row r="31" ht="14.25" customHeight="1">
      <c r="A31" s="23"/>
      <c r="B31" s="2"/>
      <c r="C31" s="2"/>
      <c r="D31" s="2"/>
      <c r="E31" s="2"/>
      <c r="F31" s="2"/>
      <c r="G31" s="60">
        <f t="shared" si="10"/>
        <v>0.2</v>
      </c>
      <c r="H31" s="60">
        <f t="shared" si="3"/>
        <v>2.6</v>
      </c>
      <c r="I31" s="60">
        <f t="shared" si="11"/>
        <v>0.2</v>
      </c>
      <c r="J31" s="2"/>
      <c r="K31" s="35">
        <f t="shared" si="4"/>
        <v>0.055</v>
      </c>
      <c r="L31" s="35">
        <f t="shared" si="5"/>
        <v>0.144</v>
      </c>
      <c r="M31" s="35">
        <f t="shared" si="6"/>
        <v>0.008333333333</v>
      </c>
      <c r="N31" s="35">
        <f t="shared" si="7"/>
        <v>0.1142857143</v>
      </c>
      <c r="O31" s="35">
        <f t="shared" si="8"/>
        <v>0.3216190476</v>
      </c>
      <c r="P31" s="66">
        <v>3.0</v>
      </c>
      <c r="Q31" s="68">
        <f t="shared" si="9"/>
        <v>130.5892804</v>
      </c>
      <c r="R31" s="3"/>
      <c r="S31" s="71"/>
    </row>
    <row r="32" ht="14.25" customHeight="1">
      <c r="A32" s="23"/>
      <c r="B32" s="2"/>
      <c r="C32" s="2"/>
      <c r="D32" s="2"/>
      <c r="E32" s="2"/>
      <c r="F32" s="2"/>
      <c r="G32" s="60">
        <f t="shared" si="10"/>
        <v>0.2</v>
      </c>
      <c r="H32" s="60">
        <f t="shared" si="3"/>
        <v>2.7</v>
      </c>
      <c r="I32" s="60">
        <f t="shared" si="11"/>
        <v>0.2</v>
      </c>
      <c r="J32" s="2"/>
      <c r="K32" s="35">
        <f t="shared" si="4"/>
        <v>0.055</v>
      </c>
      <c r="L32" s="35">
        <f t="shared" si="5"/>
        <v>0.148</v>
      </c>
      <c r="M32" s="35">
        <f t="shared" si="6"/>
        <v>0.008333333333</v>
      </c>
      <c r="N32" s="35">
        <f t="shared" si="7"/>
        <v>0.1171428571</v>
      </c>
      <c r="O32" s="35">
        <f t="shared" si="8"/>
        <v>0.3284761905</v>
      </c>
      <c r="P32" s="66">
        <v>3.1</v>
      </c>
      <c r="Q32" s="68">
        <f t="shared" si="9"/>
        <v>127.8631487</v>
      </c>
      <c r="R32" s="3"/>
      <c r="S32" s="71"/>
    </row>
    <row r="33" ht="14.25" customHeight="1">
      <c r="A33" s="23"/>
      <c r="B33" s="2"/>
      <c r="C33" s="2"/>
      <c r="D33" s="2"/>
      <c r="E33" s="2"/>
      <c r="F33" s="2"/>
      <c r="G33" s="60">
        <f t="shared" si="10"/>
        <v>0.2</v>
      </c>
      <c r="H33" s="60">
        <f t="shared" si="3"/>
        <v>2.8</v>
      </c>
      <c r="I33" s="60">
        <f t="shared" si="11"/>
        <v>0.2</v>
      </c>
      <c r="J33" s="2"/>
      <c r="K33" s="35">
        <f t="shared" si="4"/>
        <v>0.055</v>
      </c>
      <c r="L33" s="35">
        <f t="shared" si="5"/>
        <v>0.152</v>
      </c>
      <c r="M33" s="35">
        <f t="shared" si="6"/>
        <v>0.008333333333</v>
      </c>
      <c r="N33" s="35">
        <f t="shared" si="7"/>
        <v>0.12</v>
      </c>
      <c r="O33" s="35">
        <f t="shared" si="8"/>
        <v>0.3353333333</v>
      </c>
      <c r="P33" s="66">
        <v>3.2</v>
      </c>
      <c r="Q33" s="68">
        <f t="shared" si="9"/>
        <v>125.2485089</v>
      </c>
      <c r="R33" s="3"/>
      <c r="S33" s="100"/>
    </row>
    <row r="34" ht="14.25" customHeight="1">
      <c r="A34" s="23"/>
      <c r="B34" s="2"/>
      <c r="C34" s="2"/>
      <c r="D34" s="2"/>
      <c r="E34" s="2"/>
      <c r="F34" s="2"/>
      <c r="G34" s="60">
        <f t="shared" si="10"/>
        <v>0.2</v>
      </c>
      <c r="H34" s="60">
        <f t="shared" si="3"/>
        <v>2.9</v>
      </c>
      <c r="I34" s="60">
        <f t="shared" si="11"/>
        <v>0.2</v>
      </c>
      <c r="J34" s="2"/>
      <c r="K34" s="35">
        <f t="shared" si="4"/>
        <v>0.055</v>
      </c>
      <c r="L34" s="35">
        <f t="shared" si="5"/>
        <v>0.156</v>
      </c>
      <c r="M34" s="35">
        <f t="shared" si="6"/>
        <v>0.008333333333</v>
      </c>
      <c r="N34" s="35">
        <f t="shared" si="7"/>
        <v>0.1228571429</v>
      </c>
      <c r="O34" s="35">
        <f t="shared" si="8"/>
        <v>0.3421904762</v>
      </c>
      <c r="P34" s="66">
        <v>3.3</v>
      </c>
      <c r="Q34" s="68">
        <f t="shared" si="9"/>
        <v>122.7386585</v>
      </c>
      <c r="R34" s="3"/>
      <c r="S34" s="71"/>
    </row>
    <row r="35" ht="14.25" customHeight="1">
      <c r="A35" s="23"/>
      <c r="B35" s="2"/>
      <c r="C35" s="2"/>
      <c r="D35" s="2"/>
      <c r="E35" s="2"/>
      <c r="F35" s="2"/>
      <c r="G35" s="60">
        <f t="shared" si="10"/>
        <v>0.2</v>
      </c>
      <c r="H35" s="60">
        <f t="shared" si="3"/>
        <v>3</v>
      </c>
      <c r="I35" s="60">
        <f t="shared" si="11"/>
        <v>0.2</v>
      </c>
      <c r="J35" s="2"/>
      <c r="K35" s="35">
        <f t="shared" si="4"/>
        <v>0.055</v>
      </c>
      <c r="L35" s="35">
        <f t="shared" si="5"/>
        <v>0.16</v>
      </c>
      <c r="M35" s="35">
        <f t="shared" si="6"/>
        <v>0.008333333333</v>
      </c>
      <c r="N35" s="35">
        <f t="shared" si="7"/>
        <v>0.1257142857</v>
      </c>
      <c r="O35" s="35">
        <f t="shared" si="8"/>
        <v>0.349047619</v>
      </c>
      <c r="P35" s="66">
        <v>3.4</v>
      </c>
      <c r="Q35" s="68">
        <f t="shared" si="9"/>
        <v>120.3274216</v>
      </c>
      <c r="R35" s="3"/>
      <c r="S35" s="71"/>
    </row>
    <row r="36" ht="14.25" customHeight="1">
      <c r="A36" s="23"/>
      <c r="B36" s="2"/>
      <c r="C36" s="2"/>
      <c r="D36" s="2"/>
      <c r="E36" s="2"/>
      <c r="F36" s="2"/>
      <c r="G36" s="60">
        <f t="shared" si="10"/>
        <v>0.2</v>
      </c>
      <c r="H36" s="60">
        <f t="shared" si="3"/>
        <v>3.1</v>
      </c>
      <c r="I36" s="60">
        <f t="shared" si="11"/>
        <v>0.2</v>
      </c>
      <c r="J36" s="2"/>
      <c r="K36" s="35">
        <f t="shared" si="4"/>
        <v>0.055</v>
      </c>
      <c r="L36" s="35">
        <f t="shared" si="5"/>
        <v>0.164</v>
      </c>
      <c r="M36" s="35">
        <f t="shared" si="6"/>
        <v>0.008333333333</v>
      </c>
      <c r="N36" s="35">
        <f t="shared" si="7"/>
        <v>0.1285714286</v>
      </c>
      <c r="O36" s="35">
        <f t="shared" si="8"/>
        <v>0.3559047619</v>
      </c>
      <c r="P36" s="66">
        <v>3.5</v>
      </c>
      <c r="Q36" s="68">
        <f t="shared" si="9"/>
        <v>118.0090982</v>
      </c>
      <c r="R36" s="3"/>
      <c r="S36" s="71"/>
    </row>
    <row r="37" ht="14.25" customHeight="1">
      <c r="A37" s="23"/>
      <c r="B37" s="2"/>
      <c r="C37" s="2"/>
      <c r="D37" s="2"/>
      <c r="E37" s="2"/>
      <c r="F37" s="2"/>
      <c r="G37" s="60">
        <f t="shared" si="10"/>
        <v>0.2</v>
      </c>
      <c r="H37" s="60">
        <f t="shared" si="3"/>
        <v>3.2</v>
      </c>
      <c r="I37" s="60">
        <f t="shared" si="11"/>
        <v>0.2</v>
      </c>
      <c r="J37" s="2"/>
      <c r="K37" s="35">
        <f t="shared" si="4"/>
        <v>0.055</v>
      </c>
      <c r="L37" s="35">
        <f t="shared" si="5"/>
        <v>0.168</v>
      </c>
      <c r="M37" s="35">
        <f t="shared" si="6"/>
        <v>0.008333333333</v>
      </c>
      <c r="N37" s="35">
        <f t="shared" si="7"/>
        <v>0.1314285714</v>
      </c>
      <c r="O37" s="35">
        <f t="shared" si="8"/>
        <v>0.3627619048</v>
      </c>
      <c r="P37" s="66">
        <v>3.6</v>
      </c>
      <c r="Q37" s="68">
        <f t="shared" si="9"/>
        <v>115.7784195</v>
      </c>
      <c r="R37" s="3"/>
      <c r="S37" s="71"/>
    </row>
    <row r="38" ht="14.25" customHeight="1">
      <c r="A38" s="23"/>
      <c r="B38" s="2"/>
      <c r="C38" s="2"/>
      <c r="D38" s="2"/>
      <c r="E38" s="2"/>
      <c r="F38" s="2"/>
      <c r="G38" s="60">
        <f t="shared" si="10"/>
        <v>0.2</v>
      </c>
      <c r="H38" s="60">
        <f t="shared" si="3"/>
        <v>3.3</v>
      </c>
      <c r="I38" s="60">
        <f t="shared" si="11"/>
        <v>0.2</v>
      </c>
      <c r="J38" s="2"/>
      <c r="K38" s="35">
        <f t="shared" si="4"/>
        <v>0.055</v>
      </c>
      <c r="L38" s="35">
        <f t="shared" si="5"/>
        <v>0.172</v>
      </c>
      <c r="M38" s="35">
        <f t="shared" si="6"/>
        <v>0.008333333333</v>
      </c>
      <c r="N38" s="35">
        <f t="shared" si="7"/>
        <v>0.1342857143</v>
      </c>
      <c r="O38" s="35">
        <f t="shared" si="8"/>
        <v>0.3696190476</v>
      </c>
      <c r="P38" s="66">
        <v>3.7</v>
      </c>
      <c r="Q38" s="68">
        <f t="shared" si="9"/>
        <v>113.6305076</v>
      </c>
      <c r="R38" s="3"/>
      <c r="S38" s="71"/>
    </row>
    <row r="39" ht="14.25" customHeight="1">
      <c r="A39" s="23"/>
      <c r="B39" s="2"/>
      <c r="C39" s="2"/>
      <c r="D39" s="2"/>
      <c r="E39" s="2"/>
      <c r="F39" s="2"/>
      <c r="G39" s="60">
        <f t="shared" si="10"/>
        <v>0.2</v>
      </c>
      <c r="H39" s="60">
        <f t="shared" si="3"/>
        <v>3.4</v>
      </c>
      <c r="I39" s="60">
        <f t="shared" si="11"/>
        <v>0.2</v>
      </c>
      <c r="J39" s="2"/>
      <c r="K39" s="35">
        <f t="shared" si="4"/>
        <v>0.055</v>
      </c>
      <c r="L39" s="35">
        <f t="shared" si="5"/>
        <v>0.176</v>
      </c>
      <c r="M39" s="35">
        <f t="shared" si="6"/>
        <v>0.008333333333</v>
      </c>
      <c r="N39" s="35">
        <f t="shared" si="7"/>
        <v>0.1371428571</v>
      </c>
      <c r="O39" s="35">
        <f t="shared" si="8"/>
        <v>0.3764761905</v>
      </c>
      <c r="P39" s="66">
        <v>3.8</v>
      </c>
      <c r="Q39" s="68">
        <f t="shared" si="9"/>
        <v>111.5608399</v>
      </c>
      <c r="R39" s="3"/>
      <c r="S39" s="71"/>
    </row>
    <row r="40" ht="14.25" customHeight="1">
      <c r="A40" s="23"/>
      <c r="B40" s="2"/>
      <c r="C40" s="2"/>
      <c r="D40" s="2"/>
      <c r="E40" s="2"/>
      <c r="F40" s="2"/>
      <c r="G40" s="60">
        <f t="shared" si="10"/>
        <v>0.2</v>
      </c>
      <c r="H40" s="60">
        <f t="shared" si="3"/>
        <v>3.5</v>
      </c>
      <c r="I40" s="60">
        <f t="shared" si="11"/>
        <v>0.2</v>
      </c>
      <c r="J40" s="2"/>
      <c r="K40" s="106">
        <f t="shared" si="4"/>
        <v>0.055</v>
      </c>
      <c r="L40" s="106">
        <f t="shared" si="5"/>
        <v>0.18</v>
      </c>
      <c r="M40" s="106">
        <f t="shared" si="6"/>
        <v>0.008333333333</v>
      </c>
      <c r="N40" s="106">
        <f t="shared" si="7"/>
        <v>0.14</v>
      </c>
      <c r="O40" s="106">
        <f t="shared" si="8"/>
        <v>0.3833333333</v>
      </c>
      <c r="P40" s="106">
        <v>3.9</v>
      </c>
      <c r="Q40" s="107">
        <f t="shared" si="9"/>
        <v>109.5652174</v>
      </c>
      <c r="R40" s="3"/>
      <c r="S40" s="71"/>
    </row>
    <row r="41" ht="14.25" customHeight="1">
      <c r="A41" s="23"/>
      <c r="B41" s="2"/>
      <c r="C41" s="2"/>
      <c r="D41" s="2"/>
      <c r="E41" s="2"/>
      <c r="F41" s="2"/>
      <c r="G41" s="60">
        <f t="shared" si="10"/>
        <v>0.2</v>
      </c>
      <c r="H41" s="60">
        <f t="shared" si="3"/>
        <v>3.6</v>
      </c>
      <c r="I41" s="60">
        <f t="shared" si="11"/>
        <v>0.2</v>
      </c>
      <c r="J41" s="2"/>
      <c r="K41" s="35">
        <f t="shared" si="4"/>
        <v>0.055</v>
      </c>
      <c r="L41" s="35">
        <f t="shared" si="5"/>
        <v>0.184</v>
      </c>
      <c r="M41" s="35">
        <f t="shared" si="6"/>
        <v>0.008333333333</v>
      </c>
      <c r="N41" s="35">
        <f t="shared" si="7"/>
        <v>0.1428571429</v>
      </c>
      <c r="O41" s="35">
        <f t="shared" si="8"/>
        <v>0.3901904762</v>
      </c>
      <c r="P41" s="66">
        <v>4.0</v>
      </c>
      <c r="Q41" s="68">
        <f t="shared" si="9"/>
        <v>107.6397364</v>
      </c>
      <c r="R41" s="3"/>
      <c r="S41" s="71"/>
    </row>
    <row r="42" ht="14.25" customHeight="1">
      <c r="A42" s="23"/>
      <c r="B42" s="2"/>
      <c r="C42" s="2"/>
      <c r="D42" s="2"/>
      <c r="E42" s="2"/>
      <c r="F42" s="2"/>
      <c r="G42" s="60">
        <f t="shared" si="10"/>
        <v>0.2</v>
      </c>
      <c r="H42" s="60">
        <f t="shared" si="3"/>
        <v>3.7</v>
      </c>
      <c r="I42" s="60">
        <f t="shared" si="11"/>
        <v>0.2</v>
      </c>
      <c r="J42" s="2"/>
      <c r="K42" s="35">
        <f t="shared" si="4"/>
        <v>0.055</v>
      </c>
      <c r="L42" s="35">
        <f t="shared" si="5"/>
        <v>0.188</v>
      </c>
      <c r="M42" s="35">
        <f t="shared" si="6"/>
        <v>0.008333333333</v>
      </c>
      <c r="N42" s="35">
        <f t="shared" si="7"/>
        <v>0.1457142857</v>
      </c>
      <c r="O42" s="35">
        <f t="shared" si="8"/>
        <v>0.397047619</v>
      </c>
      <c r="P42" s="66">
        <v>4.1</v>
      </c>
      <c r="Q42" s="68">
        <f t="shared" si="9"/>
        <v>105.7807628</v>
      </c>
      <c r="R42" s="3"/>
      <c r="S42" s="71"/>
    </row>
    <row r="43" ht="14.25" customHeight="1">
      <c r="A43" s="23"/>
      <c r="B43" s="2"/>
      <c r="C43" s="2"/>
      <c r="D43" s="2"/>
      <c r="E43" s="2"/>
      <c r="F43" s="2"/>
      <c r="G43" s="60">
        <f t="shared" si="10"/>
        <v>0.2</v>
      </c>
      <c r="H43" s="60">
        <f t="shared" si="3"/>
        <v>3.8</v>
      </c>
      <c r="I43" s="60">
        <f t="shared" si="11"/>
        <v>0.2</v>
      </c>
      <c r="J43" s="2"/>
      <c r="K43" s="35">
        <f t="shared" si="4"/>
        <v>0.055</v>
      </c>
      <c r="L43" s="35">
        <f t="shared" si="5"/>
        <v>0.192</v>
      </c>
      <c r="M43" s="35">
        <f t="shared" si="6"/>
        <v>0.008333333333</v>
      </c>
      <c r="N43" s="35">
        <f t="shared" si="7"/>
        <v>0.1485714286</v>
      </c>
      <c r="O43" s="35">
        <f t="shared" si="8"/>
        <v>0.4039047619</v>
      </c>
      <c r="P43" s="66">
        <v>4.2</v>
      </c>
      <c r="Q43" s="68">
        <f t="shared" si="9"/>
        <v>103.9849092</v>
      </c>
      <c r="R43" s="3"/>
      <c r="S43" s="71"/>
    </row>
    <row r="44" ht="14.25" customHeight="1">
      <c r="A44" s="23"/>
      <c r="B44" s="2"/>
      <c r="C44" s="2"/>
      <c r="D44" s="2"/>
      <c r="E44" s="2"/>
      <c r="F44" s="2"/>
      <c r="G44" s="60">
        <f t="shared" si="10"/>
        <v>0.2</v>
      </c>
      <c r="H44" s="60">
        <f t="shared" si="3"/>
        <v>3.9</v>
      </c>
      <c r="I44" s="60">
        <f t="shared" si="11"/>
        <v>0.2</v>
      </c>
      <c r="J44" s="2"/>
      <c r="K44" s="35">
        <f t="shared" si="4"/>
        <v>0.055</v>
      </c>
      <c r="L44" s="35">
        <f t="shared" si="5"/>
        <v>0.196</v>
      </c>
      <c r="M44" s="35">
        <f t="shared" si="6"/>
        <v>0.008333333333</v>
      </c>
      <c r="N44" s="35">
        <f t="shared" si="7"/>
        <v>0.1514285714</v>
      </c>
      <c r="O44" s="35">
        <f t="shared" si="8"/>
        <v>0.4107619048</v>
      </c>
      <c r="P44" s="66">
        <v>4.3</v>
      </c>
      <c r="Q44" s="68">
        <f t="shared" si="9"/>
        <v>102.2490146</v>
      </c>
      <c r="R44" s="3"/>
      <c r="S44" s="71"/>
    </row>
    <row r="45" ht="14.25" customHeight="1">
      <c r="A45" s="23"/>
      <c r="B45" s="2"/>
      <c r="C45" s="2"/>
      <c r="D45" s="2"/>
      <c r="E45" s="2"/>
      <c r="F45" s="2"/>
      <c r="G45" s="60">
        <f t="shared" si="10"/>
        <v>0.2</v>
      </c>
      <c r="H45" s="60">
        <f t="shared" si="3"/>
        <v>4</v>
      </c>
      <c r="I45" s="60">
        <f t="shared" si="11"/>
        <v>0.2</v>
      </c>
      <c r="J45" s="2"/>
      <c r="K45" s="35">
        <f t="shared" si="4"/>
        <v>0.055</v>
      </c>
      <c r="L45" s="35">
        <f t="shared" si="5"/>
        <v>0.2</v>
      </c>
      <c r="M45" s="35">
        <f t="shared" si="6"/>
        <v>0.008333333333</v>
      </c>
      <c r="N45" s="35">
        <f t="shared" si="7"/>
        <v>0.1542857143</v>
      </c>
      <c r="O45" s="35">
        <f t="shared" si="8"/>
        <v>0.4176190476</v>
      </c>
      <c r="P45" s="66">
        <v>4.4</v>
      </c>
      <c r="Q45" s="68">
        <f t="shared" si="9"/>
        <v>100.5701254</v>
      </c>
      <c r="R45" s="3"/>
      <c r="S45" s="71"/>
    </row>
    <row r="46" ht="14.25" customHeight="1">
      <c r="A46" s="23"/>
      <c r="B46" s="2"/>
      <c r="C46" s="2"/>
      <c r="D46" s="2"/>
      <c r="E46" s="2"/>
      <c r="F46" s="2"/>
      <c r="G46" s="60">
        <f t="shared" si="10"/>
        <v>0.2</v>
      </c>
      <c r="H46" s="60">
        <f t="shared" si="3"/>
        <v>4.1</v>
      </c>
      <c r="I46" s="60">
        <f t="shared" si="11"/>
        <v>0.2</v>
      </c>
      <c r="J46" s="2"/>
      <c r="K46" s="35">
        <f t="shared" si="4"/>
        <v>0.055</v>
      </c>
      <c r="L46" s="35">
        <f t="shared" si="5"/>
        <v>0.204</v>
      </c>
      <c r="M46" s="35">
        <f t="shared" si="6"/>
        <v>0.008333333333</v>
      </c>
      <c r="N46" s="35">
        <f t="shared" si="7"/>
        <v>0.1571428571</v>
      </c>
      <c r="O46" s="35">
        <f t="shared" si="8"/>
        <v>0.4244761905</v>
      </c>
      <c r="P46" s="66">
        <v>4.5</v>
      </c>
      <c r="Q46" s="68">
        <f t="shared" si="9"/>
        <v>98.94547902</v>
      </c>
      <c r="R46" s="3"/>
      <c r="S46" s="71"/>
    </row>
    <row r="47" ht="14.25" customHeight="1">
      <c r="A47" s="23"/>
      <c r="B47" s="2"/>
      <c r="C47" s="2"/>
      <c r="D47" s="2"/>
      <c r="E47" s="2"/>
      <c r="F47" s="2"/>
      <c r="G47" s="60">
        <f t="shared" si="10"/>
        <v>0.2</v>
      </c>
      <c r="H47" s="60">
        <f t="shared" si="3"/>
        <v>4.2</v>
      </c>
      <c r="I47" s="60">
        <f t="shared" si="11"/>
        <v>0.2</v>
      </c>
      <c r="J47" s="2"/>
      <c r="K47" s="35">
        <f t="shared" si="4"/>
        <v>0.055</v>
      </c>
      <c r="L47" s="35">
        <f t="shared" si="5"/>
        <v>0.208</v>
      </c>
      <c r="M47" s="35">
        <f t="shared" si="6"/>
        <v>0.008333333333</v>
      </c>
      <c r="N47" s="35">
        <f t="shared" si="7"/>
        <v>0.16</v>
      </c>
      <c r="O47" s="35">
        <f t="shared" si="8"/>
        <v>0.4313333333</v>
      </c>
      <c r="P47" s="66">
        <v>4.6</v>
      </c>
      <c r="Q47" s="68">
        <f t="shared" si="9"/>
        <v>97.37248841</v>
      </c>
      <c r="R47" s="3"/>
      <c r="S47" s="71"/>
    </row>
    <row r="48" ht="14.25" customHeight="1">
      <c r="A48" s="23"/>
      <c r="B48" s="2"/>
      <c r="C48" s="2"/>
      <c r="D48" s="2"/>
      <c r="E48" s="2"/>
      <c r="F48" s="2"/>
      <c r="G48" s="60">
        <f t="shared" si="10"/>
        <v>0.2</v>
      </c>
      <c r="H48" s="60">
        <f t="shared" si="3"/>
        <v>4.3</v>
      </c>
      <c r="I48" s="60">
        <f t="shared" si="11"/>
        <v>0.2</v>
      </c>
      <c r="J48" s="2"/>
      <c r="K48" s="35">
        <f t="shared" si="4"/>
        <v>0.055</v>
      </c>
      <c r="L48" s="35">
        <f t="shared" si="5"/>
        <v>0.212</v>
      </c>
      <c r="M48" s="35">
        <f t="shared" si="6"/>
        <v>0.008333333333</v>
      </c>
      <c r="N48" s="35">
        <f t="shared" si="7"/>
        <v>0.1628571429</v>
      </c>
      <c r="O48" s="35">
        <f t="shared" si="8"/>
        <v>0.4381904762</v>
      </c>
      <c r="P48" s="66">
        <v>4.7</v>
      </c>
      <c r="Q48" s="68">
        <f t="shared" si="9"/>
        <v>95.84872854</v>
      </c>
      <c r="R48" s="3"/>
      <c r="S48" s="71"/>
    </row>
    <row r="49" ht="14.25" customHeight="1">
      <c r="A49" s="23"/>
      <c r="B49" s="2"/>
      <c r="C49" s="2"/>
      <c r="D49" s="2"/>
      <c r="E49" s="2"/>
      <c r="F49" s="2"/>
      <c r="G49" s="60">
        <f t="shared" si="10"/>
        <v>0.2</v>
      </c>
      <c r="H49" s="60">
        <f t="shared" si="3"/>
        <v>4.4</v>
      </c>
      <c r="I49" s="60">
        <f t="shared" si="11"/>
        <v>0.2</v>
      </c>
      <c r="J49" s="2"/>
      <c r="K49" s="35">
        <f t="shared" si="4"/>
        <v>0.055</v>
      </c>
      <c r="L49" s="35">
        <f t="shared" si="5"/>
        <v>0.216</v>
      </c>
      <c r="M49" s="35">
        <f t="shared" si="6"/>
        <v>0.008333333333</v>
      </c>
      <c r="N49" s="35">
        <f t="shared" si="7"/>
        <v>0.1657142857</v>
      </c>
      <c r="O49" s="35">
        <f t="shared" si="8"/>
        <v>0.445047619</v>
      </c>
      <c r="P49" s="66">
        <v>4.8</v>
      </c>
      <c r="Q49" s="68">
        <f t="shared" si="9"/>
        <v>94.37192382</v>
      </c>
      <c r="R49" s="3"/>
      <c r="S49" s="71"/>
    </row>
    <row r="50" ht="14.25" customHeight="1">
      <c r="A50" s="23"/>
      <c r="B50" s="2"/>
      <c r="C50" s="2"/>
      <c r="D50" s="2"/>
      <c r="E50" s="2"/>
      <c r="F50" s="2"/>
      <c r="G50" s="60">
        <f t="shared" si="10"/>
        <v>0.2</v>
      </c>
      <c r="H50" s="60">
        <f t="shared" si="3"/>
        <v>4.5</v>
      </c>
      <c r="I50" s="60">
        <f t="shared" si="11"/>
        <v>0.2</v>
      </c>
      <c r="J50" s="2"/>
      <c r="K50" s="35">
        <f t="shared" si="4"/>
        <v>0.055</v>
      </c>
      <c r="L50" s="35">
        <f t="shared" si="5"/>
        <v>0.22</v>
      </c>
      <c r="M50" s="35">
        <f t="shared" si="6"/>
        <v>0.008333333333</v>
      </c>
      <c r="N50" s="35">
        <f t="shared" si="7"/>
        <v>0.1685714286</v>
      </c>
      <c r="O50" s="35">
        <f t="shared" si="8"/>
        <v>0.4519047619</v>
      </c>
      <c r="P50" s="66">
        <v>4.9</v>
      </c>
      <c r="Q50" s="68">
        <f t="shared" si="9"/>
        <v>92.93993678</v>
      </c>
      <c r="R50" s="3"/>
      <c r="S50" s="71"/>
    </row>
    <row r="51" ht="14.25" customHeight="1">
      <c r="A51" s="23"/>
      <c r="B51" s="2"/>
      <c r="C51" s="2"/>
      <c r="D51" s="2"/>
      <c r="E51" s="2"/>
      <c r="F51" s="2"/>
      <c r="G51" s="60">
        <f t="shared" si="10"/>
        <v>0.2</v>
      </c>
      <c r="H51" s="60">
        <f t="shared" si="3"/>
        <v>4.6</v>
      </c>
      <c r="I51" s="60">
        <f t="shared" si="11"/>
        <v>0.2</v>
      </c>
      <c r="J51" s="2"/>
      <c r="K51" s="35">
        <f t="shared" si="4"/>
        <v>0.055</v>
      </c>
      <c r="L51" s="35">
        <f t="shared" si="5"/>
        <v>0.224</v>
      </c>
      <c r="M51" s="35">
        <f t="shared" si="6"/>
        <v>0.008333333333</v>
      </c>
      <c r="N51" s="35">
        <f t="shared" si="7"/>
        <v>0.1714285714</v>
      </c>
      <c r="O51" s="35">
        <f t="shared" si="8"/>
        <v>0.4587619048</v>
      </c>
      <c r="P51" s="66">
        <v>5.0</v>
      </c>
      <c r="Q51" s="68">
        <f t="shared" si="9"/>
        <v>91.55075773</v>
      </c>
      <c r="R51" s="3"/>
      <c r="S51" s="71"/>
    </row>
    <row r="52" ht="14.25" customHeight="1">
      <c r="A52" s="23"/>
      <c r="B52" s="2"/>
      <c r="C52" s="2"/>
      <c r="D52" s="2"/>
      <c r="E52" s="2"/>
      <c r="F52" s="2"/>
      <c r="G52" s="60">
        <f t="shared" si="10"/>
        <v>0.2</v>
      </c>
      <c r="H52" s="60">
        <f t="shared" si="3"/>
        <v>4.7</v>
      </c>
      <c r="I52" s="60">
        <f t="shared" si="11"/>
        <v>0.2</v>
      </c>
      <c r="J52" s="2"/>
      <c r="K52" s="35">
        <f t="shared" si="4"/>
        <v>0.055</v>
      </c>
      <c r="L52" s="35">
        <f t="shared" si="5"/>
        <v>0.228</v>
      </c>
      <c r="M52" s="35">
        <f t="shared" si="6"/>
        <v>0.008333333333</v>
      </c>
      <c r="N52" s="35">
        <f t="shared" si="7"/>
        <v>0.1742857143</v>
      </c>
      <c r="O52" s="35">
        <f t="shared" si="8"/>
        <v>0.4656190476</v>
      </c>
      <c r="P52" s="66">
        <v>5.10000000000001</v>
      </c>
      <c r="Q52" s="68">
        <f t="shared" si="9"/>
        <v>90.2024954</v>
      </c>
      <c r="R52" s="3"/>
      <c r="S52" s="71"/>
    </row>
    <row r="53" ht="14.25" customHeight="1">
      <c r="A53" s="23"/>
      <c r="B53" s="2"/>
      <c r="C53" s="2"/>
      <c r="D53" s="2"/>
      <c r="E53" s="2"/>
      <c r="F53" s="2"/>
      <c r="G53" s="60">
        <f t="shared" si="10"/>
        <v>0.2</v>
      </c>
      <c r="H53" s="60">
        <f t="shared" si="3"/>
        <v>4.8</v>
      </c>
      <c r="I53" s="60">
        <f t="shared" si="11"/>
        <v>0.2</v>
      </c>
      <c r="J53" s="2"/>
      <c r="K53" s="35">
        <f t="shared" si="4"/>
        <v>0.055</v>
      </c>
      <c r="L53" s="35">
        <f t="shared" si="5"/>
        <v>0.232</v>
      </c>
      <c r="M53" s="35">
        <f t="shared" si="6"/>
        <v>0.008333333333</v>
      </c>
      <c r="N53" s="35">
        <f t="shared" si="7"/>
        <v>0.1771428571</v>
      </c>
      <c r="O53" s="35">
        <f t="shared" si="8"/>
        <v>0.4724761905</v>
      </c>
      <c r="P53" s="66">
        <v>5.20000000000001</v>
      </c>
      <c r="Q53" s="68">
        <f t="shared" si="9"/>
        <v>88.89336827</v>
      </c>
      <c r="R53" s="3"/>
      <c r="S53" s="71"/>
    </row>
    <row r="54" ht="14.25" customHeight="1">
      <c r="A54" s="23"/>
      <c r="B54" s="2"/>
      <c r="C54" s="2"/>
      <c r="D54" s="2"/>
      <c r="E54" s="2"/>
      <c r="F54" s="2"/>
      <c r="G54" s="60">
        <f t="shared" si="10"/>
        <v>0.2</v>
      </c>
      <c r="H54" s="60">
        <f t="shared" si="3"/>
        <v>4.9</v>
      </c>
      <c r="I54" s="60">
        <f t="shared" si="11"/>
        <v>0.2</v>
      </c>
      <c r="J54" s="2"/>
      <c r="K54" s="35">
        <f t="shared" si="4"/>
        <v>0.055</v>
      </c>
      <c r="L54" s="35">
        <f t="shared" si="5"/>
        <v>0.236</v>
      </c>
      <c r="M54" s="35">
        <f t="shared" si="6"/>
        <v>0.008333333333</v>
      </c>
      <c r="N54" s="35">
        <f t="shared" si="7"/>
        <v>0.18</v>
      </c>
      <c r="O54" s="35">
        <f t="shared" si="8"/>
        <v>0.4793333333</v>
      </c>
      <c r="P54" s="66">
        <v>5.30000000000001</v>
      </c>
      <c r="Q54" s="68">
        <f t="shared" si="9"/>
        <v>87.6216968</v>
      </c>
      <c r="R54" s="3"/>
      <c r="S54" s="71"/>
    </row>
    <row r="55" ht="14.25" customHeight="1">
      <c r="A55" s="23"/>
      <c r="B55" s="2"/>
      <c r="C55" s="2"/>
      <c r="D55" s="2"/>
      <c r="E55" s="2"/>
      <c r="F55" s="2"/>
      <c r="G55" s="60">
        <f t="shared" si="10"/>
        <v>0.2</v>
      </c>
      <c r="H55" s="60">
        <f t="shared" si="3"/>
        <v>5</v>
      </c>
      <c r="I55" s="60">
        <f t="shared" si="11"/>
        <v>0.2</v>
      </c>
      <c r="J55" s="2"/>
      <c r="K55" s="35">
        <f t="shared" si="4"/>
        <v>0.055</v>
      </c>
      <c r="L55" s="35">
        <f t="shared" si="5"/>
        <v>0.24</v>
      </c>
      <c r="M55" s="35">
        <f t="shared" si="6"/>
        <v>0.008333333333</v>
      </c>
      <c r="N55" s="35">
        <f t="shared" si="7"/>
        <v>0.1828571429</v>
      </c>
      <c r="O55" s="35">
        <f t="shared" si="8"/>
        <v>0.4861904762</v>
      </c>
      <c r="P55" s="66">
        <v>5.40000000000001</v>
      </c>
      <c r="Q55" s="68">
        <f t="shared" si="9"/>
        <v>86.38589618</v>
      </c>
      <c r="R55" s="3"/>
      <c r="S55" s="71"/>
    </row>
    <row r="56" ht="14.25" customHeight="1">
      <c r="A56" s="23"/>
      <c r="B56" s="2"/>
      <c r="C56" s="2"/>
      <c r="D56" s="2"/>
      <c r="E56" s="2"/>
      <c r="F56" s="2"/>
      <c r="G56" s="60">
        <f t="shared" si="10"/>
        <v>0.2</v>
      </c>
      <c r="H56" s="60">
        <f t="shared" si="3"/>
        <v>5.1</v>
      </c>
      <c r="I56" s="60">
        <f t="shared" si="11"/>
        <v>0.2</v>
      </c>
      <c r="J56" s="2"/>
      <c r="K56" s="35">
        <f t="shared" si="4"/>
        <v>0.055</v>
      </c>
      <c r="L56" s="35">
        <f t="shared" si="5"/>
        <v>0.244</v>
      </c>
      <c r="M56" s="35">
        <f t="shared" si="6"/>
        <v>0.008333333333</v>
      </c>
      <c r="N56" s="35">
        <f t="shared" si="7"/>
        <v>0.1857142857</v>
      </c>
      <c r="O56" s="35">
        <f t="shared" si="8"/>
        <v>0.493047619</v>
      </c>
      <c r="P56" s="66">
        <v>5.50000000000001</v>
      </c>
      <c r="Q56" s="68">
        <f t="shared" si="9"/>
        <v>85.18446977</v>
      </c>
      <c r="R56" s="3"/>
      <c r="S56" s="71"/>
    </row>
    <row r="57" ht="14.25" customHeight="1">
      <c r="A57" s="23"/>
      <c r="B57" s="2"/>
      <c r="C57" s="2"/>
      <c r="D57" s="2"/>
      <c r="E57" s="2"/>
      <c r="F57" s="2"/>
      <c r="G57" s="60">
        <f t="shared" si="10"/>
        <v>0.2</v>
      </c>
      <c r="H57" s="60">
        <f t="shared" si="3"/>
        <v>5.2</v>
      </c>
      <c r="I57" s="60">
        <f t="shared" si="11"/>
        <v>0.2</v>
      </c>
      <c r="J57" s="2"/>
      <c r="K57" s="35">
        <f t="shared" si="4"/>
        <v>0.055</v>
      </c>
      <c r="L57" s="35">
        <f t="shared" si="5"/>
        <v>0.248</v>
      </c>
      <c r="M57" s="35">
        <f t="shared" si="6"/>
        <v>0.008333333333</v>
      </c>
      <c r="N57" s="35">
        <f t="shared" si="7"/>
        <v>0.1885714286</v>
      </c>
      <c r="O57" s="35">
        <f t="shared" si="8"/>
        <v>0.4999047619</v>
      </c>
      <c r="P57" s="66">
        <v>5.60000000000001</v>
      </c>
      <c r="Q57" s="68">
        <f t="shared" si="9"/>
        <v>84.01600305</v>
      </c>
      <c r="R57" s="3"/>
      <c r="S57" s="71"/>
    </row>
    <row r="58" ht="14.25" customHeight="1">
      <c r="A58" s="23"/>
      <c r="B58" s="2"/>
      <c r="C58" s="2"/>
      <c r="D58" s="2"/>
      <c r="E58" s="2"/>
      <c r="F58" s="2"/>
      <c r="G58" s="60">
        <f t="shared" si="10"/>
        <v>0.2</v>
      </c>
      <c r="H58" s="60">
        <f t="shared" si="3"/>
        <v>5.3</v>
      </c>
      <c r="I58" s="60">
        <f t="shared" si="11"/>
        <v>0.2</v>
      </c>
      <c r="J58" s="2"/>
      <c r="K58" s="35">
        <f t="shared" si="4"/>
        <v>0.055</v>
      </c>
      <c r="L58" s="35">
        <f t="shared" si="5"/>
        <v>0.252</v>
      </c>
      <c r="M58" s="35">
        <f t="shared" si="6"/>
        <v>0.008333333333</v>
      </c>
      <c r="N58" s="35">
        <f t="shared" si="7"/>
        <v>0.1914285714</v>
      </c>
      <c r="O58" s="35">
        <f t="shared" si="8"/>
        <v>0.5067619048</v>
      </c>
      <c r="P58" s="66">
        <v>5.70000000000001</v>
      </c>
      <c r="Q58" s="68">
        <f t="shared" si="9"/>
        <v>82.87915805</v>
      </c>
      <c r="R58" s="3"/>
      <c r="S58" s="71"/>
    </row>
    <row r="59" ht="14.25" customHeight="1">
      <c r="A59" s="23"/>
      <c r="B59" s="2"/>
      <c r="C59" s="2"/>
      <c r="D59" s="2"/>
      <c r="E59" s="2"/>
      <c r="F59" s="2"/>
      <c r="G59" s="60">
        <f t="shared" si="10"/>
        <v>0.2</v>
      </c>
      <c r="H59" s="60">
        <f t="shared" si="3"/>
        <v>5.4</v>
      </c>
      <c r="I59" s="60">
        <f t="shared" si="11"/>
        <v>0.2</v>
      </c>
      <c r="J59" s="2"/>
      <c r="K59" s="35">
        <f t="shared" si="4"/>
        <v>0.055</v>
      </c>
      <c r="L59" s="35">
        <f t="shared" si="5"/>
        <v>0.256</v>
      </c>
      <c r="M59" s="35">
        <f t="shared" si="6"/>
        <v>0.008333333333</v>
      </c>
      <c r="N59" s="35">
        <f t="shared" si="7"/>
        <v>0.1942857143</v>
      </c>
      <c r="O59" s="35">
        <f t="shared" si="8"/>
        <v>0.5136190476</v>
      </c>
      <c r="P59" s="66">
        <v>5.80000000000001</v>
      </c>
      <c r="Q59" s="68">
        <f t="shared" si="9"/>
        <v>81.77266827</v>
      </c>
      <c r="R59" s="3"/>
      <c r="S59" s="71"/>
    </row>
    <row r="60" ht="14.25" customHeight="1">
      <c r="A60" s="23"/>
      <c r="B60" s="2"/>
      <c r="C60" s="2"/>
      <c r="D60" s="2"/>
      <c r="E60" s="2"/>
      <c r="F60" s="2"/>
      <c r="G60" s="60">
        <f t="shared" si="10"/>
        <v>0.2</v>
      </c>
      <c r="H60" s="60">
        <f t="shared" si="3"/>
        <v>5.5</v>
      </c>
      <c r="I60" s="60">
        <f t="shared" si="11"/>
        <v>0.2</v>
      </c>
      <c r="J60" s="2"/>
      <c r="K60" s="35">
        <f t="shared" si="4"/>
        <v>0.055</v>
      </c>
      <c r="L60" s="35">
        <f t="shared" si="5"/>
        <v>0.26</v>
      </c>
      <c r="M60" s="35">
        <f t="shared" si="6"/>
        <v>0.008333333333</v>
      </c>
      <c r="N60" s="35">
        <f t="shared" si="7"/>
        <v>0.1971428571</v>
      </c>
      <c r="O60" s="35">
        <f t="shared" si="8"/>
        <v>0.5204761905</v>
      </c>
      <c r="P60" s="66">
        <v>5.90000000000001</v>
      </c>
      <c r="Q60" s="68">
        <f t="shared" si="9"/>
        <v>80.69533394</v>
      </c>
      <c r="R60" s="3"/>
      <c r="S60" s="71"/>
    </row>
    <row r="61" ht="14.25" customHeight="1">
      <c r="A61" s="23"/>
      <c r="B61" s="2"/>
      <c r="C61" s="2"/>
      <c r="D61" s="2"/>
      <c r="E61" s="2"/>
      <c r="F61" s="2"/>
      <c r="G61" s="60">
        <f t="shared" si="10"/>
        <v>0.2</v>
      </c>
      <c r="H61" s="60">
        <f t="shared" si="3"/>
        <v>5.6</v>
      </c>
      <c r="I61" s="60">
        <f t="shared" si="11"/>
        <v>0.2</v>
      </c>
      <c r="J61" s="2"/>
      <c r="K61" s="35">
        <f t="shared" si="4"/>
        <v>0.055</v>
      </c>
      <c r="L61" s="35">
        <f t="shared" si="5"/>
        <v>0.264</v>
      </c>
      <c r="M61" s="35">
        <f t="shared" si="6"/>
        <v>0.008333333333</v>
      </c>
      <c r="N61" s="35">
        <f t="shared" si="7"/>
        <v>0.2</v>
      </c>
      <c r="O61" s="35">
        <f t="shared" si="8"/>
        <v>0.5273333333</v>
      </c>
      <c r="P61" s="66">
        <v>6.00000000000001</v>
      </c>
      <c r="Q61" s="68">
        <f t="shared" si="9"/>
        <v>79.6460177</v>
      </c>
      <c r="R61" s="3"/>
      <c r="S61" s="71"/>
    </row>
    <row r="62" ht="14.25" customHeight="1">
      <c r="A62" s="23"/>
      <c r="B62" s="2"/>
      <c r="C62" s="2"/>
      <c r="D62" s="2"/>
      <c r="E62" s="2"/>
      <c r="F62" s="2"/>
      <c r="G62" s="60">
        <f t="shared" si="10"/>
        <v>0.2</v>
      </c>
      <c r="H62" s="60">
        <f t="shared" si="3"/>
        <v>5.7</v>
      </c>
      <c r="I62" s="60">
        <f t="shared" si="11"/>
        <v>0.2</v>
      </c>
      <c r="J62" s="2"/>
      <c r="K62" s="35">
        <f t="shared" si="4"/>
        <v>0.055</v>
      </c>
      <c r="L62" s="35">
        <f t="shared" si="5"/>
        <v>0.268</v>
      </c>
      <c r="M62" s="35">
        <f t="shared" si="6"/>
        <v>0.008333333333</v>
      </c>
      <c r="N62" s="35">
        <f t="shared" si="7"/>
        <v>0.2028571429</v>
      </c>
      <c r="O62" s="35">
        <f t="shared" si="8"/>
        <v>0.5341904762</v>
      </c>
      <c r="P62" s="66">
        <v>6.10000000000001</v>
      </c>
      <c r="Q62" s="68">
        <f t="shared" si="9"/>
        <v>78.62364058</v>
      </c>
      <c r="R62" s="3"/>
      <c r="S62" s="71"/>
    </row>
    <row r="63" ht="14.25" customHeight="1">
      <c r="A63" s="23"/>
      <c r="B63" s="2"/>
      <c r="C63" s="2"/>
      <c r="D63" s="2"/>
      <c r="E63" s="2"/>
      <c r="F63" s="2"/>
      <c r="G63" s="60">
        <f t="shared" si="10"/>
        <v>0.2</v>
      </c>
      <c r="H63" s="60">
        <f t="shared" si="3"/>
        <v>5.8</v>
      </c>
      <c r="I63" s="60">
        <f t="shared" si="11"/>
        <v>0.2</v>
      </c>
      <c r="J63" s="2"/>
      <c r="K63" s="35">
        <f t="shared" si="4"/>
        <v>0.055</v>
      </c>
      <c r="L63" s="35">
        <f t="shared" si="5"/>
        <v>0.272</v>
      </c>
      <c r="M63" s="35">
        <f t="shared" si="6"/>
        <v>0.008333333333</v>
      </c>
      <c r="N63" s="35">
        <f t="shared" si="7"/>
        <v>0.2057142857</v>
      </c>
      <c r="O63" s="35">
        <f t="shared" si="8"/>
        <v>0.541047619</v>
      </c>
      <c r="P63" s="66">
        <v>6.20000000000001</v>
      </c>
      <c r="Q63" s="68">
        <f t="shared" si="9"/>
        <v>77.62717831</v>
      </c>
      <c r="R63" s="3"/>
      <c r="S63" s="71"/>
    </row>
    <row r="64" ht="14.25" customHeight="1">
      <c r="A64" s="23"/>
      <c r="B64" s="2"/>
      <c r="C64" s="2"/>
      <c r="D64" s="2"/>
      <c r="E64" s="2"/>
      <c r="F64" s="2"/>
      <c r="G64" s="60">
        <f t="shared" si="10"/>
        <v>0.2</v>
      </c>
      <c r="H64" s="60">
        <f t="shared" si="3"/>
        <v>5.9</v>
      </c>
      <c r="I64" s="60">
        <f t="shared" si="11"/>
        <v>0.2</v>
      </c>
      <c r="J64" s="2"/>
      <c r="K64" s="35">
        <f t="shared" si="4"/>
        <v>0.055</v>
      </c>
      <c r="L64" s="35">
        <f t="shared" si="5"/>
        <v>0.276</v>
      </c>
      <c r="M64" s="35">
        <f t="shared" si="6"/>
        <v>0.008333333333</v>
      </c>
      <c r="N64" s="35">
        <f t="shared" si="7"/>
        <v>0.2085714286</v>
      </c>
      <c r="O64" s="35">
        <f t="shared" si="8"/>
        <v>0.5479047619</v>
      </c>
      <c r="P64" s="66">
        <v>6.30000000000001</v>
      </c>
      <c r="Q64" s="68">
        <f t="shared" si="9"/>
        <v>76.65565792</v>
      </c>
      <c r="R64" s="3"/>
      <c r="S64" s="71"/>
    </row>
    <row r="65" ht="14.25" customHeight="1">
      <c r="A65" s="23"/>
      <c r="B65" s="2"/>
      <c r="C65" s="2"/>
      <c r="D65" s="2"/>
      <c r="E65" s="2"/>
      <c r="F65" s="2"/>
      <c r="G65" s="60">
        <f t="shared" si="10"/>
        <v>0.2</v>
      </c>
      <c r="H65" s="60">
        <f t="shared" si="3"/>
        <v>6</v>
      </c>
      <c r="I65" s="60">
        <f t="shared" si="11"/>
        <v>0.2</v>
      </c>
      <c r="J65" s="2"/>
      <c r="K65" s="35">
        <f t="shared" si="4"/>
        <v>0.055</v>
      </c>
      <c r="L65" s="35">
        <f t="shared" si="5"/>
        <v>0.28</v>
      </c>
      <c r="M65" s="35">
        <f t="shared" si="6"/>
        <v>0.008333333333</v>
      </c>
      <c r="N65" s="35">
        <f t="shared" si="7"/>
        <v>0.2114285714</v>
      </c>
      <c r="O65" s="35">
        <f t="shared" si="8"/>
        <v>0.5547619048</v>
      </c>
      <c r="P65" s="66">
        <v>6.40000000000001</v>
      </c>
      <c r="Q65" s="68">
        <f t="shared" si="9"/>
        <v>75.70815451</v>
      </c>
      <c r="R65" s="3"/>
      <c r="S65" s="71"/>
    </row>
    <row r="66" ht="14.25" customHeight="1">
      <c r="A66" s="23"/>
      <c r="B66" s="2"/>
      <c r="C66" s="2"/>
      <c r="D66" s="2"/>
      <c r="E66" s="2"/>
      <c r="F66" s="2"/>
      <c r="G66" s="60">
        <f t="shared" si="10"/>
        <v>0.2</v>
      </c>
      <c r="H66" s="60">
        <f t="shared" si="3"/>
        <v>6.1</v>
      </c>
      <c r="I66" s="60">
        <f t="shared" si="11"/>
        <v>0.2</v>
      </c>
      <c r="J66" s="2"/>
      <c r="K66" s="35">
        <f t="shared" si="4"/>
        <v>0.055</v>
      </c>
      <c r="L66" s="35">
        <f t="shared" si="5"/>
        <v>0.284</v>
      </c>
      <c r="M66" s="35">
        <f t="shared" si="6"/>
        <v>0.008333333333</v>
      </c>
      <c r="N66" s="35">
        <f t="shared" si="7"/>
        <v>0.2142857143</v>
      </c>
      <c r="O66" s="35">
        <f t="shared" si="8"/>
        <v>0.5616190476</v>
      </c>
      <c r="P66" s="66">
        <v>6.50000000000001</v>
      </c>
      <c r="Q66" s="68">
        <f t="shared" si="9"/>
        <v>74.78378837</v>
      </c>
      <c r="R66" s="3"/>
      <c r="S66" s="71"/>
    </row>
    <row r="67" ht="14.25" customHeight="1">
      <c r="A67" s="23"/>
      <c r="B67" s="2"/>
      <c r="C67" s="2"/>
      <c r="D67" s="2"/>
      <c r="E67" s="2"/>
      <c r="F67" s="2"/>
      <c r="G67" s="60">
        <f t="shared" si="10"/>
        <v>0.2</v>
      </c>
      <c r="H67" s="60">
        <f t="shared" si="3"/>
        <v>6.2</v>
      </c>
      <c r="I67" s="60">
        <f t="shared" si="11"/>
        <v>0.2</v>
      </c>
      <c r="J67" s="2"/>
      <c r="K67" s="35">
        <f t="shared" si="4"/>
        <v>0.055</v>
      </c>
      <c r="L67" s="35">
        <f t="shared" si="5"/>
        <v>0.288</v>
      </c>
      <c r="M67" s="35">
        <f t="shared" si="6"/>
        <v>0.008333333333</v>
      </c>
      <c r="N67" s="35">
        <f t="shared" si="7"/>
        <v>0.2171428571</v>
      </c>
      <c r="O67" s="35">
        <f t="shared" si="8"/>
        <v>0.5684761905</v>
      </c>
      <c r="P67" s="66">
        <v>6.60000000000001</v>
      </c>
      <c r="Q67" s="68">
        <f t="shared" si="9"/>
        <v>73.88172223</v>
      </c>
      <c r="R67" s="3"/>
      <c r="S67" s="71"/>
    </row>
    <row r="68" ht="14.25" customHeight="1">
      <c r="A68" s="23"/>
      <c r="B68" s="2"/>
      <c r="C68" s="2"/>
      <c r="D68" s="2"/>
      <c r="E68" s="2"/>
      <c r="F68" s="2"/>
      <c r="G68" s="60">
        <f t="shared" si="10"/>
        <v>0.2</v>
      </c>
      <c r="H68" s="60">
        <f t="shared" si="3"/>
        <v>6.3</v>
      </c>
      <c r="I68" s="60">
        <f t="shared" si="11"/>
        <v>0.2</v>
      </c>
      <c r="J68" s="2"/>
      <c r="K68" s="35">
        <f t="shared" si="4"/>
        <v>0.055</v>
      </c>
      <c r="L68" s="35">
        <f t="shared" si="5"/>
        <v>0.292</v>
      </c>
      <c r="M68" s="35">
        <f t="shared" si="6"/>
        <v>0.008333333333</v>
      </c>
      <c r="N68" s="35">
        <f t="shared" si="7"/>
        <v>0.22</v>
      </c>
      <c r="O68" s="35">
        <f t="shared" si="8"/>
        <v>0.5753333333</v>
      </c>
      <c r="P68" s="66">
        <v>6.70000000000001</v>
      </c>
      <c r="Q68" s="68">
        <f t="shared" si="9"/>
        <v>73.00115875</v>
      </c>
      <c r="R68" s="3"/>
      <c r="S68" s="71"/>
    </row>
    <row r="69" ht="14.25" customHeight="1">
      <c r="A69" s="23"/>
      <c r="B69" s="2"/>
      <c r="C69" s="2"/>
      <c r="D69" s="2"/>
      <c r="E69" s="2"/>
      <c r="F69" s="2"/>
      <c r="G69" s="60">
        <f t="shared" si="10"/>
        <v>0.2</v>
      </c>
      <c r="H69" s="60">
        <f t="shared" si="3"/>
        <v>6.4</v>
      </c>
      <c r="I69" s="60">
        <f t="shared" si="11"/>
        <v>0.2</v>
      </c>
      <c r="J69" s="2"/>
      <c r="K69" s="35">
        <f t="shared" si="4"/>
        <v>0.055</v>
      </c>
      <c r="L69" s="35">
        <f t="shared" si="5"/>
        <v>0.296</v>
      </c>
      <c r="M69" s="35">
        <f t="shared" si="6"/>
        <v>0.008333333333</v>
      </c>
      <c r="N69" s="35">
        <f t="shared" si="7"/>
        <v>0.2228571429</v>
      </c>
      <c r="O69" s="35">
        <f t="shared" si="8"/>
        <v>0.5821904762</v>
      </c>
      <c r="P69" s="66">
        <v>6.80000000000001</v>
      </c>
      <c r="Q69" s="68">
        <f t="shared" si="9"/>
        <v>72.14133813</v>
      </c>
      <c r="R69" s="3"/>
      <c r="S69" s="71"/>
    </row>
    <row r="70" ht="14.25" customHeight="1">
      <c r="A70" s="23"/>
      <c r="B70" s="2"/>
      <c r="C70" s="2"/>
      <c r="D70" s="2"/>
      <c r="E70" s="2"/>
      <c r="F70" s="2"/>
      <c r="G70" s="60">
        <f t="shared" si="10"/>
        <v>0.2</v>
      </c>
      <c r="H70" s="60">
        <f t="shared" si="3"/>
        <v>6.5</v>
      </c>
      <c r="I70" s="60">
        <f t="shared" si="11"/>
        <v>0.2</v>
      </c>
      <c r="J70" s="2"/>
      <c r="K70" s="35">
        <f t="shared" si="4"/>
        <v>0.055</v>
      </c>
      <c r="L70" s="35">
        <f t="shared" si="5"/>
        <v>0.3</v>
      </c>
      <c r="M70" s="35">
        <f t="shared" si="6"/>
        <v>0.008333333333</v>
      </c>
      <c r="N70" s="35">
        <f t="shared" si="7"/>
        <v>0.2257142857</v>
      </c>
      <c r="O70" s="35">
        <f t="shared" si="8"/>
        <v>0.589047619</v>
      </c>
      <c r="P70" s="66">
        <v>6.90000000000001</v>
      </c>
      <c r="Q70" s="68">
        <f t="shared" si="9"/>
        <v>71.30153597</v>
      </c>
      <c r="R70" s="3"/>
      <c r="S70" s="71"/>
    </row>
    <row r="71" ht="14.25" customHeight="1">
      <c r="A71" s="23"/>
      <c r="B71" s="2"/>
      <c r="C71" s="2"/>
      <c r="D71" s="2"/>
      <c r="E71" s="2"/>
      <c r="F71" s="2"/>
      <c r="G71" s="60">
        <f t="shared" si="10"/>
        <v>0.2</v>
      </c>
      <c r="H71" s="60">
        <f t="shared" si="3"/>
        <v>6.6</v>
      </c>
      <c r="I71" s="60">
        <f t="shared" si="11"/>
        <v>0.2</v>
      </c>
      <c r="J71" s="2"/>
      <c r="K71" s="35">
        <f t="shared" si="4"/>
        <v>0.055</v>
      </c>
      <c r="L71" s="35">
        <f t="shared" si="5"/>
        <v>0.304</v>
      </c>
      <c r="M71" s="35">
        <f t="shared" si="6"/>
        <v>0.008333333333</v>
      </c>
      <c r="N71" s="35">
        <f t="shared" si="7"/>
        <v>0.2285714286</v>
      </c>
      <c r="O71" s="35">
        <f t="shared" si="8"/>
        <v>0.5959047619</v>
      </c>
      <c r="P71" s="66">
        <v>7.00000000000001</v>
      </c>
      <c r="Q71" s="68">
        <f t="shared" si="9"/>
        <v>70.48106121</v>
      </c>
      <c r="R71" s="3"/>
      <c r="S71" s="71"/>
    </row>
    <row r="72" ht="14.25" customHeight="1">
      <c r="A72" s="23"/>
      <c r="B72" s="2"/>
      <c r="C72" s="2"/>
      <c r="D72" s="2"/>
      <c r="E72" s="2"/>
      <c r="F72" s="2"/>
      <c r="G72" s="60">
        <f t="shared" si="10"/>
        <v>0.2</v>
      </c>
      <c r="H72" s="60">
        <f t="shared" si="3"/>
        <v>6.7</v>
      </c>
      <c r="I72" s="60">
        <f t="shared" si="11"/>
        <v>0.2</v>
      </c>
      <c r="J72" s="2"/>
      <c r="K72" s="35">
        <f t="shared" si="4"/>
        <v>0.055</v>
      </c>
      <c r="L72" s="35">
        <f t="shared" si="5"/>
        <v>0.308</v>
      </c>
      <c r="M72" s="35">
        <f t="shared" si="6"/>
        <v>0.008333333333</v>
      </c>
      <c r="N72" s="35">
        <f t="shared" si="7"/>
        <v>0.2314285714</v>
      </c>
      <c r="O72" s="35">
        <f t="shared" si="8"/>
        <v>0.6027619048</v>
      </c>
      <c r="P72" s="66">
        <v>7.10000000000001</v>
      </c>
      <c r="Q72" s="68">
        <f t="shared" si="9"/>
        <v>69.67925423</v>
      </c>
      <c r="R72" s="3"/>
      <c r="S72" s="71"/>
    </row>
    <row r="73" ht="14.25" customHeight="1">
      <c r="A73" s="23"/>
      <c r="B73" s="2"/>
      <c r="C73" s="2"/>
      <c r="D73" s="2"/>
      <c r="E73" s="2"/>
      <c r="F73" s="2"/>
      <c r="G73" s="60">
        <f t="shared" si="10"/>
        <v>0.2</v>
      </c>
      <c r="H73" s="60">
        <f t="shared" si="3"/>
        <v>6.8</v>
      </c>
      <c r="I73" s="60">
        <f t="shared" si="11"/>
        <v>0.2</v>
      </c>
      <c r="J73" s="2"/>
      <c r="K73" s="35">
        <f t="shared" si="4"/>
        <v>0.055</v>
      </c>
      <c r="L73" s="35">
        <f t="shared" si="5"/>
        <v>0.312</v>
      </c>
      <c r="M73" s="35">
        <f t="shared" si="6"/>
        <v>0.008333333333</v>
      </c>
      <c r="N73" s="35">
        <f t="shared" si="7"/>
        <v>0.2342857143</v>
      </c>
      <c r="O73" s="35">
        <f t="shared" si="8"/>
        <v>0.6096190476</v>
      </c>
      <c r="P73" s="66">
        <v>7.20000000000001</v>
      </c>
      <c r="Q73" s="68">
        <f t="shared" si="9"/>
        <v>68.89548508</v>
      </c>
      <c r="R73" s="3"/>
      <c r="S73" s="71"/>
    </row>
    <row r="74" ht="14.25" customHeight="1">
      <c r="A74" s="23"/>
      <c r="B74" s="2"/>
      <c r="C74" s="2"/>
      <c r="D74" s="2"/>
      <c r="E74" s="2"/>
      <c r="F74" s="2"/>
      <c r="G74" s="60">
        <f t="shared" si="10"/>
        <v>0.2</v>
      </c>
      <c r="H74" s="60">
        <f t="shared" si="3"/>
        <v>6.9</v>
      </c>
      <c r="I74" s="60">
        <f t="shared" si="11"/>
        <v>0.2</v>
      </c>
      <c r="J74" s="2"/>
      <c r="K74" s="35">
        <f t="shared" si="4"/>
        <v>0.055</v>
      </c>
      <c r="L74" s="35">
        <f t="shared" si="5"/>
        <v>0.316</v>
      </c>
      <c r="M74" s="35">
        <f t="shared" si="6"/>
        <v>0.008333333333</v>
      </c>
      <c r="N74" s="35">
        <f t="shared" si="7"/>
        <v>0.2371428571</v>
      </c>
      <c r="O74" s="35">
        <f t="shared" si="8"/>
        <v>0.6164761905</v>
      </c>
      <c r="P74" s="66">
        <v>7.30000000000001</v>
      </c>
      <c r="Q74" s="68">
        <f t="shared" si="9"/>
        <v>68.12915186</v>
      </c>
      <c r="R74" s="3"/>
      <c r="S74" s="71"/>
    </row>
    <row r="75" ht="14.25" customHeight="1">
      <c r="A75" s="23"/>
      <c r="B75" s="2"/>
      <c r="C75" s="2"/>
      <c r="D75" s="2"/>
      <c r="E75" s="2"/>
      <c r="F75" s="2"/>
      <c r="G75" s="60">
        <f t="shared" si="10"/>
        <v>0.2</v>
      </c>
      <c r="H75" s="60">
        <f t="shared" si="3"/>
        <v>7</v>
      </c>
      <c r="I75" s="60">
        <f t="shared" si="11"/>
        <v>0.2</v>
      </c>
      <c r="J75" s="2"/>
      <c r="K75" s="35">
        <f t="shared" si="4"/>
        <v>0.055</v>
      </c>
      <c r="L75" s="35">
        <f t="shared" si="5"/>
        <v>0.32</v>
      </c>
      <c r="M75" s="35">
        <f t="shared" si="6"/>
        <v>0.008333333333</v>
      </c>
      <c r="N75" s="35">
        <f t="shared" si="7"/>
        <v>0.24</v>
      </c>
      <c r="O75" s="35">
        <f t="shared" si="8"/>
        <v>0.6233333333</v>
      </c>
      <c r="P75" s="66">
        <v>7.4</v>
      </c>
      <c r="Q75" s="68">
        <f t="shared" si="9"/>
        <v>67.37967914</v>
      </c>
      <c r="R75" s="3"/>
      <c r="S75" s="71"/>
    </row>
    <row r="76" ht="14.25" customHeight="1">
      <c r="A76" s="23"/>
      <c r="B76" s="2"/>
      <c r="C76" s="2"/>
      <c r="D76" s="2"/>
      <c r="E76" s="2"/>
      <c r="F76" s="2"/>
      <c r="G76" s="60">
        <f t="shared" si="10"/>
        <v>0.2</v>
      </c>
      <c r="H76" s="60">
        <f t="shared" si="3"/>
        <v>7.1</v>
      </c>
      <c r="I76" s="60">
        <f t="shared" si="11"/>
        <v>0.2</v>
      </c>
      <c r="J76" s="2"/>
      <c r="K76" s="35">
        <f t="shared" si="4"/>
        <v>0.055</v>
      </c>
      <c r="L76" s="35">
        <f t="shared" si="5"/>
        <v>0.324</v>
      </c>
      <c r="M76" s="35">
        <f t="shared" si="6"/>
        <v>0.008333333333</v>
      </c>
      <c r="N76" s="35">
        <f t="shared" si="7"/>
        <v>0.2428571429</v>
      </c>
      <c r="O76" s="35">
        <f t="shared" si="8"/>
        <v>0.6301904762</v>
      </c>
      <c r="P76" s="66">
        <v>7.5</v>
      </c>
      <c r="Q76" s="68">
        <f t="shared" si="9"/>
        <v>66.64651655</v>
      </c>
      <c r="R76" s="3"/>
      <c r="S76" s="71"/>
    </row>
    <row r="77" ht="14.25" customHeight="1">
      <c r="A77" s="23"/>
      <c r="B77" s="2"/>
      <c r="C77" s="2"/>
      <c r="D77" s="2"/>
      <c r="E77" s="2"/>
      <c r="F77" s="2"/>
      <c r="G77" s="60">
        <f t="shared" si="10"/>
        <v>0.2</v>
      </c>
      <c r="H77" s="60">
        <f t="shared" si="3"/>
        <v>7.2</v>
      </c>
      <c r="I77" s="60">
        <f t="shared" si="11"/>
        <v>0.2</v>
      </c>
      <c r="J77" s="2"/>
      <c r="K77" s="35">
        <f t="shared" si="4"/>
        <v>0.055</v>
      </c>
      <c r="L77" s="35">
        <f t="shared" si="5"/>
        <v>0.328</v>
      </c>
      <c r="M77" s="35">
        <f t="shared" si="6"/>
        <v>0.008333333333</v>
      </c>
      <c r="N77" s="35">
        <f t="shared" si="7"/>
        <v>0.2457142857</v>
      </c>
      <c r="O77" s="35">
        <f t="shared" si="8"/>
        <v>0.637047619</v>
      </c>
      <c r="P77" s="66">
        <v>7.6</v>
      </c>
      <c r="Q77" s="68">
        <f t="shared" si="9"/>
        <v>65.92913739</v>
      </c>
      <c r="R77" s="3"/>
      <c r="S77" s="71"/>
    </row>
    <row r="78" ht="14.25" customHeight="1">
      <c r="A78" s="23"/>
      <c r="B78" s="2"/>
      <c r="C78" s="2"/>
      <c r="D78" s="2"/>
      <c r="E78" s="2"/>
      <c r="F78" s="2"/>
      <c r="G78" s="60">
        <f t="shared" si="10"/>
        <v>0.2</v>
      </c>
      <c r="H78" s="60">
        <f t="shared" si="3"/>
        <v>7.3</v>
      </c>
      <c r="I78" s="60">
        <f t="shared" si="11"/>
        <v>0.2</v>
      </c>
      <c r="J78" s="2"/>
      <c r="K78" s="35">
        <f t="shared" si="4"/>
        <v>0.055</v>
      </c>
      <c r="L78" s="35">
        <f t="shared" si="5"/>
        <v>0.332</v>
      </c>
      <c r="M78" s="35">
        <f t="shared" si="6"/>
        <v>0.008333333333</v>
      </c>
      <c r="N78" s="35">
        <f t="shared" si="7"/>
        <v>0.2485714286</v>
      </c>
      <c r="O78" s="35">
        <f t="shared" si="8"/>
        <v>0.6439047619</v>
      </c>
      <c r="P78" s="66">
        <v>7.7</v>
      </c>
      <c r="Q78" s="68">
        <f t="shared" si="9"/>
        <v>65.22703742</v>
      </c>
      <c r="R78" s="3"/>
      <c r="S78" s="71"/>
    </row>
    <row r="79" ht="14.25" customHeight="1">
      <c r="A79" s="23"/>
      <c r="B79" s="2"/>
      <c r="C79" s="2"/>
      <c r="D79" s="2"/>
      <c r="E79" s="2"/>
      <c r="F79" s="2"/>
      <c r="G79" s="60">
        <f t="shared" si="10"/>
        <v>0.2</v>
      </c>
      <c r="H79" s="60">
        <f t="shared" si="3"/>
        <v>7.4</v>
      </c>
      <c r="I79" s="60">
        <f t="shared" si="11"/>
        <v>0.2</v>
      </c>
      <c r="J79" s="2"/>
      <c r="K79" s="35">
        <f t="shared" si="4"/>
        <v>0.055</v>
      </c>
      <c r="L79" s="35">
        <f t="shared" si="5"/>
        <v>0.336</v>
      </c>
      <c r="M79" s="35">
        <f t="shared" si="6"/>
        <v>0.008333333333</v>
      </c>
      <c r="N79" s="35">
        <f t="shared" si="7"/>
        <v>0.2514285714</v>
      </c>
      <c r="O79" s="35">
        <f t="shared" si="8"/>
        <v>0.6507619048</v>
      </c>
      <c r="P79" s="66">
        <v>7.8</v>
      </c>
      <c r="Q79" s="68">
        <f t="shared" si="9"/>
        <v>64.53973365</v>
      </c>
      <c r="R79" s="3"/>
      <c r="S79" s="71"/>
    </row>
    <row r="80" ht="14.25" customHeight="1">
      <c r="A80" s="23"/>
      <c r="B80" s="2"/>
      <c r="C80" s="2"/>
      <c r="D80" s="2"/>
      <c r="E80" s="2"/>
      <c r="F80" s="2"/>
      <c r="G80" s="60">
        <f t="shared" si="10"/>
        <v>0.2</v>
      </c>
      <c r="H80" s="60">
        <f t="shared" si="3"/>
        <v>7.5</v>
      </c>
      <c r="I80" s="60">
        <f t="shared" si="11"/>
        <v>0.2</v>
      </c>
      <c r="J80" s="2"/>
      <c r="K80" s="35">
        <f t="shared" si="4"/>
        <v>0.055</v>
      </c>
      <c r="L80" s="35">
        <f t="shared" si="5"/>
        <v>0.34</v>
      </c>
      <c r="M80" s="35">
        <f t="shared" si="6"/>
        <v>0.008333333333</v>
      </c>
      <c r="N80" s="35">
        <f t="shared" si="7"/>
        <v>0.2542857143</v>
      </c>
      <c r="O80" s="35">
        <f t="shared" si="8"/>
        <v>0.6576190476</v>
      </c>
      <c r="P80" s="66">
        <v>7.9</v>
      </c>
      <c r="Q80" s="68">
        <f t="shared" si="9"/>
        <v>63.86676322</v>
      </c>
      <c r="R80" s="3"/>
      <c r="S80" s="71"/>
    </row>
    <row r="81" ht="14.25" customHeight="1">
      <c r="A81" s="23"/>
      <c r="B81" s="2"/>
      <c r="C81" s="2"/>
      <c r="D81" s="2"/>
      <c r="E81" s="2"/>
      <c r="F81" s="2"/>
      <c r="G81" s="60">
        <f t="shared" si="10"/>
        <v>0.2</v>
      </c>
      <c r="H81" s="60">
        <f t="shared" si="3"/>
        <v>7.6</v>
      </c>
      <c r="I81" s="60">
        <f t="shared" si="11"/>
        <v>0.2</v>
      </c>
      <c r="J81" s="2"/>
      <c r="K81" s="35">
        <f t="shared" si="4"/>
        <v>0.055</v>
      </c>
      <c r="L81" s="35">
        <f t="shared" si="5"/>
        <v>0.344</v>
      </c>
      <c r="M81" s="35">
        <f t="shared" si="6"/>
        <v>0.008333333333</v>
      </c>
      <c r="N81" s="35">
        <f t="shared" si="7"/>
        <v>0.2571428571</v>
      </c>
      <c r="O81" s="35">
        <f t="shared" si="8"/>
        <v>0.6644761905</v>
      </c>
      <c r="P81" s="66">
        <v>8.0</v>
      </c>
      <c r="Q81" s="68">
        <f t="shared" si="9"/>
        <v>63.20768238</v>
      </c>
      <c r="R81" s="3"/>
      <c r="S81" s="71"/>
    </row>
    <row r="82" ht="14.25" customHeight="1">
      <c r="A82" s="23"/>
      <c r="B82" s="2"/>
      <c r="C82" s="2"/>
      <c r="D82" s="2"/>
      <c r="E82" s="2"/>
      <c r="F82" s="2"/>
      <c r="G82" s="60">
        <f t="shared" si="10"/>
        <v>0.2</v>
      </c>
      <c r="H82" s="60">
        <f t="shared" si="3"/>
        <v>7.7</v>
      </c>
      <c r="I82" s="60">
        <f t="shared" si="11"/>
        <v>0.2</v>
      </c>
      <c r="J82" s="2"/>
      <c r="K82" s="35">
        <f t="shared" si="4"/>
        <v>0.055</v>
      </c>
      <c r="L82" s="35">
        <f t="shared" si="5"/>
        <v>0.348</v>
      </c>
      <c r="M82" s="35">
        <f t="shared" si="6"/>
        <v>0.008333333333</v>
      </c>
      <c r="N82" s="35">
        <f t="shared" si="7"/>
        <v>0.26</v>
      </c>
      <c r="O82" s="35">
        <f t="shared" si="8"/>
        <v>0.6713333333</v>
      </c>
      <c r="P82" s="66">
        <v>8.1</v>
      </c>
      <c r="Q82" s="68">
        <f t="shared" si="9"/>
        <v>62.56206554</v>
      </c>
      <c r="R82" s="3"/>
      <c r="S82" s="71"/>
    </row>
    <row r="83" ht="14.25" customHeight="1">
      <c r="A83" s="23"/>
      <c r="B83" s="2"/>
      <c r="C83" s="2"/>
      <c r="D83" s="2"/>
      <c r="E83" s="2"/>
      <c r="F83" s="2"/>
      <c r="G83" s="60">
        <f t="shared" si="10"/>
        <v>0.2</v>
      </c>
      <c r="H83" s="60">
        <f t="shared" si="3"/>
        <v>7.8</v>
      </c>
      <c r="I83" s="60">
        <f t="shared" si="11"/>
        <v>0.2</v>
      </c>
      <c r="J83" s="2"/>
      <c r="K83" s="35">
        <f t="shared" si="4"/>
        <v>0.055</v>
      </c>
      <c r="L83" s="35">
        <f t="shared" si="5"/>
        <v>0.352</v>
      </c>
      <c r="M83" s="35">
        <f t="shared" si="6"/>
        <v>0.008333333333</v>
      </c>
      <c r="N83" s="35">
        <f t="shared" si="7"/>
        <v>0.2628571429</v>
      </c>
      <c r="O83" s="35">
        <f t="shared" si="8"/>
        <v>0.6781904762</v>
      </c>
      <c r="P83" s="66">
        <v>8.2</v>
      </c>
      <c r="Q83" s="68">
        <f t="shared" si="9"/>
        <v>61.92950428</v>
      </c>
      <c r="R83" s="3"/>
      <c r="S83" s="71"/>
    </row>
    <row r="84" ht="14.25" customHeight="1">
      <c r="A84" s="23"/>
      <c r="B84" s="2"/>
      <c r="C84" s="2"/>
      <c r="D84" s="2"/>
      <c r="E84" s="2"/>
      <c r="F84" s="2"/>
      <c r="G84" s="60">
        <f t="shared" si="10"/>
        <v>0.2</v>
      </c>
      <c r="H84" s="60">
        <f t="shared" si="3"/>
        <v>7.9</v>
      </c>
      <c r="I84" s="60">
        <f t="shared" si="11"/>
        <v>0.2</v>
      </c>
      <c r="J84" s="2"/>
      <c r="K84" s="35">
        <f t="shared" si="4"/>
        <v>0.055</v>
      </c>
      <c r="L84" s="35">
        <f t="shared" si="5"/>
        <v>0.356</v>
      </c>
      <c r="M84" s="35">
        <f t="shared" si="6"/>
        <v>0.008333333333</v>
      </c>
      <c r="N84" s="35">
        <f t="shared" si="7"/>
        <v>0.2657142857</v>
      </c>
      <c r="O84" s="35">
        <f t="shared" si="8"/>
        <v>0.685047619</v>
      </c>
      <c r="P84" s="66">
        <v>8.3</v>
      </c>
      <c r="Q84" s="68">
        <f t="shared" si="9"/>
        <v>61.30960656</v>
      </c>
      <c r="R84" s="3"/>
      <c r="S84" s="71"/>
    </row>
    <row r="85" ht="14.25" customHeight="1">
      <c r="A85" s="23"/>
      <c r="B85" s="2"/>
      <c r="C85" s="2"/>
      <c r="D85" s="2"/>
      <c r="E85" s="2"/>
      <c r="F85" s="2"/>
      <c r="G85" s="60">
        <f t="shared" si="10"/>
        <v>0.2</v>
      </c>
      <c r="H85" s="60">
        <f t="shared" si="3"/>
        <v>8</v>
      </c>
      <c r="I85" s="60">
        <f t="shared" si="11"/>
        <v>0.2</v>
      </c>
      <c r="J85" s="2"/>
      <c r="K85" s="35">
        <f t="shared" si="4"/>
        <v>0.055</v>
      </c>
      <c r="L85" s="35">
        <f t="shared" si="5"/>
        <v>0.36</v>
      </c>
      <c r="M85" s="35">
        <f t="shared" si="6"/>
        <v>0.008333333333</v>
      </c>
      <c r="N85" s="35">
        <f t="shared" si="7"/>
        <v>0.2685714286</v>
      </c>
      <c r="O85" s="35">
        <f t="shared" si="8"/>
        <v>0.6919047619</v>
      </c>
      <c r="P85" s="66">
        <v>8.4</v>
      </c>
      <c r="Q85" s="68">
        <f t="shared" si="9"/>
        <v>60.70199587</v>
      </c>
      <c r="R85" s="3"/>
      <c r="S85" s="71"/>
    </row>
    <row r="86" ht="14.25" customHeight="1">
      <c r="A86" s="23"/>
      <c r="B86" s="2"/>
      <c r="C86" s="2"/>
      <c r="D86" s="2"/>
      <c r="E86" s="2"/>
      <c r="F86" s="2"/>
      <c r="G86" s="60">
        <f t="shared" si="10"/>
        <v>0.2</v>
      </c>
      <c r="H86" s="60">
        <f t="shared" si="3"/>
        <v>8.1</v>
      </c>
      <c r="I86" s="60">
        <f t="shared" si="11"/>
        <v>0.2</v>
      </c>
      <c r="J86" s="2"/>
      <c r="K86" s="35">
        <f t="shared" si="4"/>
        <v>0.055</v>
      </c>
      <c r="L86" s="35">
        <f t="shared" si="5"/>
        <v>0.364</v>
      </c>
      <c r="M86" s="35">
        <f t="shared" si="6"/>
        <v>0.008333333333</v>
      </c>
      <c r="N86" s="35">
        <f t="shared" si="7"/>
        <v>0.2714285714</v>
      </c>
      <c r="O86" s="35">
        <f t="shared" si="8"/>
        <v>0.6987619048</v>
      </c>
      <c r="P86" s="66">
        <v>8.5</v>
      </c>
      <c r="Q86" s="68">
        <f t="shared" si="9"/>
        <v>60.10631048</v>
      </c>
      <c r="R86" s="3"/>
      <c r="S86" s="71"/>
    </row>
    <row r="87" ht="14.25" customHeight="1">
      <c r="A87" s="23"/>
      <c r="B87" s="2"/>
      <c r="C87" s="2"/>
      <c r="D87" s="2"/>
      <c r="E87" s="2"/>
      <c r="F87" s="2"/>
      <c r="G87" s="60">
        <f t="shared" si="10"/>
        <v>0.2</v>
      </c>
      <c r="H87" s="60">
        <f t="shared" si="3"/>
        <v>8.2</v>
      </c>
      <c r="I87" s="60">
        <f t="shared" si="11"/>
        <v>0.2</v>
      </c>
      <c r="J87" s="2"/>
      <c r="K87" s="35">
        <f t="shared" si="4"/>
        <v>0.055</v>
      </c>
      <c r="L87" s="35">
        <f t="shared" si="5"/>
        <v>0.368</v>
      </c>
      <c r="M87" s="35">
        <f t="shared" si="6"/>
        <v>0.008333333333</v>
      </c>
      <c r="N87" s="35">
        <f t="shared" si="7"/>
        <v>0.2742857143</v>
      </c>
      <c r="O87" s="35">
        <f t="shared" si="8"/>
        <v>0.7056190476</v>
      </c>
      <c r="P87" s="66">
        <v>8.6</v>
      </c>
      <c r="Q87" s="68">
        <f t="shared" si="9"/>
        <v>59.52220273</v>
      </c>
      <c r="R87" s="3"/>
      <c r="S87" s="71"/>
    </row>
    <row r="88" ht="14.25" customHeight="1">
      <c r="A88" s="23"/>
      <c r="B88" s="2"/>
      <c r="C88" s="2"/>
      <c r="D88" s="2"/>
      <c r="E88" s="2"/>
      <c r="F88" s="2"/>
      <c r="G88" s="60">
        <f t="shared" si="10"/>
        <v>0.2</v>
      </c>
      <c r="H88" s="60">
        <f t="shared" si="3"/>
        <v>8.3</v>
      </c>
      <c r="I88" s="60">
        <f t="shared" si="11"/>
        <v>0.2</v>
      </c>
      <c r="J88" s="2"/>
      <c r="K88" s="35">
        <f t="shared" si="4"/>
        <v>0.055</v>
      </c>
      <c r="L88" s="35">
        <f t="shared" si="5"/>
        <v>0.372</v>
      </c>
      <c r="M88" s="35">
        <f t="shared" si="6"/>
        <v>0.008333333333</v>
      </c>
      <c r="N88" s="35">
        <f t="shared" si="7"/>
        <v>0.2771428571</v>
      </c>
      <c r="O88" s="35">
        <f t="shared" si="8"/>
        <v>0.7124761905</v>
      </c>
      <c r="P88" s="66">
        <v>8.7</v>
      </c>
      <c r="Q88" s="68">
        <f t="shared" si="9"/>
        <v>58.94933832</v>
      </c>
      <c r="R88" s="3"/>
      <c r="S88" s="71"/>
    </row>
    <row r="89" ht="14.25" customHeight="1">
      <c r="A89" s="23"/>
      <c r="B89" s="2"/>
      <c r="C89" s="2"/>
      <c r="D89" s="2"/>
      <c r="E89" s="2"/>
      <c r="F89" s="2"/>
      <c r="G89" s="60">
        <f t="shared" si="10"/>
        <v>0.2</v>
      </c>
      <c r="H89" s="60">
        <f t="shared" si="3"/>
        <v>8.4</v>
      </c>
      <c r="I89" s="60">
        <f t="shared" si="11"/>
        <v>0.2</v>
      </c>
      <c r="J89" s="2"/>
      <c r="K89" s="35">
        <f t="shared" si="4"/>
        <v>0.055</v>
      </c>
      <c r="L89" s="35">
        <f t="shared" si="5"/>
        <v>0.376</v>
      </c>
      <c r="M89" s="35">
        <f t="shared" si="6"/>
        <v>0.008333333333</v>
      </c>
      <c r="N89" s="35">
        <f t="shared" si="7"/>
        <v>0.28</v>
      </c>
      <c r="O89" s="35">
        <f t="shared" si="8"/>
        <v>0.7193333333</v>
      </c>
      <c r="P89" s="66">
        <v>8.8</v>
      </c>
      <c r="Q89" s="68">
        <f t="shared" si="9"/>
        <v>58.38739574</v>
      </c>
      <c r="R89" s="3"/>
      <c r="S89" s="71"/>
    </row>
    <row r="90" ht="14.25" customHeight="1">
      <c r="A90" s="23"/>
      <c r="B90" s="2"/>
      <c r="C90" s="2"/>
      <c r="D90" s="2"/>
      <c r="E90" s="2"/>
      <c r="F90" s="2"/>
      <c r="G90" s="60">
        <f t="shared" si="10"/>
        <v>0.2</v>
      </c>
      <c r="H90" s="60">
        <f t="shared" si="3"/>
        <v>8.5</v>
      </c>
      <c r="I90" s="60">
        <f t="shared" si="11"/>
        <v>0.2</v>
      </c>
      <c r="J90" s="2"/>
      <c r="K90" s="35">
        <f t="shared" si="4"/>
        <v>0.055</v>
      </c>
      <c r="L90" s="35">
        <f t="shared" si="5"/>
        <v>0.38</v>
      </c>
      <c r="M90" s="35">
        <f t="shared" si="6"/>
        <v>0.008333333333</v>
      </c>
      <c r="N90" s="35">
        <f t="shared" si="7"/>
        <v>0.2828571429</v>
      </c>
      <c r="O90" s="35">
        <f t="shared" si="8"/>
        <v>0.7261904762</v>
      </c>
      <c r="P90" s="66">
        <v>8.9</v>
      </c>
      <c r="Q90" s="68">
        <f t="shared" si="9"/>
        <v>57.83606557</v>
      </c>
      <c r="R90" s="3"/>
      <c r="S90" s="71"/>
    </row>
    <row r="91" ht="14.25" customHeight="1">
      <c r="A91" s="23"/>
      <c r="B91" s="2"/>
      <c r="C91" s="2"/>
      <c r="D91" s="2"/>
      <c r="E91" s="2"/>
      <c r="F91" s="2"/>
      <c r="G91" s="60">
        <f t="shared" si="10"/>
        <v>0.2</v>
      </c>
      <c r="H91" s="60">
        <f t="shared" si="3"/>
        <v>8.6</v>
      </c>
      <c r="I91" s="60">
        <f t="shared" si="11"/>
        <v>0.2</v>
      </c>
      <c r="J91" s="2"/>
      <c r="K91" s="35">
        <f t="shared" si="4"/>
        <v>0.055</v>
      </c>
      <c r="L91" s="35">
        <f t="shared" si="5"/>
        <v>0.384</v>
      </c>
      <c r="M91" s="35">
        <f t="shared" si="6"/>
        <v>0.008333333333</v>
      </c>
      <c r="N91" s="35">
        <f t="shared" si="7"/>
        <v>0.2857142857</v>
      </c>
      <c r="O91" s="35">
        <f t="shared" si="8"/>
        <v>0.733047619</v>
      </c>
      <c r="P91" s="66">
        <v>9.0</v>
      </c>
      <c r="Q91" s="68">
        <f t="shared" si="9"/>
        <v>57.29505002</v>
      </c>
      <c r="R91" s="3"/>
      <c r="S91" s="71"/>
    </row>
    <row r="92" ht="14.25" customHeight="1">
      <c r="A92" s="23"/>
      <c r="B92" s="2"/>
      <c r="C92" s="2"/>
      <c r="D92" s="2"/>
      <c r="E92" s="2"/>
      <c r="F92" s="2"/>
      <c r="G92" s="60">
        <f t="shared" si="10"/>
        <v>0.2</v>
      </c>
      <c r="H92" s="60">
        <f t="shared" si="3"/>
        <v>8.7</v>
      </c>
      <c r="I92" s="60">
        <f t="shared" si="11"/>
        <v>0.2</v>
      </c>
      <c r="J92" s="2"/>
      <c r="K92" s="35">
        <f t="shared" si="4"/>
        <v>0.055</v>
      </c>
      <c r="L92" s="35">
        <f t="shared" si="5"/>
        <v>0.388</v>
      </c>
      <c r="M92" s="35">
        <f t="shared" si="6"/>
        <v>0.008333333333</v>
      </c>
      <c r="N92" s="35">
        <f t="shared" si="7"/>
        <v>0.2885714286</v>
      </c>
      <c r="O92" s="35">
        <f t="shared" si="8"/>
        <v>0.7399047619</v>
      </c>
      <c r="P92" s="66">
        <v>9.1</v>
      </c>
      <c r="Q92" s="68">
        <f t="shared" si="9"/>
        <v>56.7640623</v>
      </c>
      <c r="R92" s="3"/>
      <c r="S92" s="71"/>
    </row>
    <row r="93" ht="14.25" customHeight="1">
      <c r="A93" s="23"/>
      <c r="B93" s="2"/>
      <c r="C93" s="2"/>
      <c r="D93" s="2"/>
      <c r="E93" s="2"/>
      <c r="F93" s="2"/>
      <c r="G93" s="60">
        <f t="shared" si="10"/>
        <v>0.2</v>
      </c>
      <c r="H93" s="60">
        <f t="shared" si="3"/>
        <v>8.8</v>
      </c>
      <c r="I93" s="60">
        <f t="shared" si="11"/>
        <v>0.2</v>
      </c>
      <c r="J93" s="2"/>
      <c r="K93" s="35">
        <f t="shared" si="4"/>
        <v>0.055</v>
      </c>
      <c r="L93" s="35">
        <f t="shared" si="5"/>
        <v>0.392</v>
      </c>
      <c r="M93" s="35">
        <f t="shared" si="6"/>
        <v>0.008333333333</v>
      </c>
      <c r="N93" s="35">
        <f t="shared" si="7"/>
        <v>0.2914285714</v>
      </c>
      <c r="O93" s="35">
        <f t="shared" si="8"/>
        <v>0.7467619048</v>
      </c>
      <c r="P93" s="66">
        <v>9.2</v>
      </c>
      <c r="Q93" s="68">
        <f t="shared" si="9"/>
        <v>56.24282617</v>
      </c>
      <c r="R93" s="3"/>
      <c r="S93" s="71"/>
    </row>
    <row r="94" ht="14.25" customHeight="1">
      <c r="A94" s="23"/>
      <c r="B94" s="2"/>
      <c r="C94" s="2"/>
      <c r="D94" s="2"/>
      <c r="E94" s="2"/>
      <c r="F94" s="2"/>
      <c r="G94" s="60">
        <f t="shared" si="10"/>
        <v>0.2</v>
      </c>
      <c r="H94" s="60">
        <f t="shared" si="3"/>
        <v>8.9</v>
      </c>
      <c r="I94" s="60">
        <f t="shared" si="11"/>
        <v>0.2</v>
      </c>
      <c r="J94" s="2"/>
      <c r="K94" s="35">
        <f t="shared" si="4"/>
        <v>0.055</v>
      </c>
      <c r="L94" s="35">
        <f t="shared" si="5"/>
        <v>0.396</v>
      </c>
      <c r="M94" s="35">
        <f t="shared" si="6"/>
        <v>0.008333333333</v>
      </c>
      <c r="N94" s="35">
        <f t="shared" si="7"/>
        <v>0.2942857143</v>
      </c>
      <c r="O94" s="35">
        <f t="shared" si="8"/>
        <v>0.7536190476</v>
      </c>
      <c r="P94" s="66">
        <v>9.3</v>
      </c>
      <c r="Q94" s="68">
        <f t="shared" si="9"/>
        <v>55.73107545</v>
      </c>
      <c r="R94" s="3"/>
      <c r="S94" s="71"/>
    </row>
    <row r="95" ht="14.25" customHeight="1">
      <c r="A95" s="23"/>
      <c r="B95" s="2"/>
      <c r="C95" s="2"/>
      <c r="D95" s="2"/>
      <c r="E95" s="2"/>
      <c r="F95" s="2"/>
      <c r="G95" s="60">
        <f t="shared" si="10"/>
        <v>0.2</v>
      </c>
      <c r="H95" s="60">
        <f t="shared" si="3"/>
        <v>9</v>
      </c>
      <c r="I95" s="60">
        <f t="shared" si="11"/>
        <v>0.2</v>
      </c>
      <c r="J95" s="2"/>
      <c r="K95" s="35">
        <f t="shared" si="4"/>
        <v>0.055</v>
      </c>
      <c r="L95" s="35">
        <f t="shared" si="5"/>
        <v>0.4</v>
      </c>
      <c r="M95" s="35">
        <f t="shared" si="6"/>
        <v>0.008333333333</v>
      </c>
      <c r="N95" s="35">
        <f t="shared" si="7"/>
        <v>0.2971428571</v>
      </c>
      <c r="O95" s="35">
        <f t="shared" si="8"/>
        <v>0.7604761905</v>
      </c>
      <c r="P95" s="66">
        <v>9.4</v>
      </c>
      <c r="Q95" s="68">
        <f t="shared" si="9"/>
        <v>55.22855354</v>
      </c>
      <c r="R95" s="3"/>
      <c r="S95" s="71"/>
    </row>
    <row r="96" ht="14.25" customHeight="1">
      <c r="A96" s="23"/>
      <c r="B96" s="2"/>
      <c r="C96" s="2"/>
      <c r="D96" s="2"/>
      <c r="E96" s="2"/>
      <c r="F96" s="2"/>
      <c r="G96" s="60">
        <f t="shared" si="10"/>
        <v>0.2</v>
      </c>
      <c r="H96" s="60">
        <f t="shared" si="3"/>
        <v>9.1</v>
      </c>
      <c r="I96" s="60">
        <f t="shared" si="11"/>
        <v>0.2</v>
      </c>
      <c r="J96" s="2"/>
      <c r="K96" s="35">
        <f t="shared" si="4"/>
        <v>0.055</v>
      </c>
      <c r="L96" s="35">
        <f t="shared" si="5"/>
        <v>0.404</v>
      </c>
      <c r="M96" s="35">
        <f t="shared" si="6"/>
        <v>0.008333333333</v>
      </c>
      <c r="N96" s="35">
        <f t="shared" si="7"/>
        <v>0.3</v>
      </c>
      <c r="O96" s="35">
        <f t="shared" si="8"/>
        <v>0.7673333333</v>
      </c>
      <c r="P96" s="66">
        <v>9.5</v>
      </c>
      <c r="Q96" s="68">
        <f t="shared" si="9"/>
        <v>54.73501303</v>
      </c>
      <c r="R96" s="3"/>
      <c r="S96" s="71"/>
    </row>
    <row r="97" ht="14.25" customHeight="1">
      <c r="A97" s="23"/>
      <c r="B97" s="2"/>
      <c r="C97" s="2"/>
      <c r="D97" s="2"/>
      <c r="E97" s="2"/>
      <c r="F97" s="2"/>
      <c r="G97" s="60">
        <f t="shared" si="10"/>
        <v>0.2</v>
      </c>
      <c r="H97" s="60">
        <f t="shared" si="3"/>
        <v>9.2</v>
      </c>
      <c r="I97" s="60">
        <f t="shared" si="11"/>
        <v>0.2</v>
      </c>
      <c r="J97" s="2"/>
      <c r="K97" s="35">
        <f t="shared" si="4"/>
        <v>0.055</v>
      </c>
      <c r="L97" s="35">
        <f t="shared" si="5"/>
        <v>0.408</v>
      </c>
      <c r="M97" s="35">
        <f t="shared" si="6"/>
        <v>0.008333333333</v>
      </c>
      <c r="N97" s="35">
        <f t="shared" si="7"/>
        <v>0.3028571429</v>
      </c>
      <c r="O97" s="35">
        <f t="shared" si="8"/>
        <v>0.7741904762</v>
      </c>
      <c r="P97" s="66">
        <v>9.6</v>
      </c>
      <c r="Q97" s="68">
        <f t="shared" si="9"/>
        <v>54.25021528</v>
      </c>
      <c r="R97" s="3"/>
      <c r="S97" s="71"/>
    </row>
    <row r="98" ht="14.25" customHeight="1">
      <c r="A98" s="23"/>
      <c r="B98" s="2"/>
      <c r="C98" s="2"/>
      <c r="D98" s="2"/>
      <c r="E98" s="2"/>
      <c r="F98" s="2"/>
      <c r="G98" s="60">
        <f t="shared" si="10"/>
        <v>0.2</v>
      </c>
      <c r="H98" s="60">
        <f t="shared" si="3"/>
        <v>9.3</v>
      </c>
      <c r="I98" s="60">
        <f t="shared" si="11"/>
        <v>0.2</v>
      </c>
      <c r="J98" s="2"/>
      <c r="K98" s="35">
        <f t="shared" si="4"/>
        <v>0.055</v>
      </c>
      <c r="L98" s="35">
        <f t="shared" si="5"/>
        <v>0.412</v>
      </c>
      <c r="M98" s="35">
        <f t="shared" si="6"/>
        <v>0.008333333333</v>
      </c>
      <c r="N98" s="35">
        <f t="shared" si="7"/>
        <v>0.3057142857</v>
      </c>
      <c r="O98" s="35">
        <f t="shared" si="8"/>
        <v>0.781047619</v>
      </c>
      <c r="P98" s="66">
        <v>9.7</v>
      </c>
      <c r="Q98" s="68">
        <f t="shared" si="9"/>
        <v>53.77393001</v>
      </c>
      <c r="R98" s="3"/>
      <c r="S98" s="71"/>
    </row>
    <row r="99" ht="14.25" customHeight="1">
      <c r="A99" s="23"/>
      <c r="B99" s="2"/>
      <c r="C99" s="2"/>
      <c r="D99" s="2"/>
      <c r="E99" s="2"/>
      <c r="F99" s="2"/>
      <c r="G99" s="60">
        <f t="shared" si="10"/>
        <v>0.2</v>
      </c>
      <c r="H99" s="60">
        <f t="shared" si="3"/>
        <v>9.4</v>
      </c>
      <c r="I99" s="60">
        <f t="shared" si="11"/>
        <v>0.2</v>
      </c>
      <c r="J99" s="2"/>
      <c r="K99" s="35">
        <f t="shared" si="4"/>
        <v>0.055</v>
      </c>
      <c r="L99" s="35">
        <f t="shared" si="5"/>
        <v>0.416</v>
      </c>
      <c r="M99" s="35">
        <f t="shared" si="6"/>
        <v>0.008333333333</v>
      </c>
      <c r="N99" s="35">
        <f t="shared" si="7"/>
        <v>0.3085714286</v>
      </c>
      <c r="O99" s="35">
        <f t="shared" si="8"/>
        <v>0.7879047619</v>
      </c>
      <c r="P99" s="66">
        <v>9.8</v>
      </c>
      <c r="Q99" s="68">
        <f t="shared" si="9"/>
        <v>53.30593497</v>
      </c>
      <c r="R99" s="3"/>
      <c r="S99" s="71"/>
    </row>
    <row r="100" ht="14.25" customHeight="1">
      <c r="A100" s="23"/>
      <c r="B100" s="2"/>
      <c r="C100" s="2"/>
      <c r="D100" s="2"/>
      <c r="E100" s="2"/>
      <c r="F100" s="2"/>
      <c r="G100" s="60">
        <f t="shared" si="10"/>
        <v>0.2</v>
      </c>
      <c r="H100" s="60">
        <f t="shared" si="3"/>
        <v>9.5</v>
      </c>
      <c r="I100" s="60">
        <f t="shared" si="11"/>
        <v>0.2</v>
      </c>
      <c r="J100" s="2"/>
      <c r="K100" s="35">
        <f t="shared" si="4"/>
        <v>0.055</v>
      </c>
      <c r="L100" s="35">
        <f t="shared" si="5"/>
        <v>0.42</v>
      </c>
      <c r="M100" s="35">
        <f t="shared" si="6"/>
        <v>0.008333333333</v>
      </c>
      <c r="N100" s="35">
        <f t="shared" si="7"/>
        <v>0.3114285714</v>
      </c>
      <c r="O100" s="35">
        <f t="shared" si="8"/>
        <v>0.7947619048</v>
      </c>
      <c r="P100" s="66">
        <v>9.9</v>
      </c>
      <c r="Q100" s="68">
        <f t="shared" si="9"/>
        <v>52.84601558</v>
      </c>
      <c r="R100" s="3"/>
      <c r="S100" s="71"/>
    </row>
    <row r="101" ht="14.25" customHeight="1">
      <c r="A101" s="23"/>
      <c r="B101" s="2"/>
      <c r="C101" s="2"/>
      <c r="D101" s="2"/>
      <c r="E101" s="2"/>
      <c r="F101" s="2"/>
      <c r="G101" s="60">
        <f t="shared" si="10"/>
        <v>0.2</v>
      </c>
      <c r="H101" s="60">
        <f t="shared" si="3"/>
        <v>9.6</v>
      </c>
      <c r="I101" s="60">
        <f t="shared" si="11"/>
        <v>0.2</v>
      </c>
      <c r="J101" s="2"/>
      <c r="K101" s="35">
        <f t="shared" si="4"/>
        <v>0.055</v>
      </c>
      <c r="L101" s="35">
        <f t="shared" si="5"/>
        <v>0.424</v>
      </c>
      <c r="M101" s="35">
        <f t="shared" si="6"/>
        <v>0.008333333333</v>
      </c>
      <c r="N101" s="35">
        <f t="shared" si="7"/>
        <v>0.3142857143</v>
      </c>
      <c r="O101" s="35">
        <f t="shared" si="8"/>
        <v>0.8016190476</v>
      </c>
      <c r="P101" s="66">
        <v>10.0</v>
      </c>
      <c r="Q101" s="68">
        <f t="shared" si="9"/>
        <v>52.3939646</v>
      </c>
      <c r="R101" s="3"/>
      <c r="S101" s="71"/>
    </row>
    <row r="102" ht="14.25" customHeight="1">
      <c r="A102" s="23"/>
      <c r="B102" s="2"/>
      <c r="C102" s="2"/>
      <c r="D102" s="2"/>
      <c r="E102" s="2"/>
      <c r="F102" s="2"/>
      <c r="G102" s="60">
        <f t="shared" si="10"/>
        <v>0.2</v>
      </c>
      <c r="H102" s="60">
        <f t="shared" si="3"/>
        <v>9.7</v>
      </c>
      <c r="I102" s="60">
        <f t="shared" si="11"/>
        <v>0.2</v>
      </c>
      <c r="J102" s="2"/>
      <c r="K102" s="35">
        <f t="shared" si="4"/>
        <v>0.055</v>
      </c>
      <c r="L102" s="35">
        <f t="shared" si="5"/>
        <v>0.428</v>
      </c>
      <c r="M102" s="35">
        <f t="shared" si="6"/>
        <v>0.008333333333</v>
      </c>
      <c r="N102" s="35">
        <f t="shared" si="7"/>
        <v>0.3171428571</v>
      </c>
      <c r="O102" s="35">
        <f t="shared" si="8"/>
        <v>0.8084761905</v>
      </c>
      <c r="P102" s="66">
        <v>10.1</v>
      </c>
      <c r="Q102" s="68">
        <f t="shared" si="9"/>
        <v>51.94958181</v>
      </c>
      <c r="R102" s="3"/>
      <c r="S102" s="71"/>
    </row>
    <row r="103" ht="14.25" customHeight="1">
      <c r="A103" s="23"/>
      <c r="B103" s="2"/>
      <c r="C103" s="2"/>
      <c r="D103" s="2"/>
      <c r="E103" s="2"/>
      <c r="F103" s="2"/>
      <c r="G103" s="60">
        <f t="shared" si="10"/>
        <v>0.2</v>
      </c>
      <c r="H103" s="60">
        <f t="shared" si="3"/>
        <v>9.8</v>
      </c>
      <c r="I103" s="60">
        <f t="shared" si="11"/>
        <v>0.2</v>
      </c>
      <c r="J103" s="2"/>
      <c r="K103" s="35">
        <f t="shared" si="4"/>
        <v>0.055</v>
      </c>
      <c r="L103" s="35">
        <f t="shared" si="5"/>
        <v>0.432</v>
      </c>
      <c r="M103" s="35">
        <f t="shared" si="6"/>
        <v>0.008333333333</v>
      </c>
      <c r="N103" s="35">
        <f t="shared" si="7"/>
        <v>0.32</v>
      </c>
      <c r="O103" s="35">
        <f t="shared" si="8"/>
        <v>0.8153333333</v>
      </c>
      <c r="P103" s="66">
        <v>10.2</v>
      </c>
      <c r="Q103" s="68">
        <f t="shared" si="9"/>
        <v>51.51267375</v>
      </c>
      <c r="R103" s="3"/>
      <c r="S103" s="71"/>
    </row>
    <row r="104" ht="14.25" customHeight="1">
      <c r="A104" s="2"/>
      <c r="B104" s="2"/>
      <c r="C104" s="2"/>
      <c r="D104" s="2"/>
      <c r="E104" s="2"/>
      <c r="F104" s="2"/>
      <c r="G104" s="60">
        <f t="shared" si="10"/>
        <v>0.2</v>
      </c>
      <c r="H104" s="60">
        <f t="shared" si="3"/>
        <v>9.9</v>
      </c>
      <c r="I104" s="60">
        <f t="shared" si="11"/>
        <v>0.2</v>
      </c>
      <c r="J104" s="2"/>
      <c r="K104" s="35">
        <f t="shared" si="4"/>
        <v>0.055</v>
      </c>
      <c r="L104" s="35">
        <f t="shared" si="5"/>
        <v>0.436</v>
      </c>
      <c r="M104" s="35">
        <f t="shared" si="6"/>
        <v>0.008333333333</v>
      </c>
      <c r="N104" s="35">
        <f t="shared" si="7"/>
        <v>0.3228571429</v>
      </c>
      <c r="O104" s="35">
        <f t="shared" si="8"/>
        <v>0.8221904762</v>
      </c>
      <c r="P104" s="66">
        <v>10.3</v>
      </c>
      <c r="Q104" s="68">
        <f t="shared" si="9"/>
        <v>51.0830534</v>
      </c>
      <c r="R104" s="2"/>
      <c r="S104" s="71"/>
    </row>
    <row r="105" ht="14.25" customHeight="1">
      <c r="A105" s="2"/>
      <c r="B105" s="2"/>
      <c r="C105" s="2"/>
      <c r="D105" s="2"/>
      <c r="E105" s="2"/>
      <c r="F105" s="2"/>
      <c r="G105" s="60">
        <f t="shared" si="10"/>
        <v>0.2</v>
      </c>
      <c r="H105" s="60">
        <f t="shared" si="3"/>
        <v>10</v>
      </c>
      <c r="I105" s="60">
        <f t="shared" si="11"/>
        <v>0.2</v>
      </c>
      <c r="J105" s="2"/>
      <c r="K105" s="35">
        <f t="shared" si="4"/>
        <v>0.055</v>
      </c>
      <c r="L105" s="35">
        <f t="shared" si="5"/>
        <v>0.44</v>
      </c>
      <c r="M105" s="35">
        <f t="shared" si="6"/>
        <v>0.008333333333</v>
      </c>
      <c r="N105" s="35">
        <f t="shared" si="7"/>
        <v>0.3257142857</v>
      </c>
      <c r="O105" s="35">
        <f t="shared" si="8"/>
        <v>0.829047619</v>
      </c>
      <c r="P105" s="66">
        <v>10.4</v>
      </c>
      <c r="Q105" s="68">
        <f t="shared" si="9"/>
        <v>50.66053992</v>
      </c>
      <c r="R105" s="2"/>
      <c r="S105" s="71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71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43.13"/>
    <col customWidth="1" min="3" max="3" width="9.88"/>
    <col customWidth="1" min="4" max="4" width="16.13"/>
    <col customWidth="1" min="5" max="5" width="9.63"/>
    <col customWidth="1" min="6" max="8" width="11.13"/>
    <col customWidth="1" min="9" max="26" width="8.63"/>
  </cols>
  <sheetData>
    <row r="1" ht="14.25" customHeight="1">
      <c r="A1" s="1" t="s">
        <v>0</v>
      </c>
      <c r="E1" s="3"/>
      <c r="F1" s="3"/>
      <c r="G1" s="3"/>
      <c r="H1" s="3"/>
    </row>
    <row r="2" ht="14.25" customHeight="1">
      <c r="B2" s="4"/>
      <c r="C2" s="4"/>
      <c r="D2" s="4"/>
      <c r="E2" s="5"/>
      <c r="F2" s="5"/>
      <c r="G2" s="5"/>
      <c r="H2" s="5"/>
      <c r="I2" s="7"/>
      <c r="J2" s="7"/>
      <c r="K2" s="7"/>
    </row>
    <row r="3" ht="14.25" customHeight="1">
      <c r="A3" s="16" t="s">
        <v>3</v>
      </c>
      <c r="B3" s="16" t="s">
        <v>16</v>
      </c>
      <c r="C3" s="16" t="s">
        <v>17</v>
      </c>
      <c r="D3" s="16" t="s">
        <v>18</v>
      </c>
      <c r="E3" s="20" t="s">
        <v>20</v>
      </c>
      <c r="F3" s="20" t="s">
        <v>22</v>
      </c>
      <c r="G3" s="20" t="s">
        <v>23</v>
      </c>
      <c r="H3" s="20" t="s">
        <v>24</v>
      </c>
    </row>
    <row r="4" ht="14.25" customHeight="1">
      <c r="A4" s="27" t="s">
        <v>27</v>
      </c>
      <c r="B4" s="27" t="s">
        <v>29</v>
      </c>
      <c r="C4" s="29" t="s">
        <v>30</v>
      </c>
      <c r="D4" s="31"/>
      <c r="E4" s="32">
        <v>30.0</v>
      </c>
      <c r="F4" s="32">
        <v>24.0</v>
      </c>
      <c r="G4" s="32">
        <v>30.0</v>
      </c>
      <c r="H4" s="32">
        <v>36.0</v>
      </c>
    </row>
    <row r="5" ht="14.25" customHeight="1">
      <c r="A5" s="27" t="s">
        <v>33</v>
      </c>
      <c r="B5" s="27" t="s">
        <v>37</v>
      </c>
      <c r="C5" s="29" t="s">
        <v>30</v>
      </c>
      <c r="D5" s="31"/>
      <c r="E5" s="32">
        <v>30.0</v>
      </c>
      <c r="F5" s="32">
        <v>24.0</v>
      </c>
      <c r="G5" s="32">
        <v>30.0</v>
      </c>
      <c r="H5" s="32">
        <v>36.0</v>
      </c>
    </row>
    <row r="6" ht="14.25" customHeight="1">
      <c r="A6" s="27" t="s">
        <v>40</v>
      </c>
      <c r="B6" s="27" t="s">
        <v>41</v>
      </c>
      <c r="C6" s="29" t="s">
        <v>43</v>
      </c>
      <c r="D6" s="31"/>
      <c r="E6" s="32">
        <v>1.0</v>
      </c>
      <c r="F6" s="32">
        <v>1.0</v>
      </c>
      <c r="G6" s="32">
        <v>1.0</v>
      </c>
      <c r="H6" s="32">
        <v>1.0</v>
      </c>
    </row>
    <row r="7" ht="14.25" customHeight="1">
      <c r="A7" s="27" t="s">
        <v>45</v>
      </c>
      <c r="B7" s="27" t="s">
        <v>46</v>
      </c>
      <c r="C7" s="29" t="s">
        <v>30</v>
      </c>
      <c r="D7" s="31"/>
      <c r="E7" s="32">
        <v>38.0</v>
      </c>
      <c r="F7" s="32">
        <v>35.0</v>
      </c>
      <c r="G7" s="32">
        <v>38.0</v>
      </c>
      <c r="H7" s="32">
        <v>41.0</v>
      </c>
    </row>
    <row r="8" ht="14.25" customHeight="1">
      <c r="A8" s="27" t="s">
        <v>51</v>
      </c>
      <c r="B8" s="27" t="s">
        <v>53</v>
      </c>
      <c r="C8" s="29" t="s">
        <v>43</v>
      </c>
      <c r="D8" s="31"/>
      <c r="E8" s="32">
        <v>8.0</v>
      </c>
      <c r="F8" s="32">
        <v>5.0</v>
      </c>
      <c r="G8" s="32">
        <v>8.0</v>
      </c>
      <c r="H8" s="32">
        <v>10.0</v>
      </c>
    </row>
    <row r="9" ht="14.25" customHeight="1">
      <c r="A9" s="27" t="s">
        <v>51</v>
      </c>
      <c r="B9" s="27" t="s">
        <v>55</v>
      </c>
      <c r="C9" s="29" t="s">
        <v>43</v>
      </c>
      <c r="D9" s="31"/>
      <c r="E9" s="32">
        <v>8.0</v>
      </c>
      <c r="F9" s="32">
        <v>5.0</v>
      </c>
      <c r="G9" s="32">
        <v>8.0</v>
      </c>
      <c r="H9" s="32">
        <v>10.0</v>
      </c>
    </row>
    <row r="10" ht="14.25" customHeight="1">
      <c r="A10" s="27" t="s">
        <v>56</v>
      </c>
      <c r="B10" s="27" t="s">
        <v>57</v>
      </c>
      <c r="C10" s="29" t="s">
        <v>43</v>
      </c>
      <c r="D10" s="31"/>
      <c r="E10" s="32">
        <v>25.0</v>
      </c>
      <c r="F10" s="32">
        <v>20.0</v>
      </c>
      <c r="G10" s="32">
        <v>25.0</v>
      </c>
      <c r="H10" s="32">
        <v>30.0</v>
      </c>
    </row>
    <row r="11" ht="14.25" customHeight="1">
      <c r="A11" s="27" t="s">
        <v>56</v>
      </c>
      <c r="B11" s="27" t="s">
        <v>56</v>
      </c>
      <c r="C11" s="29" t="s">
        <v>43</v>
      </c>
      <c r="D11" s="31"/>
      <c r="E11" s="32">
        <v>25.0</v>
      </c>
      <c r="F11" s="32">
        <v>20.0</v>
      </c>
      <c r="G11" s="32">
        <v>25.0</v>
      </c>
      <c r="H11" s="32">
        <v>30.0</v>
      </c>
    </row>
    <row r="12" ht="14.25" customHeight="1">
      <c r="A12" s="27" t="s">
        <v>61</v>
      </c>
      <c r="B12" s="27" t="s">
        <v>57</v>
      </c>
      <c r="C12" s="29" t="s">
        <v>43</v>
      </c>
      <c r="D12" s="31"/>
      <c r="E12" s="32">
        <v>25.0</v>
      </c>
      <c r="F12" s="32">
        <v>20.0</v>
      </c>
      <c r="G12" s="32">
        <v>25.0</v>
      </c>
      <c r="H12" s="32">
        <v>30.0</v>
      </c>
    </row>
    <row r="13" ht="14.25" customHeight="1">
      <c r="A13" s="27" t="s">
        <v>64</v>
      </c>
      <c r="B13" s="27" t="s">
        <v>57</v>
      </c>
      <c r="C13" s="29" t="s">
        <v>43</v>
      </c>
      <c r="D13" s="31"/>
      <c r="E13" s="32">
        <v>25.0</v>
      </c>
      <c r="F13" s="32">
        <v>20.0</v>
      </c>
      <c r="G13" s="32">
        <v>25.0</v>
      </c>
      <c r="H13" s="32">
        <v>30.0</v>
      </c>
    </row>
    <row r="14" ht="14.25" customHeight="1">
      <c r="A14" s="27" t="s">
        <v>67</v>
      </c>
      <c r="B14" s="27" t="s">
        <v>68</v>
      </c>
      <c r="C14" s="29" t="s">
        <v>43</v>
      </c>
      <c r="D14" s="31"/>
      <c r="E14" s="32">
        <v>25.0</v>
      </c>
      <c r="F14" s="32">
        <v>20.0</v>
      </c>
      <c r="G14" s="32">
        <v>25.0</v>
      </c>
      <c r="H14" s="32">
        <v>30.0</v>
      </c>
    </row>
    <row r="15" ht="14.25" customHeight="1">
      <c r="A15" s="27" t="s">
        <v>72</v>
      </c>
      <c r="B15" s="27" t="s">
        <v>73</v>
      </c>
      <c r="C15" s="29" t="s">
        <v>30</v>
      </c>
      <c r="D15" s="31"/>
      <c r="E15" s="32">
        <v>30.0</v>
      </c>
      <c r="F15" s="32">
        <v>24.0</v>
      </c>
      <c r="G15" s="32">
        <v>30.0</v>
      </c>
      <c r="H15" s="32">
        <v>36.0</v>
      </c>
    </row>
    <row r="16" ht="14.25" customHeight="1">
      <c r="A16" s="27" t="s">
        <v>72</v>
      </c>
      <c r="B16" s="27" t="s">
        <v>79</v>
      </c>
      <c r="C16" s="29" t="s">
        <v>30</v>
      </c>
      <c r="D16" s="31"/>
      <c r="E16" s="32">
        <v>30.0</v>
      </c>
      <c r="F16" s="32">
        <v>24.0</v>
      </c>
      <c r="G16" s="32">
        <v>30.0</v>
      </c>
      <c r="H16" s="32">
        <v>36.0</v>
      </c>
    </row>
    <row r="17" ht="14.25" customHeight="1">
      <c r="A17" s="27" t="s">
        <v>72</v>
      </c>
      <c r="B17" s="27" t="s">
        <v>81</v>
      </c>
      <c r="C17" s="29" t="s">
        <v>30</v>
      </c>
      <c r="D17" s="31"/>
      <c r="E17" s="32">
        <v>30.0</v>
      </c>
      <c r="F17" s="32">
        <v>24.0</v>
      </c>
      <c r="G17" s="32">
        <v>30.0</v>
      </c>
      <c r="H17" s="32">
        <v>36.0</v>
      </c>
    </row>
    <row r="18" ht="14.25" customHeight="1">
      <c r="A18" s="27" t="s">
        <v>72</v>
      </c>
      <c r="B18" s="27" t="s">
        <v>84</v>
      </c>
      <c r="C18" s="29" t="s">
        <v>30</v>
      </c>
      <c r="D18" s="31"/>
      <c r="E18" s="32">
        <v>30.0</v>
      </c>
      <c r="F18" s="32">
        <v>24.0</v>
      </c>
      <c r="G18" s="32">
        <v>30.0</v>
      </c>
      <c r="H18" s="32">
        <v>36.0</v>
      </c>
    </row>
    <row r="19" ht="14.25" customHeight="1">
      <c r="A19" s="27" t="s">
        <v>72</v>
      </c>
      <c r="B19" s="27" t="s">
        <v>86</v>
      </c>
      <c r="C19" s="29" t="s">
        <v>30</v>
      </c>
      <c r="D19" s="31"/>
      <c r="E19" s="32">
        <v>30.0</v>
      </c>
      <c r="F19" s="32">
        <v>24.0</v>
      </c>
      <c r="G19" s="32">
        <v>30.0</v>
      </c>
      <c r="H19" s="32">
        <v>36.0</v>
      </c>
    </row>
    <row r="20" ht="14.25" customHeight="1">
      <c r="A20" s="27" t="s">
        <v>72</v>
      </c>
      <c r="B20" s="27" t="s">
        <v>89</v>
      </c>
      <c r="C20" s="29" t="s">
        <v>30</v>
      </c>
      <c r="D20" s="31"/>
      <c r="E20" s="32">
        <v>30.0</v>
      </c>
      <c r="F20" s="32">
        <v>24.0</v>
      </c>
      <c r="G20" s="32">
        <v>30.0</v>
      </c>
      <c r="H20" s="32">
        <v>36.0</v>
      </c>
    </row>
    <row r="21" ht="14.25" customHeight="1">
      <c r="A21" s="27" t="s">
        <v>92</v>
      </c>
      <c r="B21" s="27" t="s">
        <v>93</v>
      </c>
      <c r="C21" s="29" t="s">
        <v>30</v>
      </c>
      <c r="D21" s="31"/>
      <c r="E21" s="32">
        <v>35.0</v>
      </c>
      <c r="F21" s="32">
        <v>30.0</v>
      </c>
      <c r="G21" s="32">
        <v>35.0</v>
      </c>
      <c r="H21" s="32">
        <v>40.0</v>
      </c>
    </row>
    <row r="22" ht="14.25" customHeight="1">
      <c r="A22" s="27" t="s">
        <v>92</v>
      </c>
      <c r="B22" s="27" t="s">
        <v>96</v>
      </c>
      <c r="C22" s="29" t="s">
        <v>30</v>
      </c>
      <c r="D22" s="31"/>
      <c r="E22" s="32">
        <v>35.0</v>
      </c>
      <c r="F22" s="32">
        <v>30.0</v>
      </c>
      <c r="G22" s="32">
        <v>35.0</v>
      </c>
      <c r="H22" s="32">
        <v>40.0</v>
      </c>
    </row>
    <row r="23" ht="14.25" customHeight="1">
      <c r="A23" s="27" t="s">
        <v>98</v>
      </c>
      <c r="B23" s="27" t="s">
        <v>99</v>
      </c>
      <c r="C23" s="29" t="s">
        <v>43</v>
      </c>
      <c r="D23" s="31"/>
      <c r="E23" s="32">
        <v>25.0</v>
      </c>
      <c r="F23" s="32">
        <v>20.0</v>
      </c>
      <c r="G23" s="32">
        <v>25.0</v>
      </c>
      <c r="H23" s="32">
        <v>30.0</v>
      </c>
    </row>
    <row r="24" ht="14.25" customHeight="1">
      <c r="A24" s="27" t="s">
        <v>98</v>
      </c>
      <c r="B24" s="27" t="s">
        <v>101</v>
      </c>
      <c r="C24" s="29" t="s">
        <v>43</v>
      </c>
      <c r="D24" s="31"/>
      <c r="E24" s="32">
        <v>25.0</v>
      </c>
      <c r="F24" s="32">
        <v>20.0</v>
      </c>
      <c r="G24" s="32">
        <v>25.0</v>
      </c>
      <c r="H24" s="32">
        <v>30.0</v>
      </c>
    </row>
    <row r="25" ht="14.25" customHeight="1">
      <c r="A25" s="27" t="s">
        <v>98</v>
      </c>
      <c r="B25" s="27" t="s">
        <v>103</v>
      </c>
      <c r="C25" s="29" t="s">
        <v>43</v>
      </c>
      <c r="D25" s="31"/>
      <c r="E25" s="32">
        <v>25.0</v>
      </c>
      <c r="F25" s="32">
        <v>20.0</v>
      </c>
      <c r="G25" s="32">
        <v>25.0</v>
      </c>
      <c r="H25" s="32">
        <v>30.0</v>
      </c>
    </row>
    <row r="26" ht="14.25" customHeight="1">
      <c r="A26" s="27" t="s">
        <v>92</v>
      </c>
      <c r="B26" s="27" t="s">
        <v>105</v>
      </c>
      <c r="C26" s="29" t="s">
        <v>30</v>
      </c>
      <c r="D26" s="31"/>
      <c r="E26" s="32">
        <v>30.0</v>
      </c>
      <c r="F26" s="32">
        <v>24.0</v>
      </c>
      <c r="G26" s="32">
        <v>30.0</v>
      </c>
      <c r="H26" s="32">
        <v>36.0</v>
      </c>
    </row>
    <row r="27" ht="14.25" customHeight="1">
      <c r="A27" s="27" t="s">
        <v>92</v>
      </c>
      <c r="B27" s="27" t="s">
        <v>109</v>
      </c>
      <c r="C27" s="29" t="s">
        <v>43</v>
      </c>
      <c r="D27" s="31"/>
      <c r="E27" s="32">
        <v>44.0</v>
      </c>
      <c r="F27" s="32">
        <v>35.0</v>
      </c>
      <c r="G27" s="32">
        <v>44.0</v>
      </c>
      <c r="H27" s="32">
        <v>53.0</v>
      </c>
    </row>
    <row r="28" ht="14.25" customHeight="1">
      <c r="A28" s="27" t="s">
        <v>92</v>
      </c>
      <c r="B28" s="27" t="s">
        <v>113</v>
      </c>
      <c r="C28" s="29" t="s">
        <v>43</v>
      </c>
      <c r="D28" s="31"/>
      <c r="E28" s="32">
        <v>24.0</v>
      </c>
      <c r="F28" s="32">
        <v>18.0</v>
      </c>
      <c r="G28" s="32">
        <v>27.0</v>
      </c>
      <c r="H28" s="32">
        <v>32.0</v>
      </c>
    </row>
    <row r="29" ht="14.25" customHeight="1">
      <c r="A29" s="27" t="s">
        <v>98</v>
      </c>
      <c r="B29" s="27" t="s">
        <v>115</v>
      </c>
      <c r="C29" s="29" t="s">
        <v>43</v>
      </c>
      <c r="D29" s="31"/>
      <c r="E29" s="32">
        <v>48.0</v>
      </c>
      <c r="F29" s="32">
        <v>38.0</v>
      </c>
      <c r="G29" s="32">
        <v>48.0</v>
      </c>
      <c r="H29" s="32">
        <v>57.0</v>
      </c>
    </row>
    <row r="30" ht="14.25" customHeight="1">
      <c r="A30" s="27" t="s">
        <v>92</v>
      </c>
      <c r="B30" s="27" t="s">
        <v>117</v>
      </c>
      <c r="C30" s="29" t="s">
        <v>43</v>
      </c>
      <c r="D30" s="31"/>
      <c r="E30" s="32">
        <v>40.0</v>
      </c>
      <c r="F30" s="32">
        <v>32.0</v>
      </c>
      <c r="G30" s="32">
        <v>40.0</v>
      </c>
      <c r="H30" s="32">
        <v>48.0</v>
      </c>
    </row>
    <row r="31" ht="14.25" customHeight="1">
      <c r="A31" s="27" t="s">
        <v>98</v>
      </c>
      <c r="B31" s="27" t="s">
        <v>119</v>
      </c>
      <c r="C31" s="29" t="s">
        <v>43</v>
      </c>
      <c r="D31" s="31"/>
      <c r="E31" s="32">
        <v>44.0</v>
      </c>
      <c r="F31" s="32">
        <v>35.0</v>
      </c>
      <c r="G31" s="32">
        <v>44.0</v>
      </c>
      <c r="H31" s="32">
        <v>53.0</v>
      </c>
    </row>
    <row r="32" ht="14.25" customHeight="1">
      <c r="A32" s="27" t="s">
        <v>98</v>
      </c>
      <c r="B32" s="27" t="s">
        <v>105</v>
      </c>
      <c r="C32" s="29" t="s">
        <v>43</v>
      </c>
      <c r="D32" s="31"/>
      <c r="E32" s="32">
        <v>44.0</v>
      </c>
      <c r="F32" s="32">
        <v>35.0</v>
      </c>
      <c r="G32" s="32">
        <v>44.0</v>
      </c>
      <c r="H32" s="32">
        <v>53.0</v>
      </c>
    </row>
    <row r="33" ht="14.25" customHeight="1">
      <c r="A33" s="27" t="s">
        <v>92</v>
      </c>
      <c r="B33" s="27" t="s">
        <v>130</v>
      </c>
      <c r="C33" s="29" t="s">
        <v>43</v>
      </c>
      <c r="D33" s="31"/>
      <c r="E33" s="32">
        <v>24.0</v>
      </c>
      <c r="F33" s="32">
        <v>18.0</v>
      </c>
      <c r="G33" s="32">
        <v>24.0</v>
      </c>
      <c r="H33" s="32">
        <v>30.0</v>
      </c>
    </row>
    <row r="34" ht="14.25" customHeight="1">
      <c r="A34" s="27" t="s">
        <v>92</v>
      </c>
      <c r="B34" s="27" t="s">
        <v>136</v>
      </c>
      <c r="C34" s="29" t="s">
        <v>43</v>
      </c>
      <c r="D34" s="31"/>
      <c r="E34" s="32">
        <v>24.0</v>
      </c>
      <c r="F34" s="32">
        <v>18.0</v>
      </c>
      <c r="G34" s="32">
        <v>24.0</v>
      </c>
      <c r="H34" s="32">
        <v>30.0</v>
      </c>
    </row>
    <row r="35" ht="14.25" customHeight="1">
      <c r="A35" s="27" t="s">
        <v>138</v>
      </c>
      <c r="B35" s="27" t="s">
        <v>140</v>
      </c>
      <c r="C35" s="29" t="s">
        <v>43</v>
      </c>
      <c r="D35" s="31"/>
      <c r="E35" s="32">
        <v>1.0</v>
      </c>
      <c r="F35" s="32">
        <v>1.0</v>
      </c>
      <c r="G35" s="32">
        <v>1.0</v>
      </c>
      <c r="H35" s="32">
        <v>1.0</v>
      </c>
    </row>
    <row r="36" ht="14.25" customHeight="1">
      <c r="A36" s="27" t="s">
        <v>138</v>
      </c>
      <c r="B36" s="27" t="s">
        <v>138</v>
      </c>
      <c r="C36" s="29" t="s">
        <v>43</v>
      </c>
      <c r="D36" s="31"/>
      <c r="E36" s="32">
        <v>1.0</v>
      </c>
      <c r="F36" s="32">
        <v>1.0</v>
      </c>
      <c r="G36" s="32">
        <v>1.0</v>
      </c>
      <c r="H36" s="32">
        <v>1.0</v>
      </c>
    </row>
    <row r="37" ht="14.25" customHeight="1">
      <c r="A37" s="27" t="s">
        <v>150</v>
      </c>
      <c r="B37" s="27" t="s">
        <v>151</v>
      </c>
      <c r="C37" s="29" t="s">
        <v>43</v>
      </c>
      <c r="D37" s="31"/>
      <c r="E37" s="32">
        <v>1.0</v>
      </c>
      <c r="F37" s="32">
        <v>1.0</v>
      </c>
      <c r="G37" s="32">
        <v>1.0</v>
      </c>
      <c r="H37" s="32">
        <v>1.0</v>
      </c>
    </row>
    <row r="38" ht="14.25" customHeight="1">
      <c r="A38" s="27" t="s">
        <v>156</v>
      </c>
      <c r="B38" s="27" t="s">
        <v>157</v>
      </c>
      <c r="C38" s="29" t="s">
        <v>43</v>
      </c>
      <c r="D38" s="31"/>
      <c r="E38" s="32">
        <v>2.0</v>
      </c>
      <c r="F38" s="32">
        <v>1.0</v>
      </c>
      <c r="G38" s="32">
        <v>2.0</v>
      </c>
      <c r="H38" s="32">
        <v>2.0</v>
      </c>
    </row>
    <row r="39" ht="14.25" customHeight="1">
      <c r="A39" s="27" t="s">
        <v>162</v>
      </c>
      <c r="B39" s="27" t="s">
        <v>164</v>
      </c>
      <c r="C39" s="29" t="s">
        <v>43</v>
      </c>
      <c r="D39" s="31"/>
      <c r="E39" s="32">
        <v>12.0</v>
      </c>
      <c r="F39" s="32">
        <v>10.0</v>
      </c>
      <c r="G39" s="32">
        <v>12.0</v>
      </c>
      <c r="H39" s="32">
        <v>14.0</v>
      </c>
    </row>
    <row r="40" ht="14.25" customHeight="1">
      <c r="A40" s="27" t="s">
        <v>165</v>
      </c>
      <c r="B40" s="27" t="s">
        <v>167</v>
      </c>
      <c r="C40" s="29" t="s">
        <v>43</v>
      </c>
      <c r="D40" s="31"/>
      <c r="E40" s="32">
        <v>1.0</v>
      </c>
      <c r="F40" s="32">
        <v>1.0</v>
      </c>
      <c r="G40" s="32">
        <v>1.0</v>
      </c>
      <c r="H40" s="32">
        <v>1.0</v>
      </c>
    </row>
    <row r="41" ht="14.25" customHeight="1">
      <c r="A41" s="27" t="s">
        <v>170</v>
      </c>
      <c r="B41" s="27" t="s">
        <v>171</v>
      </c>
      <c r="C41" s="29" t="s">
        <v>43</v>
      </c>
      <c r="D41" s="31"/>
      <c r="E41" s="32">
        <v>40.0</v>
      </c>
      <c r="F41" s="32">
        <v>32.0</v>
      </c>
      <c r="G41" s="32">
        <v>40.0</v>
      </c>
      <c r="H41" s="32">
        <v>48.0</v>
      </c>
    </row>
    <row r="42" ht="14.25" customHeight="1">
      <c r="A42" s="27" t="s">
        <v>173</v>
      </c>
      <c r="B42" s="27" t="s">
        <v>174</v>
      </c>
      <c r="C42" s="29" t="s">
        <v>43</v>
      </c>
      <c r="D42" s="31"/>
      <c r="E42" s="32">
        <v>20.0</v>
      </c>
      <c r="F42" s="32">
        <v>15.0</v>
      </c>
      <c r="G42" s="32">
        <v>20.0</v>
      </c>
      <c r="H42" s="32">
        <v>25.0</v>
      </c>
    </row>
    <row r="43" ht="14.25" customHeight="1">
      <c r="A43" s="27" t="s">
        <v>175</v>
      </c>
      <c r="B43" s="27" t="s">
        <v>176</v>
      </c>
      <c r="C43" s="29" t="s">
        <v>43</v>
      </c>
      <c r="D43" s="31"/>
      <c r="E43" s="32">
        <v>1.0</v>
      </c>
      <c r="F43" s="32">
        <v>1.0</v>
      </c>
      <c r="G43" s="32">
        <v>1.0</v>
      </c>
      <c r="H43" s="32">
        <v>1.0</v>
      </c>
    </row>
    <row r="44" ht="14.25" customHeight="1">
      <c r="A44" s="27" t="s">
        <v>175</v>
      </c>
      <c r="B44" s="27" t="s">
        <v>177</v>
      </c>
      <c r="C44" s="29" t="s">
        <v>43</v>
      </c>
      <c r="D44" s="31"/>
      <c r="E44" s="32">
        <v>1.0</v>
      </c>
      <c r="F44" s="32">
        <v>1.0</v>
      </c>
      <c r="G44" s="32">
        <v>1.0</v>
      </c>
      <c r="H44" s="32">
        <v>1.0</v>
      </c>
    </row>
    <row r="45" ht="14.25" customHeight="1">
      <c r="A45" s="27" t="s">
        <v>175</v>
      </c>
      <c r="B45" s="27" t="s">
        <v>178</v>
      </c>
      <c r="C45" s="29" t="s">
        <v>43</v>
      </c>
      <c r="D45" s="31"/>
      <c r="E45" s="32">
        <v>1.0</v>
      </c>
      <c r="F45" s="32">
        <v>1.0</v>
      </c>
      <c r="G45" s="32">
        <v>1.0</v>
      </c>
      <c r="H45" s="32">
        <v>1.0</v>
      </c>
    </row>
    <row r="46" ht="14.25" customHeight="1">
      <c r="A46" s="27" t="s">
        <v>175</v>
      </c>
      <c r="B46" s="27" t="s">
        <v>179</v>
      </c>
      <c r="C46" s="29" t="s">
        <v>43</v>
      </c>
      <c r="D46" s="31"/>
      <c r="E46" s="32">
        <v>1.0</v>
      </c>
      <c r="F46" s="32">
        <v>1.0</v>
      </c>
      <c r="G46" s="32">
        <v>1.0</v>
      </c>
      <c r="H46" s="32">
        <v>1.0</v>
      </c>
    </row>
    <row r="47" ht="14.25" customHeight="1">
      <c r="A47" s="27" t="s">
        <v>175</v>
      </c>
      <c r="B47" s="27" t="s">
        <v>180</v>
      </c>
      <c r="C47" s="29" t="s">
        <v>43</v>
      </c>
      <c r="D47" s="31"/>
      <c r="E47" s="32">
        <v>1.0</v>
      </c>
      <c r="F47" s="32">
        <v>1.0</v>
      </c>
      <c r="G47" s="32">
        <v>1.0</v>
      </c>
      <c r="H47" s="32">
        <v>1.0</v>
      </c>
    </row>
    <row r="48" ht="14.25" customHeight="1">
      <c r="A48" s="27" t="s">
        <v>175</v>
      </c>
      <c r="B48" s="27" t="s">
        <v>181</v>
      </c>
      <c r="C48" s="29" t="s">
        <v>43</v>
      </c>
      <c r="D48" s="31"/>
      <c r="E48" s="32">
        <v>1.0</v>
      </c>
      <c r="F48" s="32">
        <v>1.0</v>
      </c>
      <c r="G48" s="32">
        <v>1.0</v>
      </c>
      <c r="H48" s="32">
        <v>1.0</v>
      </c>
    </row>
    <row r="49" ht="14.25" customHeight="1">
      <c r="A49" s="27" t="s">
        <v>175</v>
      </c>
      <c r="B49" s="27" t="s">
        <v>182</v>
      </c>
      <c r="C49" s="29" t="s">
        <v>43</v>
      </c>
      <c r="D49" s="31"/>
      <c r="E49" s="32">
        <v>1.0</v>
      </c>
      <c r="F49" s="32">
        <v>1.0</v>
      </c>
      <c r="G49" s="32">
        <v>1.0</v>
      </c>
      <c r="H49" s="32">
        <v>1.0</v>
      </c>
    </row>
    <row r="50" ht="14.25" customHeight="1">
      <c r="A50" s="27" t="s">
        <v>175</v>
      </c>
      <c r="B50" s="27" t="s">
        <v>183</v>
      </c>
      <c r="C50" s="29" t="s">
        <v>43</v>
      </c>
      <c r="D50" s="31"/>
      <c r="E50" s="32">
        <v>1.0</v>
      </c>
      <c r="F50" s="32">
        <v>1.0</v>
      </c>
      <c r="G50" s="32">
        <v>1.0</v>
      </c>
      <c r="H50" s="32">
        <v>1.0</v>
      </c>
    </row>
    <row r="51" ht="14.25" customHeight="1">
      <c r="A51" s="27" t="s">
        <v>175</v>
      </c>
      <c r="B51" s="27" t="s">
        <v>184</v>
      </c>
      <c r="C51" s="29" t="s">
        <v>43</v>
      </c>
      <c r="D51" s="31"/>
      <c r="E51" s="32">
        <v>1.0</v>
      </c>
      <c r="F51" s="32">
        <v>1.0</v>
      </c>
      <c r="G51" s="32">
        <v>1.0</v>
      </c>
      <c r="H51" s="32">
        <v>1.0</v>
      </c>
    </row>
    <row r="52" ht="14.25" customHeight="1">
      <c r="A52" s="27" t="s">
        <v>175</v>
      </c>
      <c r="B52" s="27" t="s">
        <v>186</v>
      </c>
      <c r="C52" s="29" t="s">
        <v>43</v>
      </c>
      <c r="D52" s="31"/>
      <c r="E52" s="32">
        <v>1.0</v>
      </c>
      <c r="F52" s="32">
        <v>1.0</v>
      </c>
      <c r="G52" s="32">
        <v>1.0</v>
      </c>
      <c r="H52" s="32">
        <v>1.0</v>
      </c>
    </row>
    <row r="53" ht="14.25" customHeight="1">
      <c r="A53" s="27" t="s">
        <v>175</v>
      </c>
      <c r="B53" s="27" t="s">
        <v>187</v>
      </c>
      <c r="C53" s="29" t="s">
        <v>43</v>
      </c>
      <c r="D53" s="31"/>
      <c r="E53" s="32">
        <v>1.0</v>
      </c>
      <c r="F53" s="32">
        <v>1.0</v>
      </c>
      <c r="G53" s="32">
        <v>1.0</v>
      </c>
      <c r="H53" s="32">
        <v>1.0</v>
      </c>
    </row>
    <row r="54" ht="14.25" customHeight="1">
      <c r="A54" s="27" t="s">
        <v>175</v>
      </c>
      <c r="B54" s="27" t="s">
        <v>188</v>
      </c>
      <c r="C54" s="29" t="s">
        <v>43</v>
      </c>
      <c r="D54" s="31"/>
      <c r="E54" s="32">
        <v>1.0</v>
      </c>
      <c r="F54" s="32">
        <v>1.0</v>
      </c>
      <c r="G54" s="32">
        <v>1.0</v>
      </c>
      <c r="H54" s="32">
        <v>1.0</v>
      </c>
    </row>
    <row r="55" ht="14.25" customHeight="1">
      <c r="A55" s="27" t="s">
        <v>175</v>
      </c>
      <c r="B55" s="27" t="s">
        <v>189</v>
      </c>
      <c r="C55" s="29" t="s">
        <v>43</v>
      </c>
      <c r="D55" s="31"/>
      <c r="E55" s="32">
        <v>1.0</v>
      </c>
      <c r="F55" s="32">
        <v>1.0</v>
      </c>
      <c r="G55" s="32">
        <v>1.0</v>
      </c>
      <c r="H55" s="32">
        <v>1.0</v>
      </c>
    </row>
    <row r="56" ht="14.25" customHeight="1">
      <c r="A56" s="27" t="s">
        <v>175</v>
      </c>
      <c r="B56" s="27" t="s">
        <v>190</v>
      </c>
      <c r="C56" s="29" t="s">
        <v>43</v>
      </c>
      <c r="D56" s="31"/>
      <c r="E56" s="32">
        <v>1.0</v>
      </c>
      <c r="F56" s="32">
        <v>1.0</v>
      </c>
      <c r="G56" s="32">
        <v>1.0</v>
      </c>
      <c r="H56" s="32">
        <v>1.0</v>
      </c>
    </row>
    <row r="57" ht="14.25" customHeight="1">
      <c r="A57" s="27" t="s">
        <v>175</v>
      </c>
      <c r="B57" s="27" t="s">
        <v>191</v>
      </c>
      <c r="C57" s="29" t="s">
        <v>43</v>
      </c>
      <c r="D57" s="31"/>
      <c r="E57" s="32">
        <v>1.0</v>
      </c>
      <c r="F57" s="32">
        <v>1.0</v>
      </c>
      <c r="G57" s="32">
        <v>1.0</v>
      </c>
      <c r="H57" s="32">
        <v>1.0</v>
      </c>
    </row>
    <row r="58" ht="14.25" customHeight="1">
      <c r="A58" s="27" t="s">
        <v>175</v>
      </c>
      <c r="B58" s="27" t="s">
        <v>192</v>
      </c>
      <c r="C58" s="29" t="s">
        <v>43</v>
      </c>
      <c r="D58" s="31"/>
      <c r="E58" s="32">
        <v>1.0</v>
      </c>
      <c r="F58" s="32">
        <v>1.0</v>
      </c>
      <c r="G58" s="32">
        <v>1.0</v>
      </c>
      <c r="H58" s="32">
        <v>1.0</v>
      </c>
    </row>
    <row r="59" ht="14.25" customHeight="1">
      <c r="A59" s="27" t="s">
        <v>175</v>
      </c>
      <c r="B59" s="27" t="s">
        <v>194</v>
      </c>
      <c r="C59" s="29" t="s">
        <v>43</v>
      </c>
      <c r="D59" s="31"/>
      <c r="E59" s="32">
        <v>1.0</v>
      </c>
      <c r="F59" s="32">
        <v>1.0</v>
      </c>
      <c r="G59" s="32">
        <v>1.0</v>
      </c>
      <c r="H59" s="32">
        <v>1.0</v>
      </c>
    </row>
    <row r="60" ht="14.25" customHeight="1">
      <c r="A60" s="27" t="s">
        <v>175</v>
      </c>
      <c r="B60" s="27" t="s">
        <v>195</v>
      </c>
      <c r="C60" s="29" t="s">
        <v>43</v>
      </c>
      <c r="D60" s="31"/>
      <c r="E60" s="32">
        <v>1.0</v>
      </c>
      <c r="F60" s="32">
        <v>1.0</v>
      </c>
      <c r="G60" s="32">
        <v>1.0</v>
      </c>
      <c r="H60" s="32">
        <v>1.0</v>
      </c>
    </row>
    <row r="61" ht="14.25" customHeight="1">
      <c r="A61" s="27" t="s">
        <v>175</v>
      </c>
      <c r="B61" s="27" t="s">
        <v>196</v>
      </c>
      <c r="C61" s="29" t="s">
        <v>43</v>
      </c>
      <c r="D61" s="31"/>
      <c r="E61" s="32">
        <v>1.0</v>
      </c>
      <c r="F61" s="32">
        <v>1.0</v>
      </c>
      <c r="G61" s="32">
        <v>1.0</v>
      </c>
      <c r="H61" s="32">
        <v>1.0</v>
      </c>
    </row>
    <row r="62" ht="14.25" customHeight="1">
      <c r="A62" s="27" t="s">
        <v>175</v>
      </c>
      <c r="B62" s="27" t="s">
        <v>197</v>
      </c>
      <c r="C62" s="29" t="s">
        <v>43</v>
      </c>
      <c r="D62" s="31"/>
      <c r="E62" s="32">
        <v>1.0</v>
      </c>
      <c r="F62" s="32">
        <v>1.0</v>
      </c>
      <c r="G62" s="32">
        <v>1.0</v>
      </c>
      <c r="H62" s="32">
        <v>1.0</v>
      </c>
    </row>
    <row r="63" ht="14.25" customHeight="1">
      <c r="A63" s="27" t="s">
        <v>175</v>
      </c>
      <c r="B63" s="27" t="s">
        <v>198</v>
      </c>
      <c r="C63" s="29" t="s">
        <v>43</v>
      </c>
      <c r="D63" s="31"/>
      <c r="E63" s="32">
        <v>1.0</v>
      </c>
      <c r="F63" s="32">
        <v>1.0</v>
      </c>
      <c r="G63" s="32">
        <v>1.0</v>
      </c>
      <c r="H63" s="32">
        <v>1.0</v>
      </c>
    </row>
    <row r="64" ht="14.25" customHeight="1">
      <c r="A64" s="27" t="s">
        <v>175</v>
      </c>
      <c r="B64" s="27" t="s">
        <v>199</v>
      </c>
      <c r="C64" s="29" t="s">
        <v>43</v>
      </c>
      <c r="D64" s="31"/>
      <c r="E64" s="32">
        <v>1.0</v>
      </c>
      <c r="F64" s="32">
        <v>1.0</v>
      </c>
      <c r="G64" s="32">
        <v>1.0</v>
      </c>
      <c r="H64" s="32">
        <v>1.0</v>
      </c>
    </row>
    <row r="65" ht="14.25" customHeight="1">
      <c r="A65" s="27" t="s">
        <v>175</v>
      </c>
      <c r="B65" s="27" t="s">
        <v>200</v>
      </c>
      <c r="C65" s="29" t="s">
        <v>43</v>
      </c>
      <c r="D65" s="31"/>
      <c r="E65" s="32">
        <v>1.0</v>
      </c>
      <c r="F65" s="32">
        <v>1.0</v>
      </c>
      <c r="G65" s="32">
        <v>1.0</v>
      </c>
      <c r="H65" s="32">
        <v>1.0</v>
      </c>
    </row>
    <row r="66" ht="14.25" customHeight="1">
      <c r="A66" s="27" t="s">
        <v>175</v>
      </c>
      <c r="B66" s="27" t="s">
        <v>203</v>
      </c>
      <c r="C66" s="29" t="s">
        <v>43</v>
      </c>
      <c r="D66" s="31"/>
      <c r="E66" s="32">
        <v>1.0</v>
      </c>
      <c r="F66" s="32">
        <v>1.0</v>
      </c>
      <c r="G66" s="32">
        <v>1.0</v>
      </c>
      <c r="H66" s="32">
        <v>1.0</v>
      </c>
    </row>
    <row r="67" ht="14.25" customHeight="1">
      <c r="A67" s="27" t="s">
        <v>175</v>
      </c>
      <c r="B67" s="27" t="s">
        <v>206</v>
      </c>
      <c r="C67" s="29" t="s">
        <v>43</v>
      </c>
      <c r="D67" s="31"/>
      <c r="E67" s="32">
        <v>1.0</v>
      </c>
      <c r="F67" s="32">
        <v>1.0</v>
      </c>
      <c r="G67" s="32">
        <v>1.0</v>
      </c>
      <c r="H67" s="32">
        <v>1.0</v>
      </c>
    </row>
    <row r="68" ht="14.25" customHeight="1">
      <c r="A68" s="27" t="s">
        <v>175</v>
      </c>
      <c r="B68" s="27" t="s">
        <v>209</v>
      </c>
      <c r="C68" s="29" t="s">
        <v>43</v>
      </c>
      <c r="D68" s="31"/>
      <c r="E68" s="32">
        <v>1.0</v>
      </c>
      <c r="F68" s="32">
        <v>1.0</v>
      </c>
      <c r="G68" s="32">
        <v>1.0</v>
      </c>
      <c r="H68" s="32">
        <v>1.0</v>
      </c>
    </row>
    <row r="69" ht="14.25" customHeight="1">
      <c r="A69" s="27" t="s">
        <v>175</v>
      </c>
      <c r="B69" s="27" t="s">
        <v>211</v>
      </c>
      <c r="C69" s="29" t="s">
        <v>43</v>
      </c>
      <c r="D69" s="31"/>
      <c r="E69" s="32">
        <v>1.0</v>
      </c>
      <c r="F69" s="32">
        <v>1.0</v>
      </c>
      <c r="G69" s="32">
        <v>1.0</v>
      </c>
      <c r="H69" s="32">
        <v>1.0</v>
      </c>
    </row>
    <row r="70" ht="14.25" customHeight="1">
      <c r="A70" s="27" t="s">
        <v>213</v>
      </c>
      <c r="B70" s="27" t="s">
        <v>214</v>
      </c>
      <c r="C70" s="29" t="s">
        <v>43</v>
      </c>
      <c r="D70" s="31"/>
      <c r="E70" s="32">
        <v>35.0</v>
      </c>
      <c r="F70" s="32">
        <v>28.0</v>
      </c>
      <c r="G70" s="32">
        <v>35.0</v>
      </c>
      <c r="H70" s="32">
        <v>42.0</v>
      </c>
    </row>
    <row r="71" ht="14.25" customHeight="1">
      <c r="A71" s="27" t="s">
        <v>216</v>
      </c>
      <c r="B71" s="27" t="s">
        <v>217</v>
      </c>
      <c r="C71" s="29" t="s">
        <v>43</v>
      </c>
      <c r="D71" s="31"/>
      <c r="E71" s="32">
        <v>5.0</v>
      </c>
      <c r="F71" s="32">
        <v>4.0</v>
      </c>
      <c r="G71" s="32">
        <v>5.0</v>
      </c>
      <c r="H71" s="32">
        <v>6.0</v>
      </c>
    </row>
    <row r="72" ht="14.25" customHeight="1">
      <c r="A72" s="27" t="s">
        <v>220</v>
      </c>
      <c r="B72" s="27" t="s">
        <v>68</v>
      </c>
      <c r="C72" s="29" t="s">
        <v>43</v>
      </c>
      <c r="D72" s="31"/>
      <c r="E72" s="32">
        <v>20.0</v>
      </c>
      <c r="F72" s="32">
        <v>16.0</v>
      </c>
      <c r="G72" s="32">
        <v>20.0</v>
      </c>
      <c r="H72" s="32">
        <v>24.0</v>
      </c>
    </row>
    <row r="73" ht="14.25" customHeight="1">
      <c r="A73" s="27" t="s">
        <v>222</v>
      </c>
      <c r="B73" s="27" t="s">
        <v>68</v>
      </c>
      <c r="C73" s="29" t="s">
        <v>43</v>
      </c>
      <c r="D73" s="31"/>
      <c r="E73" s="32">
        <v>20.0</v>
      </c>
      <c r="F73" s="32">
        <v>16.0</v>
      </c>
      <c r="G73" s="32">
        <v>20.0</v>
      </c>
      <c r="H73" s="32">
        <v>24.0</v>
      </c>
    </row>
    <row r="74" ht="14.25" customHeight="1">
      <c r="A74" s="27" t="s">
        <v>224</v>
      </c>
      <c r="B74" s="27" t="s">
        <v>57</v>
      </c>
      <c r="C74" s="29" t="s">
        <v>43</v>
      </c>
      <c r="D74" s="31"/>
      <c r="E74" s="32">
        <v>20.0</v>
      </c>
      <c r="F74" s="32">
        <v>16.0</v>
      </c>
      <c r="G74" s="32">
        <v>20.0</v>
      </c>
      <c r="H74" s="32">
        <v>24.0</v>
      </c>
    </row>
    <row r="75" ht="14.25" customHeight="1">
      <c r="A75" s="27" t="s">
        <v>226</v>
      </c>
      <c r="B75" s="27" t="s">
        <v>68</v>
      </c>
      <c r="C75" s="29" t="s">
        <v>43</v>
      </c>
      <c r="D75" s="31"/>
      <c r="E75" s="32">
        <v>20.0</v>
      </c>
      <c r="F75" s="32">
        <v>16.0</v>
      </c>
      <c r="G75" s="32">
        <v>20.0</v>
      </c>
      <c r="H75" s="32">
        <v>24.0</v>
      </c>
    </row>
    <row r="76" ht="14.25" customHeight="1">
      <c r="A76" s="27" t="s">
        <v>231</v>
      </c>
      <c r="B76" s="27" t="s">
        <v>232</v>
      </c>
      <c r="C76" s="29" t="s">
        <v>43</v>
      </c>
      <c r="D76" s="31"/>
      <c r="E76" s="32">
        <v>20.0</v>
      </c>
      <c r="F76" s="32">
        <v>16.0</v>
      </c>
      <c r="G76" s="32">
        <v>20.0</v>
      </c>
      <c r="H76" s="32">
        <v>24.0</v>
      </c>
    </row>
    <row r="77" ht="14.25" customHeight="1">
      <c r="A77" s="27" t="s">
        <v>235</v>
      </c>
      <c r="B77" s="27" t="s">
        <v>236</v>
      </c>
      <c r="C77" s="29" t="s">
        <v>30</v>
      </c>
      <c r="D77" s="31"/>
      <c r="E77" s="32">
        <v>26.0</v>
      </c>
      <c r="F77" s="32">
        <v>20.0</v>
      </c>
      <c r="G77" s="32">
        <v>26.0</v>
      </c>
      <c r="H77" s="32">
        <v>33.0</v>
      </c>
    </row>
    <row r="78" ht="14.25" customHeight="1">
      <c r="A78" s="27" t="s">
        <v>235</v>
      </c>
      <c r="B78" s="27" t="s">
        <v>238</v>
      </c>
      <c r="C78" s="29" t="s">
        <v>30</v>
      </c>
      <c r="D78" s="31"/>
      <c r="E78" s="32">
        <v>48.0</v>
      </c>
      <c r="F78" s="32">
        <v>38.0</v>
      </c>
      <c r="G78" s="32">
        <v>48.0</v>
      </c>
      <c r="H78" s="32">
        <v>57.0</v>
      </c>
    </row>
    <row r="79" ht="14.25" customHeight="1">
      <c r="A79" s="27" t="s">
        <v>235</v>
      </c>
      <c r="B79" s="27" t="s">
        <v>240</v>
      </c>
      <c r="C79" s="29" t="s">
        <v>43</v>
      </c>
      <c r="D79" s="31"/>
      <c r="E79" s="32">
        <v>48.0</v>
      </c>
      <c r="F79" s="32">
        <v>38.0</v>
      </c>
      <c r="G79" s="32">
        <v>48.0</v>
      </c>
      <c r="H79" s="32">
        <v>57.0</v>
      </c>
    </row>
    <row r="80" ht="14.25" customHeight="1">
      <c r="A80" s="27" t="s">
        <v>231</v>
      </c>
      <c r="B80" s="27" t="s">
        <v>244</v>
      </c>
      <c r="C80" s="29" t="s">
        <v>43</v>
      </c>
      <c r="D80" s="31"/>
      <c r="E80" s="32">
        <v>48.0</v>
      </c>
      <c r="F80" s="32">
        <v>38.0</v>
      </c>
      <c r="G80" s="32">
        <v>48.0</v>
      </c>
      <c r="H80" s="32">
        <v>57.0</v>
      </c>
    </row>
    <row r="81" ht="14.25" customHeight="1">
      <c r="A81" s="27" t="s">
        <v>235</v>
      </c>
      <c r="B81" s="27" t="s">
        <v>247</v>
      </c>
      <c r="C81" s="29" t="s">
        <v>43</v>
      </c>
      <c r="D81" s="31"/>
      <c r="E81" s="32">
        <v>26.0</v>
      </c>
      <c r="F81" s="32">
        <v>20.0</v>
      </c>
      <c r="G81" s="32">
        <v>26.0</v>
      </c>
      <c r="H81" s="32">
        <v>33.0</v>
      </c>
    </row>
    <row r="82" ht="14.25" customHeight="1">
      <c r="A82" s="27" t="s">
        <v>235</v>
      </c>
      <c r="B82" s="27" t="s">
        <v>130</v>
      </c>
      <c r="C82" s="29" t="s">
        <v>43</v>
      </c>
      <c r="D82" s="31"/>
      <c r="E82" s="32">
        <v>25.0</v>
      </c>
      <c r="F82" s="32">
        <v>19.0</v>
      </c>
      <c r="G82" s="32">
        <v>25.0</v>
      </c>
      <c r="H82" s="32">
        <v>32.0</v>
      </c>
    </row>
    <row r="83" ht="14.25" customHeight="1">
      <c r="A83" s="27" t="s">
        <v>235</v>
      </c>
      <c r="B83" s="27" t="s">
        <v>136</v>
      </c>
      <c r="C83" s="29" t="s">
        <v>43</v>
      </c>
      <c r="D83" s="31"/>
      <c r="E83" s="32">
        <v>24.0</v>
      </c>
      <c r="F83" s="32">
        <v>18.0</v>
      </c>
      <c r="G83" s="32">
        <v>24.0</v>
      </c>
      <c r="H83" s="32">
        <v>30.0</v>
      </c>
    </row>
    <row r="84" ht="14.25" customHeight="1">
      <c r="A84" s="27" t="s">
        <v>235</v>
      </c>
      <c r="B84" s="27" t="s">
        <v>254</v>
      </c>
      <c r="C84" s="29" t="s">
        <v>43</v>
      </c>
      <c r="D84" s="31"/>
      <c r="E84" s="32">
        <v>24.0</v>
      </c>
      <c r="F84" s="32">
        <v>18.0</v>
      </c>
      <c r="G84" s="32">
        <v>24.0</v>
      </c>
      <c r="H84" s="32">
        <v>30.0</v>
      </c>
    </row>
    <row r="85" ht="14.25" customHeight="1">
      <c r="A85" s="27" t="s">
        <v>235</v>
      </c>
      <c r="B85" s="27" t="s">
        <v>256</v>
      </c>
      <c r="C85" s="29" t="s">
        <v>43</v>
      </c>
      <c r="D85" s="31"/>
      <c r="E85" s="32">
        <v>24.0</v>
      </c>
      <c r="F85" s="32">
        <v>18.0</v>
      </c>
      <c r="G85" s="32">
        <v>24.0</v>
      </c>
      <c r="H85" s="32">
        <v>30.0</v>
      </c>
    </row>
    <row r="86" ht="14.25" customHeight="1">
      <c r="A86" s="27" t="s">
        <v>235</v>
      </c>
      <c r="B86" s="27" t="s">
        <v>259</v>
      </c>
      <c r="C86" s="29" t="s">
        <v>43</v>
      </c>
      <c r="D86" s="31"/>
      <c r="E86" s="32">
        <v>24.0</v>
      </c>
      <c r="F86" s="32">
        <v>18.0</v>
      </c>
      <c r="G86" s="32">
        <v>24.0</v>
      </c>
      <c r="H86" s="32">
        <v>30.0</v>
      </c>
    </row>
    <row r="87" ht="14.25" customHeight="1">
      <c r="A87" s="27" t="s">
        <v>235</v>
      </c>
      <c r="B87" s="27" t="s">
        <v>263</v>
      </c>
      <c r="C87" s="29" t="s">
        <v>43</v>
      </c>
      <c r="D87" s="31"/>
      <c r="E87" s="32">
        <v>26.0</v>
      </c>
      <c r="F87" s="32">
        <v>20.0</v>
      </c>
      <c r="G87" s="32">
        <v>26.0</v>
      </c>
      <c r="H87" s="32">
        <v>33.0</v>
      </c>
    </row>
    <row r="88" ht="14.25" customHeight="1">
      <c r="A88" s="27" t="s">
        <v>265</v>
      </c>
      <c r="B88" s="27" t="s">
        <v>266</v>
      </c>
      <c r="C88" s="29" t="s">
        <v>208</v>
      </c>
      <c r="D88" s="31"/>
      <c r="E88" s="32">
        <v>32.0</v>
      </c>
      <c r="F88" s="32">
        <v>26.0</v>
      </c>
      <c r="G88" s="32">
        <v>32.0</v>
      </c>
      <c r="H88" s="32">
        <v>38.0</v>
      </c>
    </row>
    <row r="89" ht="14.25" customHeight="1">
      <c r="A89" s="27" t="s">
        <v>265</v>
      </c>
      <c r="B89" s="27" t="s">
        <v>270</v>
      </c>
      <c r="C89" s="29" t="s">
        <v>208</v>
      </c>
      <c r="D89" s="31"/>
      <c r="E89" s="32">
        <v>32.0</v>
      </c>
      <c r="F89" s="32">
        <v>26.0</v>
      </c>
      <c r="G89" s="32">
        <v>32.0</v>
      </c>
      <c r="H89" s="32">
        <v>38.0</v>
      </c>
    </row>
    <row r="90" ht="14.25" customHeight="1">
      <c r="A90" s="27" t="s">
        <v>265</v>
      </c>
      <c r="B90" s="27" t="s">
        <v>272</v>
      </c>
      <c r="C90" s="29" t="s">
        <v>43</v>
      </c>
      <c r="D90" s="31"/>
      <c r="E90" s="32">
        <v>10.0</v>
      </c>
      <c r="F90" s="32">
        <v>8.0</v>
      </c>
      <c r="G90" s="32">
        <v>10.0</v>
      </c>
      <c r="H90" s="32">
        <v>12.0</v>
      </c>
    </row>
    <row r="91" ht="14.25" customHeight="1">
      <c r="A91" s="27" t="s">
        <v>265</v>
      </c>
      <c r="B91" s="27" t="s">
        <v>266</v>
      </c>
      <c r="C91" s="29" t="s">
        <v>208</v>
      </c>
      <c r="D91" s="31"/>
      <c r="E91" s="32">
        <v>30.0</v>
      </c>
      <c r="F91" s="32">
        <v>24.0</v>
      </c>
      <c r="G91" s="32">
        <v>30.0</v>
      </c>
      <c r="H91" s="32">
        <v>36.0</v>
      </c>
    </row>
    <row r="92" ht="14.25" customHeight="1">
      <c r="A92" s="27" t="s">
        <v>265</v>
      </c>
      <c r="B92" s="27" t="s">
        <v>270</v>
      </c>
      <c r="C92" s="29" t="s">
        <v>208</v>
      </c>
      <c r="D92" s="31"/>
      <c r="E92" s="32">
        <v>25.0</v>
      </c>
      <c r="F92" s="32">
        <v>20.0</v>
      </c>
      <c r="G92" s="32">
        <v>25.0</v>
      </c>
      <c r="H92" s="32">
        <v>30.0</v>
      </c>
    </row>
    <row r="93" ht="14.25" customHeight="1">
      <c r="A93" s="27" t="s">
        <v>265</v>
      </c>
      <c r="B93" s="27" t="s">
        <v>275</v>
      </c>
      <c r="C93" s="29" t="s">
        <v>43</v>
      </c>
      <c r="D93" s="31"/>
      <c r="E93" s="32">
        <v>25.0</v>
      </c>
      <c r="F93" s="32">
        <v>20.0</v>
      </c>
      <c r="G93" s="32">
        <v>25.0</v>
      </c>
      <c r="H93" s="32">
        <v>30.0</v>
      </c>
    </row>
    <row r="94" ht="14.25" customHeight="1">
      <c r="A94" s="27" t="s">
        <v>265</v>
      </c>
      <c r="B94" s="27" t="s">
        <v>276</v>
      </c>
      <c r="C94" s="29" t="s">
        <v>43</v>
      </c>
      <c r="D94" s="31"/>
      <c r="E94" s="32">
        <v>25.0</v>
      </c>
      <c r="F94" s="32">
        <v>20.0</v>
      </c>
      <c r="G94" s="32">
        <v>25.0</v>
      </c>
      <c r="H94" s="32">
        <v>30.0</v>
      </c>
    </row>
    <row r="95" ht="14.25" customHeight="1">
      <c r="A95" s="27" t="s">
        <v>277</v>
      </c>
      <c r="B95" s="27" t="s">
        <v>278</v>
      </c>
      <c r="C95" s="29" t="s">
        <v>43</v>
      </c>
      <c r="D95" s="31"/>
      <c r="E95" s="32">
        <v>5.0</v>
      </c>
      <c r="F95" s="32">
        <v>4.0</v>
      </c>
      <c r="G95" s="32">
        <v>5.0</v>
      </c>
      <c r="H95" s="32">
        <v>6.0</v>
      </c>
    </row>
    <row r="96" ht="14.25" customHeight="1">
      <c r="A96" s="27" t="s">
        <v>277</v>
      </c>
      <c r="B96" s="27" t="s">
        <v>279</v>
      </c>
      <c r="C96" s="29" t="s">
        <v>43</v>
      </c>
      <c r="D96" s="31"/>
      <c r="E96" s="32">
        <v>5.0</v>
      </c>
      <c r="F96" s="32">
        <v>4.0</v>
      </c>
      <c r="G96" s="32">
        <v>5.0</v>
      </c>
      <c r="H96" s="32">
        <v>6.0</v>
      </c>
    </row>
    <row r="97" ht="14.25" customHeight="1">
      <c r="A97" s="27" t="s">
        <v>281</v>
      </c>
      <c r="B97" s="27" t="s">
        <v>282</v>
      </c>
      <c r="C97" s="29" t="s">
        <v>208</v>
      </c>
      <c r="D97" s="31"/>
      <c r="E97" s="32">
        <v>242.0</v>
      </c>
      <c r="F97" s="32">
        <v>194.0</v>
      </c>
      <c r="G97" s="32">
        <v>242.0</v>
      </c>
      <c r="H97" s="32">
        <v>291.0</v>
      </c>
    </row>
    <row r="98" ht="14.25" customHeight="1">
      <c r="A98" s="27" t="s">
        <v>283</v>
      </c>
      <c r="B98" s="27" t="s">
        <v>284</v>
      </c>
      <c r="C98" s="29" t="s">
        <v>43</v>
      </c>
      <c r="D98" s="31"/>
      <c r="E98" s="32">
        <v>5.0</v>
      </c>
      <c r="F98" s="32">
        <v>4.0</v>
      </c>
      <c r="G98" s="32">
        <v>5.0</v>
      </c>
      <c r="H98" s="32">
        <v>6.0</v>
      </c>
    </row>
    <row r="99" ht="14.25" customHeight="1">
      <c r="A99" s="27" t="s">
        <v>285</v>
      </c>
      <c r="B99" s="27" t="s">
        <v>286</v>
      </c>
      <c r="C99" s="29" t="s">
        <v>43</v>
      </c>
      <c r="D99" s="31"/>
      <c r="E99" s="32">
        <v>2.0</v>
      </c>
      <c r="F99" s="32">
        <v>1.0</v>
      </c>
      <c r="G99" s="32">
        <v>2.0</v>
      </c>
      <c r="H99" s="32">
        <v>2.0</v>
      </c>
    </row>
    <row r="100" ht="14.25" customHeight="1">
      <c r="A100" s="27" t="s">
        <v>76</v>
      </c>
      <c r="B100" s="27" t="s">
        <v>288</v>
      </c>
      <c r="C100" s="29" t="s">
        <v>208</v>
      </c>
      <c r="D100" s="31"/>
      <c r="E100" s="32">
        <v>100.0</v>
      </c>
      <c r="F100" s="32">
        <v>84.0</v>
      </c>
      <c r="G100" s="32">
        <v>100.0</v>
      </c>
      <c r="H100" s="32">
        <v>147.0</v>
      </c>
    </row>
    <row r="101" ht="14.25" customHeight="1">
      <c r="A101" s="27" t="s">
        <v>76</v>
      </c>
      <c r="B101" s="27" t="s">
        <v>289</v>
      </c>
      <c r="C101" s="29" t="s">
        <v>208</v>
      </c>
      <c r="D101" s="31"/>
      <c r="E101" s="32">
        <v>100.0</v>
      </c>
      <c r="F101" s="32">
        <v>84.0</v>
      </c>
      <c r="G101" s="32">
        <v>100.0</v>
      </c>
      <c r="H101" s="32">
        <v>147.0</v>
      </c>
    </row>
    <row r="102" ht="14.25" customHeight="1">
      <c r="A102" s="27" t="s">
        <v>290</v>
      </c>
      <c r="B102" s="27" t="s">
        <v>291</v>
      </c>
      <c r="C102" s="29" t="s">
        <v>43</v>
      </c>
      <c r="D102" s="31"/>
      <c r="E102" s="32">
        <v>14.0</v>
      </c>
      <c r="F102" s="32">
        <v>11.0</v>
      </c>
      <c r="G102" s="32">
        <v>14.0</v>
      </c>
      <c r="H102" s="32">
        <v>17.0</v>
      </c>
    </row>
    <row r="103" ht="14.25" customHeight="1">
      <c r="A103" s="27" t="s">
        <v>290</v>
      </c>
      <c r="B103" s="27" t="s">
        <v>291</v>
      </c>
      <c r="C103" s="29" t="s">
        <v>43</v>
      </c>
      <c r="D103" s="31"/>
      <c r="E103" s="32">
        <v>0.0</v>
      </c>
      <c r="F103" s="32">
        <v>0.0</v>
      </c>
      <c r="G103" s="32">
        <v>0.0</v>
      </c>
      <c r="H103" s="32">
        <v>0.0</v>
      </c>
    </row>
    <row r="104" ht="14.25" customHeight="1">
      <c r="A104" s="27" t="s">
        <v>290</v>
      </c>
      <c r="B104" s="27" t="s">
        <v>286</v>
      </c>
      <c r="C104" s="29" t="s">
        <v>43</v>
      </c>
      <c r="D104" s="31"/>
      <c r="E104" s="32">
        <v>2.0</v>
      </c>
      <c r="F104" s="32">
        <v>1.0</v>
      </c>
      <c r="G104" s="32">
        <v>2.0</v>
      </c>
      <c r="H104" s="32">
        <v>2.0</v>
      </c>
    </row>
    <row r="105" ht="14.25" customHeight="1">
      <c r="A105" s="27" t="s">
        <v>290</v>
      </c>
      <c r="B105" s="27" t="s">
        <v>260</v>
      </c>
      <c r="C105" s="29" t="s">
        <v>43</v>
      </c>
      <c r="D105" s="31"/>
      <c r="E105" s="32">
        <v>2.0</v>
      </c>
      <c r="F105" s="32">
        <v>2.0</v>
      </c>
      <c r="G105" s="32">
        <v>2.0</v>
      </c>
      <c r="H105" s="32">
        <v>3.0</v>
      </c>
    </row>
    <row r="106" ht="14.25" customHeight="1">
      <c r="A106" s="27" t="s">
        <v>290</v>
      </c>
      <c r="B106" s="27" t="s">
        <v>292</v>
      </c>
      <c r="C106" s="29" t="s">
        <v>43</v>
      </c>
      <c r="D106" s="31"/>
      <c r="E106" s="32">
        <v>1.0</v>
      </c>
      <c r="F106" s="32">
        <v>1.0</v>
      </c>
      <c r="G106" s="32">
        <v>1.0</v>
      </c>
      <c r="H106" s="32">
        <v>1.0</v>
      </c>
    </row>
    <row r="107" ht="14.25" customHeight="1">
      <c r="A107" s="27" t="s">
        <v>293</v>
      </c>
      <c r="B107" s="27" t="s">
        <v>294</v>
      </c>
      <c r="C107" s="29" t="s">
        <v>43</v>
      </c>
      <c r="D107" s="31"/>
      <c r="E107" s="32">
        <v>10.0</v>
      </c>
      <c r="F107" s="32">
        <v>8.0</v>
      </c>
      <c r="G107" s="32">
        <v>10.0</v>
      </c>
      <c r="H107" s="32">
        <v>12.0</v>
      </c>
    </row>
    <row r="108" ht="14.25" customHeight="1">
      <c r="A108" s="27" t="s">
        <v>295</v>
      </c>
      <c r="B108" s="27" t="s">
        <v>296</v>
      </c>
      <c r="C108" s="29" t="s">
        <v>43</v>
      </c>
      <c r="D108" s="31"/>
      <c r="E108" s="32">
        <v>1.0</v>
      </c>
      <c r="F108" s="32">
        <v>1.0</v>
      </c>
      <c r="G108" s="32">
        <v>1.0</v>
      </c>
      <c r="H108" s="32">
        <v>1.0</v>
      </c>
    </row>
    <row r="109" ht="14.25" customHeight="1">
      <c r="A109" s="27" t="s">
        <v>295</v>
      </c>
      <c r="B109" s="27" t="s">
        <v>297</v>
      </c>
      <c r="C109" s="29" t="s">
        <v>43</v>
      </c>
      <c r="D109" s="31"/>
      <c r="E109" s="32">
        <v>1.0</v>
      </c>
      <c r="F109" s="32">
        <v>1.0</v>
      </c>
      <c r="G109" s="32">
        <v>1.0</v>
      </c>
      <c r="H109" s="32">
        <v>1.0</v>
      </c>
    </row>
    <row r="110" ht="14.25" customHeight="1">
      <c r="A110" s="27" t="s">
        <v>298</v>
      </c>
      <c r="B110" s="27" t="s">
        <v>299</v>
      </c>
      <c r="C110" s="29" t="s">
        <v>43</v>
      </c>
      <c r="D110" s="31"/>
      <c r="E110" s="32">
        <v>30.0</v>
      </c>
      <c r="F110" s="32">
        <v>24.0</v>
      </c>
      <c r="G110" s="32">
        <v>30.0</v>
      </c>
      <c r="H110" s="32">
        <v>36.0</v>
      </c>
    </row>
    <row r="111" ht="14.25" customHeight="1">
      <c r="A111" s="27" t="s">
        <v>300</v>
      </c>
      <c r="B111" s="27" t="s">
        <v>301</v>
      </c>
      <c r="C111" s="29" t="s">
        <v>43</v>
      </c>
      <c r="D111" s="31"/>
      <c r="E111" s="32">
        <v>1.0</v>
      </c>
      <c r="F111" s="32">
        <v>1.0</v>
      </c>
      <c r="G111" s="32">
        <v>1.0</v>
      </c>
      <c r="H111" s="32">
        <v>1.0</v>
      </c>
    </row>
    <row r="112" ht="14.25" customHeight="1">
      <c r="A112" s="27" t="s">
        <v>300</v>
      </c>
      <c r="B112" s="27" t="s">
        <v>302</v>
      </c>
      <c r="C112" s="29" t="s">
        <v>43</v>
      </c>
      <c r="D112" s="31"/>
      <c r="E112" s="32">
        <v>1.0</v>
      </c>
      <c r="F112" s="32">
        <v>1.0</v>
      </c>
      <c r="G112" s="32">
        <v>1.0</v>
      </c>
      <c r="H112" s="32">
        <v>1.0</v>
      </c>
    </row>
    <row r="113" ht="14.25" customHeight="1">
      <c r="A113" s="27" t="s">
        <v>300</v>
      </c>
      <c r="B113" s="27" t="s">
        <v>303</v>
      </c>
      <c r="C113" s="29" t="s">
        <v>43</v>
      </c>
      <c r="D113" s="31"/>
      <c r="E113" s="32">
        <v>1.0</v>
      </c>
      <c r="F113" s="32">
        <v>1.0</v>
      </c>
      <c r="G113" s="32">
        <v>1.0</v>
      </c>
      <c r="H113" s="32">
        <v>1.0</v>
      </c>
    </row>
    <row r="114" ht="14.25" customHeight="1">
      <c r="A114" s="27" t="s">
        <v>300</v>
      </c>
      <c r="B114" s="27" t="s">
        <v>304</v>
      </c>
      <c r="C114" s="29" t="s">
        <v>43</v>
      </c>
      <c r="D114" s="31"/>
      <c r="E114" s="32">
        <v>40.0</v>
      </c>
      <c r="F114" s="32">
        <v>32.0</v>
      </c>
      <c r="G114" s="32">
        <v>40.0</v>
      </c>
      <c r="H114" s="32">
        <v>48.0</v>
      </c>
    </row>
    <row r="115" ht="14.25" customHeight="1">
      <c r="A115" s="27" t="s">
        <v>300</v>
      </c>
      <c r="B115" s="27" t="s">
        <v>306</v>
      </c>
      <c r="C115" s="29" t="s">
        <v>43</v>
      </c>
      <c r="D115" s="31"/>
      <c r="E115" s="32">
        <v>40.0</v>
      </c>
      <c r="F115" s="32">
        <v>32.0</v>
      </c>
      <c r="G115" s="32">
        <v>40.0</v>
      </c>
      <c r="H115" s="32">
        <v>48.0</v>
      </c>
    </row>
    <row r="116" ht="14.25" customHeight="1">
      <c r="A116" s="27" t="s">
        <v>300</v>
      </c>
      <c r="B116" s="27" t="s">
        <v>307</v>
      </c>
      <c r="C116" s="29" t="s">
        <v>43</v>
      </c>
      <c r="D116" s="31"/>
      <c r="E116" s="32">
        <v>16.0</v>
      </c>
      <c r="F116" s="32">
        <v>13.0</v>
      </c>
      <c r="G116" s="32">
        <v>16.0</v>
      </c>
      <c r="H116" s="32">
        <v>20.0</v>
      </c>
    </row>
    <row r="117" ht="14.25" customHeight="1">
      <c r="A117" s="27" t="s">
        <v>300</v>
      </c>
      <c r="B117" s="27" t="s">
        <v>259</v>
      </c>
      <c r="C117" s="29" t="s">
        <v>43</v>
      </c>
      <c r="D117" s="31"/>
      <c r="E117" s="32">
        <v>16.0</v>
      </c>
      <c r="F117" s="32">
        <v>13.0</v>
      </c>
      <c r="G117" s="32">
        <v>16.0</v>
      </c>
      <c r="H117" s="32">
        <v>20.0</v>
      </c>
    </row>
    <row r="118" ht="14.25" customHeight="1">
      <c r="A118" s="27" t="s">
        <v>308</v>
      </c>
      <c r="B118" s="27" t="s">
        <v>53</v>
      </c>
      <c r="C118" s="29" t="s">
        <v>43</v>
      </c>
      <c r="D118" s="31"/>
      <c r="E118" s="32">
        <v>39.0</v>
      </c>
      <c r="F118" s="32">
        <v>27.0</v>
      </c>
      <c r="G118" s="32">
        <v>39.0</v>
      </c>
      <c r="H118" s="32">
        <v>50.0</v>
      </c>
    </row>
    <row r="119" ht="14.25" customHeight="1">
      <c r="A119" s="27" t="s">
        <v>308</v>
      </c>
      <c r="B119" s="27" t="s">
        <v>53</v>
      </c>
      <c r="C119" s="29" t="s">
        <v>43</v>
      </c>
      <c r="D119" s="31"/>
      <c r="E119" s="32">
        <v>39.0</v>
      </c>
      <c r="F119" s="32">
        <v>27.0</v>
      </c>
      <c r="G119" s="32">
        <v>39.0</v>
      </c>
      <c r="H119" s="32">
        <v>50.0</v>
      </c>
    </row>
    <row r="120" ht="14.25" customHeight="1">
      <c r="A120" s="27" t="s">
        <v>308</v>
      </c>
      <c r="B120" s="27" t="s">
        <v>286</v>
      </c>
      <c r="C120" s="29" t="s">
        <v>43</v>
      </c>
      <c r="D120" s="31"/>
      <c r="E120" s="32">
        <v>2.0</v>
      </c>
      <c r="F120" s="32">
        <v>1.0</v>
      </c>
      <c r="G120" s="32">
        <v>2.0</v>
      </c>
      <c r="H120" s="32">
        <v>2.0</v>
      </c>
    </row>
    <row r="121" ht="14.25" customHeight="1">
      <c r="A121" s="27" t="s">
        <v>309</v>
      </c>
      <c r="B121" s="27" t="s">
        <v>310</v>
      </c>
      <c r="C121" s="29" t="s">
        <v>43</v>
      </c>
      <c r="D121" s="31"/>
      <c r="E121" s="32">
        <v>1.0</v>
      </c>
      <c r="F121" s="32">
        <v>1.0</v>
      </c>
      <c r="G121" s="32">
        <v>1.0</v>
      </c>
      <c r="H121" s="32">
        <v>1.0</v>
      </c>
    </row>
    <row r="122" ht="14.25" customHeight="1">
      <c r="A122" s="27" t="s">
        <v>309</v>
      </c>
      <c r="B122" s="27" t="s">
        <v>312</v>
      </c>
      <c r="C122" s="29" t="s">
        <v>43</v>
      </c>
      <c r="D122" s="31"/>
      <c r="E122" s="32">
        <v>1.0</v>
      </c>
      <c r="F122" s="32">
        <v>1.0</v>
      </c>
      <c r="G122" s="32">
        <v>1.0</v>
      </c>
      <c r="H122" s="32">
        <v>1.0</v>
      </c>
    </row>
    <row r="123" ht="14.25" customHeight="1">
      <c r="A123" s="27" t="s">
        <v>309</v>
      </c>
      <c r="B123" s="27" t="s">
        <v>313</v>
      </c>
      <c r="C123" s="29" t="s">
        <v>43</v>
      </c>
      <c r="D123" s="31"/>
      <c r="E123" s="32">
        <v>1.0</v>
      </c>
      <c r="F123" s="32">
        <v>1.0</v>
      </c>
      <c r="G123" s="32">
        <v>1.0</v>
      </c>
      <c r="H123" s="32">
        <v>1.0</v>
      </c>
    </row>
    <row r="124" ht="14.25" customHeight="1">
      <c r="A124" s="27" t="s">
        <v>309</v>
      </c>
      <c r="B124" s="27" t="s">
        <v>314</v>
      </c>
      <c r="C124" s="29" t="s">
        <v>43</v>
      </c>
      <c r="D124" s="31"/>
      <c r="E124" s="32">
        <v>1.0</v>
      </c>
      <c r="F124" s="32">
        <v>1.0</v>
      </c>
      <c r="G124" s="32">
        <v>1.0</v>
      </c>
      <c r="H124" s="32">
        <v>1.0</v>
      </c>
    </row>
    <row r="125" ht="14.25" customHeight="1">
      <c r="A125" s="27" t="s">
        <v>309</v>
      </c>
      <c r="B125" s="27" t="s">
        <v>315</v>
      </c>
      <c r="C125" s="29" t="s">
        <v>43</v>
      </c>
      <c r="D125" s="31"/>
      <c r="E125" s="32">
        <v>1.0</v>
      </c>
      <c r="F125" s="32">
        <v>1.0</v>
      </c>
      <c r="G125" s="32">
        <v>1.0</v>
      </c>
      <c r="H125" s="32">
        <v>1.0</v>
      </c>
    </row>
    <row r="126" ht="14.25" customHeight="1">
      <c r="A126" s="27" t="s">
        <v>309</v>
      </c>
      <c r="B126" s="27" t="s">
        <v>316</v>
      </c>
      <c r="C126" s="29" t="s">
        <v>43</v>
      </c>
      <c r="D126" s="31"/>
      <c r="E126" s="32">
        <v>1.0</v>
      </c>
      <c r="F126" s="32">
        <v>1.0</v>
      </c>
      <c r="G126" s="32">
        <v>1.0</v>
      </c>
      <c r="H126" s="32">
        <v>1.0</v>
      </c>
    </row>
    <row r="127" ht="14.25" customHeight="1">
      <c r="A127" s="27" t="s">
        <v>309</v>
      </c>
      <c r="B127" s="27" t="s">
        <v>309</v>
      </c>
      <c r="C127" s="29" t="s">
        <v>43</v>
      </c>
      <c r="D127" s="31"/>
      <c r="E127" s="32">
        <v>1.0</v>
      </c>
      <c r="F127" s="32">
        <v>1.0</v>
      </c>
      <c r="G127" s="32">
        <v>1.0</v>
      </c>
      <c r="H127" s="32">
        <v>1.0</v>
      </c>
    </row>
    <row r="128" ht="14.25" customHeight="1">
      <c r="A128" s="27" t="s">
        <v>309</v>
      </c>
      <c r="B128" s="27" t="s">
        <v>317</v>
      </c>
      <c r="C128" s="29" t="s">
        <v>43</v>
      </c>
      <c r="D128" s="31"/>
      <c r="E128" s="32">
        <v>15.0</v>
      </c>
      <c r="F128" s="32">
        <v>12.0</v>
      </c>
      <c r="G128" s="32">
        <v>15.0</v>
      </c>
      <c r="H128" s="32">
        <v>18.0</v>
      </c>
    </row>
    <row r="129" ht="14.25" customHeight="1">
      <c r="A129" s="27" t="s">
        <v>309</v>
      </c>
      <c r="B129" s="27" t="s">
        <v>318</v>
      </c>
      <c r="C129" s="29" t="s">
        <v>43</v>
      </c>
      <c r="D129" s="31"/>
      <c r="E129" s="32">
        <v>1.0</v>
      </c>
      <c r="F129" s="32">
        <v>1.0</v>
      </c>
      <c r="G129" s="32">
        <v>1.0</v>
      </c>
      <c r="H129" s="32">
        <v>1.0</v>
      </c>
    </row>
    <row r="130" ht="14.25" customHeight="1">
      <c r="A130" s="27" t="s">
        <v>309</v>
      </c>
      <c r="B130" s="27" t="s">
        <v>319</v>
      </c>
      <c r="C130" s="29" t="s">
        <v>43</v>
      </c>
      <c r="D130" s="31"/>
      <c r="E130" s="32">
        <v>1.0</v>
      </c>
      <c r="F130" s="32">
        <v>1.0</v>
      </c>
      <c r="G130" s="32">
        <v>1.0</v>
      </c>
      <c r="H130" s="32">
        <v>1.0</v>
      </c>
    </row>
    <row r="131" ht="14.25" customHeight="1">
      <c r="A131" s="27" t="s">
        <v>309</v>
      </c>
      <c r="B131" s="27" t="s">
        <v>320</v>
      </c>
      <c r="C131" s="29" t="s">
        <v>43</v>
      </c>
      <c r="D131" s="31"/>
      <c r="E131" s="32">
        <v>1.0</v>
      </c>
      <c r="F131" s="32">
        <v>1.0</v>
      </c>
      <c r="G131" s="32">
        <v>1.0</v>
      </c>
      <c r="H131" s="32">
        <v>1.0</v>
      </c>
    </row>
    <row r="132" ht="14.25" customHeight="1">
      <c r="A132" s="27" t="s">
        <v>309</v>
      </c>
      <c r="B132" s="27" t="s">
        <v>103</v>
      </c>
      <c r="C132" s="29" t="s">
        <v>43</v>
      </c>
      <c r="D132" s="31"/>
      <c r="E132" s="32">
        <v>1.0</v>
      </c>
      <c r="F132" s="32">
        <v>1.0</v>
      </c>
      <c r="G132" s="32">
        <v>1.0</v>
      </c>
      <c r="H132" s="32">
        <v>1.0</v>
      </c>
    </row>
    <row r="133" ht="14.25" customHeight="1">
      <c r="A133" s="27" t="s">
        <v>309</v>
      </c>
      <c r="B133" s="27" t="s">
        <v>321</v>
      </c>
      <c r="C133" s="29" t="s">
        <v>43</v>
      </c>
      <c r="D133" s="31"/>
      <c r="E133" s="32">
        <v>1.0</v>
      </c>
      <c r="F133" s="32">
        <v>1.0</v>
      </c>
      <c r="G133" s="32">
        <v>1.0</v>
      </c>
      <c r="H133" s="32">
        <v>1.0</v>
      </c>
    </row>
    <row r="134" ht="14.25" customHeight="1">
      <c r="A134" s="27" t="s">
        <v>309</v>
      </c>
      <c r="B134" s="27" t="s">
        <v>322</v>
      </c>
      <c r="C134" s="29" t="s">
        <v>43</v>
      </c>
      <c r="D134" s="31"/>
      <c r="E134" s="32">
        <v>1.0</v>
      </c>
      <c r="F134" s="32">
        <v>1.0</v>
      </c>
      <c r="G134" s="32">
        <v>1.0</v>
      </c>
      <c r="H134" s="32">
        <v>1.0</v>
      </c>
    </row>
    <row r="135" ht="14.25" customHeight="1">
      <c r="A135" s="27" t="s">
        <v>309</v>
      </c>
      <c r="B135" s="27" t="s">
        <v>323</v>
      </c>
      <c r="C135" s="29" t="s">
        <v>43</v>
      </c>
      <c r="D135" s="31"/>
      <c r="E135" s="32">
        <v>1.0</v>
      </c>
      <c r="F135" s="32">
        <v>1.0</v>
      </c>
      <c r="G135" s="32">
        <v>1.0</v>
      </c>
      <c r="H135" s="32">
        <v>1.0</v>
      </c>
    </row>
    <row r="136" ht="14.25" customHeight="1">
      <c r="A136" s="27" t="s">
        <v>324</v>
      </c>
      <c r="B136" s="27" t="s">
        <v>325</v>
      </c>
      <c r="C136" s="29" t="s">
        <v>43</v>
      </c>
      <c r="D136" s="31"/>
      <c r="E136" s="32">
        <v>4.0</v>
      </c>
      <c r="F136" s="32">
        <v>3.0</v>
      </c>
      <c r="G136" s="32">
        <v>4.0</v>
      </c>
      <c r="H136" s="32">
        <v>4.0</v>
      </c>
    </row>
    <row r="137" ht="14.25" customHeight="1">
      <c r="A137" s="27" t="s">
        <v>324</v>
      </c>
      <c r="B137" s="27" t="s">
        <v>326</v>
      </c>
      <c r="C137" s="29" t="s">
        <v>43</v>
      </c>
      <c r="D137" s="31"/>
      <c r="E137" s="32">
        <v>10.0</v>
      </c>
      <c r="F137" s="32">
        <v>8.0</v>
      </c>
      <c r="G137" s="32">
        <v>10.0</v>
      </c>
      <c r="H137" s="32">
        <v>12.0</v>
      </c>
    </row>
    <row r="138" ht="14.25" customHeight="1">
      <c r="A138" s="27" t="s">
        <v>324</v>
      </c>
      <c r="B138" s="27" t="s">
        <v>327</v>
      </c>
      <c r="C138" s="29" t="s">
        <v>43</v>
      </c>
      <c r="D138" s="31"/>
      <c r="E138" s="32">
        <v>10.0</v>
      </c>
      <c r="F138" s="32">
        <v>8.0</v>
      </c>
      <c r="G138" s="32">
        <v>10.0</v>
      </c>
      <c r="H138" s="32">
        <v>12.0</v>
      </c>
    </row>
    <row r="139" ht="14.25" customHeight="1">
      <c r="A139" s="27" t="s">
        <v>324</v>
      </c>
      <c r="B139" s="27" t="s">
        <v>328</v>
      </c>
      <c r="C139" s="29" t="s">
        <v>43</v>
      </c>
      <c r="D139" s="31"/>
      <c r="E139" s="32">
        <v>1.0</v>
      </c>
      <c r="F139" s="32">
        <v>1.0</v>
      </c>
      <c r="G139" s="32">
        <v>1.0</v>
      </c>
      <c r="H139" s="32">
        <v>1.0</v>
      </c>
    </row>
    <row r="140" ht="14.25" customHeight="1">
      <c r="A140" s="27" t="s">
        <v>324</v>
      </c>
      <c r="B140" s="27" t="s">
        <v>329</v>
      </c>
      <c r="C140" s="29" t="s">
        <v>43</v>
      </c>
      <c r="D140" s="31"/>
      <c r="E140" s="32">
        <v>10.0</v>
      </c>
      <c r="F140" s="32">
        <v>8.0</v>
      </c>
      <c r="G140" s="32">
        <v>10.0</v>
      </c>
      <c r="H140" s="32">
        <v>12.0</v>
      </c>
    </row>
    <row r="141" ht="14.25" customHeight="1">
      <c r="A141" s="27" t="s">
        <v>324</v>
      </c>
      <c r="B141" s="27" t="s">
        <v>330</v>
      </c>
      <c r="C141" s="29" t="s">
        <v>43</v>
      </c>
      <c r="D141" s="31"/>
      <c r="E141" s="32">
        <v>39.0</v>
      </c>
      <c r="F141" s="32">
        <v>27.0</v>
      </c>
      <c r="G141" s="32">
        <v>39.0</v>
      </c>
      <c r="H141" s="32">
        <v>50.0</v>
      </c>
    </row>
    <row r="142" ht="14.25" customHeight="1">
      <c r="A142" s="27" t="s">
        <v>324</v>
      </c>
      <c r="B142" s="27" t="s">
        <v>331</v>
      </c>
      <c r="C142" s="29" t="s">
        <v>43</v>
      </c>
      <c r="D142" s="31"/>
      <c r="E142" s="32">
        <v>10.0</v>
      </c>
      <c r="F142" s="32">
        <v>8.0</v>
      </c>
      <c r="G142" s="32">
        <v>10.0</v>
      </c>
      <c r="H142" s="32">
        <v>12.0</v>
      </c>
    </row>
    <row r="143" ht="14.25" customHeight="1">
      <c r="A143" s="27" t="s">
        <v>324</v>
      </c>
      <c r="B143" s="27" t="s">
        <v>332</v>
      </c>
      <c r="C143" s="29" t="s">
        <v>43</v>
      </c>
      <c r="D143" s="31"/>
      <c r="E143" s="32">
        <v>39.0</v>
      </c>
      <c r="F143" s="32">
        <v>27.0</v>
      </c>
      <c r="G143" s="32">
        <v>39.0</v>
      </c>
      <c r="H143" s="32">
        <v>50.0</v>
      </c>
    </row>
    <row r="144" ht="14.25" customHeight="1">
      <c r="A144" s="27" t="s">
        <v>94</v>
      </c>
      <c r="B144" s="27" t="s">
        <v>333</v>
      </c>
      <c r="C144" s="29" t="s">
        <v>43</v>
      </c>
      <c r="D144" s="31"/>
      <c r="E144" s="32">
        <v>45.0</v>
      </c>
      <c r="F144" s="32">
        <v>36.0</v>
      </c>
      <c r="G144" s="32">
        <v>45.0</v>
      </c>
      <c r="H144" s="32">
        <v>54.0</v>
      </c>
    </row>
    <row r="145" ht="14.25" customHeight="1">
      <c r="A145" s="27" t="s">
        <v>334</v>
      </c>
      <c r="B145" s="27" t="s">
        <v>335</v>
      </c>
      <c r="C145" s="29" t="s">
        <v>43</v>
      </c>
      <c r="D145" s="31"/>
      <c r="E145" s="32">
        <v>45.0</v>
      </c>
      <c r="F145" s="32">
        <v>36.0</v>
      </c>
      <c r="G145" s="32">
        <v>45.0</v>
      </c>
      <c r="H145" s="32">
        <v>54.0</v>
      </c>
    </row>
    <row r="146" ht="14.25" customHeight="1">
      <c r="A146" s="27" t="s">
        <v>336</v>
      </c>
      <c r="B146" s="27" t="s">
        <v>337</v>
      </c>
      <c r="C146" s="29" t="s">
        <v>43</v>
      </c>
      <c r="D146" s="31"/>
      <c r="E146" s="32">
        <v>45.0</v>
      </c>
      <c r="F146" s="32">
        <v>36.0</v>
      </c>
      <c r="G146" s="32">
        <v>45.0</v>
      </c>
      <c r="H146" s="32">
        <v>54.0</v>
      </c>
    </row>
    <row r="147" ht="14.25" customHeight="1">
      <c r="A147" s="27" t="s">
        <v>338</v>
      </c>
      <c r="B147" s="27" t="s">
        <v>339</v>
      </c>
      <c r="C147" s="29" t="s">
        <v>43</v>
      </c>
      <c r="D147" s="31"/>
      <c r="E147" s="32">
        <v>45.0</v>
      </c>
      <c r="F147" s="32">
        <v>36.0</v>
      </c>
      <c r="G147" s="32">
        <v>45.0</v>
      </c>
      <c r="H147" s="32">
        <v>54.0</v>
      </c>
    </row>
    <row r="148" ht="14.25" customHeight="1">
      <c r="A148" s="27" t="s">
        <v>340</v>
      </c>
      <c r="B148" s="27" t="s">
        <v>341</v>
      </c>
      <c r="C148" s="29" t="s">
        <v>43</v>
      </c>
      <c r="D148" s="31"/>
      <c r="E148" s="32">
        <v>45.0</v>
      </c>
      <c r="F148" s="32">
        <v>36.0</v>
      </c>
      <c r="G148" s="32">
        <v>45.0</v>
      </c>
      <c r="H148" s="32">
        <v>54.0</v>
      </c>
    </row>
    <row r="149" ht="14.25" customHeight="1">
      <c r="A149" s="27" t="s">
        <v>342</v>
      </c>
      <c r="B149" s="27" t="s">
        <v>343</v>
      </c>
      <c r="C149" s="29" t="s">
        <v>30</v>
      </c>
      <c r="D149" s="31"/>
      <c r="E149" s="32">
        <v>24.0</v>
      </c>
      <c r="F149" s="32">
        <v>18.0</v>
      </c>
      <c r="G149" s="32">
        <v>24.0</v>
      </c>
      <c r="H149" s="32">
        <v>32.0</v>
      </c>
    </row>
    <row r="150" ht="14.25" customHeight="1">
      <c r="A150" s="27" t="s">
        <v>342</v>
      </c>
      <c r="B150" s="27" t="s">
        <v>344</v>
      </c>
      <c r="C150" s="29" t="s">
        <v>30</v>
      </c>
      <c r="D150" s="31"/>
      <c r="E150" s="32">
        <v>24.0</v>
      </c>
      <c r="F150" s="32">
        <v>18.0</v>
      </c>
      <c r="G150" s="32">
        <v>24.0</v>
      </c>
      <c r="H150" s="32">
        <v>32.0</v>
      </c>
    </row>
    <row r="151" ht="14.25" customHeight="1">
      <c r="A151" s="27" t="s">
        <v>342</v>
      </c>
      <c r="B151" s="27" t="s">
        <v>345</v>
      </c>
      <c r="C151" s="29" t="s">
        <v>30</v>
      </c>
      <c r="D151" s="31"/>
      <c r="E151" s="32">
        <v>24.0</v>
      </c>
      <c r="F151" s="32">
        <v>18.0</v>
      </c>
      <c r="G151" s="32">
        <v>24.0</v>
      </c>
      <c r="H151" s="32">
        <v>32.0</v>
      </c>
    </row>
    <row r="152" ht="14.25" customHeight="1">
      <c r="A152" s="27" t="s">
        <v>346</v>
      </c>
      <c r="B152" s="27" t="s">
        <v>347</v>
      </c>
      <c r="C152" s="29" t="s">
        <v>30</v>
      </c>
      <c r="D152" s="31"/>
      <c r="E152" s="32">
        <v>30.0</v>
      </c>
      <c r="F152" s="32">
        <v>24.0</v>
      </c>
      <c r="G152" s="32">
        <v>30.0</v>
      </c>
      <c r="H152" s="32">
        <v>36.0</v>
      </c>
    </row>
    <row r="153" ht="14.25" customHeight="1">
      <c r="A153" s="27" t="s">
        <v>346</v>
      </c>
      <c r="B153" s="27" t="s">
        <v>348</v>
      </c>
      <c r="C153" s="29" t="s">
        <v>30</v>
      </c>
      <c r="D153" s="31"/>
      <c r="E153" s="32">
        <v>24.0</v>
      </c>
      <c r="F153" s="32">
        <v>18.0</v>
      </c>
      <c r="G153" s="32">
        <v>24.0</v>
      </c>
      <c r="H153" s="32">
        <v>32.0</v>
      </c>
    </row>
    <row r="154" ht="14.25" customHeight="1">
      <c r="A154" s="27" t="s">
        <v>346</v>
      </c>
      <c r="B154" s="27" t="s">
        <v>350</v>
      </c>
      <c r="C154" s="29" t="s">
        <v>30</v>
      </c>
      <c r="D154" s="31"/>
      <c r="E154" s="32">
        <v>30.0</v>
      </c>
      <c r="F154" s="32">
        <v>24.0</v>
      </c>
      <c r="G154" s="32">
        <v>30.0</v>
      </c>
      <c r="H154" s="32">
        <v>36.0</v>
      </c>
    </row>
    <row r="155" ht="14.25" customHeight="1">
      <c r="A155" s="27" t="s">
        <v>346</v>
      </c>
      <c r="B155" s="27" t="s">
        <v>351</v>
      </c>
      <c r="C155" s="29" t="s">
        <v>30</v>
      </c>
      <c r="D155" s="31"/>
      <c r="E155" s="32">
        <v>24.0</v>
      </c>
      <c r="F155" s="32">
        <v>18.0</v>
      </c>
      <c r="G155" s="32">
        <v>24.0</v>
      </c>
      <c r="H155" s="32">
        <v>32.0</v>
      </c>
    </row>
    <row r="156" ht="14.25" customHeight="1">
      <c r="A156" s="27" t="s">
        <v>352</v>
      </c>
      <c r="B156" s="27" t="s">
        <v>353</v>
      </c>
      <c r="C156" s="29" t="s">
        <v>43</v>
      </c>
      <c r="D156" s="31"/>
      <c r="E156" s="32">
        <v>110.0</v>
      </c>
      <c r="F156" s="32">
        <v>88.0</v>
      </c>
      <c r="G156" s="32">
        <v>110.0</v>
      </c>
      <c r="H156" s="32">
        <v>132.0</v>
      </c>
    </row>
    <row r="157" ht="14.25" customHeight="1">
      <c r="A157" s="27" t="s">
        <v>355</v>
      </c>
      <c r="B157" s="27" t="s">
        <v>356</v>
      </c>
      <c r="C157" s="29" t="s">
        <v>43</v>
      </c>
      <c r="D157" s="31"/>
      <c r="E157" s="32">
        <v>30.0</v>
      </c>
      <c r="F157" s="32">
        <v>24.0</v>
      </c>
      <c r="G157" s="32">
        <v>30.0</v>
      </c>
      <c r="H157" s="32">
        <v>36.0</v>
      </c>
    </row>
    <row r="158" ht="14.25" customHeight="1">
      <c r="A158" s="27" t="s">
        <v>358</v>
      </c>
      <c r="B158" s="27" t="s">
        <v>359</v>
      </c>
      <c r="C158" s="29" t="s">
        <v>43</v>
      </c>
      <c r="D158" s="31"/>
      <c r="E158" s="32">
        <v>30.0</v>
      </c>
      <c r="F158" s="32">
        <v>24.0</v>
      </c>
      <c r="G158" s="32">
        <v>30.0</v>
      </c>
      <c r="H158" s="32">
        <v>36.0</v>
      </c>
    </row>
    <row r="159" ht="14.25" customHeight="1">
      <c r="A159" s="27" t="s">
        <v>360</v>
      </c>
      <c r="B159" s="27" t="s">
        <v>361</v>
      </c>
      <c r="C159" s="29" t="s">
        <v>43</v>
      </c>
      <c r="D159" s="31"/>
      <c r="E159" s="32">
        <v>10.0</v>
      </c>
      <c r="F159" s="32">
        <v>8.0</v>
      </c>
      <c r="G159" s="32">
        <v>10.0</v>
      </c>
      <c r="H159" s="32">
        <v>12.0</v>
      </c>
    </row>
    <row r="160" ht="14.25" customHeight="1">
      <c r="A160" s="27" t="s">
        <v>360</v>
      </c>
      <c r="B160" s="27" t="s">
        <v>363</v>
      </c>
      <c r="C160" s="29" t="s">
        <v>43</v>
      </c>
      <c r="D160" s="31"/>
      <c r="E160" s="32">
        <v>10.0</v>
      </c>
      <c r="F160" s="32">
        <v>8.0</v>
      </c>
      <c r="G160" s="32">
        <v>10.0</v>
      </c>
      <c r="H160" s="32">
        <v>12.0</v>
      </c>
    </row>
    <row r="161" ht="14.25" customHeight="1">
      <c r="A161" s="27" t="s">
        <v>360</v>
      </c>
      <c r="B161" s="27" t="s">
        <v>364</v>
      </c>
      <c r="C161" s="29" t="s">
        <v>43</v>
      </c>
      <c r="D161" s="31"/>
      <c r="E161" s="32">
        <v>10.0</v>
      </c>
      <c r="F161" s="32">
        <v>8.0</v>
      </c>
      <c r="G161" s="32">
        <v>10.0</v>
      </c>
      <c r="H161" s="32">
        <v>12.0</v>
      </c>
    </row>
    <row r="162" ht="14.25" customHeight="1">
      <c r="A162" s="27" t="s">
        <v>365</v>
      </c>
      <c r="B162" s="27" t="s">
        <v>366</v>
      </c>
      <c r="C162" s="29" t="s">
        <v>43</v>
      </c>
      <c r="D162" s="31"/>
      <c r="E162" s="32">
        <v>10.0</v>
      </c>
      <c r="F162" s="32">
        <v>8.0</v>
      </c>
      <c r="G162" s="32">
        <v>10.0</v>
      </c>
      <c r="H162" s="32">
        <v>12.0</v>
      </c>
    </row>
    <row r="163" ht="14.25" customHeight="1">
      <c r="A163" s="27" t="s">
        <v>365</v>
      </c>
      <c r="B163" s="27" t="s">
        <v>257</v>
      </c>
      <c r="C163" s="29" t="s">
        <v>43</v>
      </c>
      <c r="D163" s="31"/>
      <c r="E163" s="32">
        <v>9.0</v>
      </c>
      <c r="F163" s="32">
        <v>7.0</v>
      </c>
      <c r="G163" s="32">
        <v>9.0</v>
      </c>
      <c r="H163" s="32">
        <v>11.0</v>
      </c>
    </row>
    <row r="164" ht="14.25" customHeight="1">
      <c r="A164" s="27" t="s">
        <v>367</v>
      </c>
      <c r="B164" s="27" t="s">
        <v>368</v>
      </c>
      <c r="C164" s="29" t="s">
        <v>43</v>
      </c>
      <c r="D164" s="31"/>
      <c r="E164" s="32">
        <v>10.0</v>
      </c>
      <c r="F164" s="32">
        <v>8.0</v>
      </c>
      <c r="G164" s="32">
        <v>10.0</v>
      </c>
      <c r="H164" s="32">
        <v>12.0</v>
      </c>
    </row>
    <row r="165" ht="14.25" customHeight="1">
      <c r="A165" s="27" t="s">
        <v>369</v>
      </c>
      <c r="B165" s="27" t="s">
        <v>185</v>
      </c>
      <c r="C165" s="29" t="s">
        <v>43</v>
      </c>
      <c r="D165" s="29" t="s">
        <v>53</v>
      </c>
      <c r="E165" s="32">
        <v>40.0</v>
      </c>
      <c r="F165" s="32">
        <v>23.0</v>
      </c>
      <c r="G165" s="32">
        <v>40.0</v>
      </c>
      <c r="H165" s="32">
        <v>63.0</v>
      </c>
    </row>
    <row r="166" ht="14.25" customHeight="1">
      <c r="A166" s="27" t="s">
        <v>369</v>
      </c>
      <c r="B166" s="27" t="s">
        <v>370</v>
      </c>
      <c r="C166" s="29" t="s">
        <v>43</v>
      </c>
      <c r="D166" s="29" t="s">
        <v>53</v>
      </c>
      <c r="E166" s="32">
        <v>40.0</v>
      </c>
      <c r="F166" s="32">
        <v>23.0</v>
      </c>
      <c r="G166" s="32">
        <v>40.0</v>
      </c>
      <c r="H166" s="32">
        <v>63.0</v>
      </c>
    </row>
    <row r="167" ht="14.25" customHeight="1">
      <c r="A167" s="27" t="s">
        <v>371</v>
      </c>
      <c r="B167" s="27" t="s">
        <v>372</v>
      </c>
      <c r="C167" s="29" t="s">
        <v>43</v>
      </c>
      <c r="D167" s="31"/>
      <c r="E167" s="32">
        <v>50.0</v>
      </c>
      <c r="F167" s="32">
        <v>40.0</v>
      </c>
      <c r="G167" s="32">
        <v>50.0</v>
      </c>
      <c r="H167" s="32">
        <v>60.0</v>
      </c>
    </row>
    <row r="168" ht="14.25" customHeight="1">
      <c r="A168" s="27" t="s">
        <v>373</v>
      </c>
      <c r="B168" s="27" t="s">
        <v>374</v>
      </c>
      <c r="C168" s="29" t="s">
        <v>43</v>
      </c>
      <c r="D168" s="31"/>
      <c r="E168" s="32">
        <v>30.0</v>
      </c>
      <c r="F168" s="32">
        <v>24.0</v>
      </c>
      <c r="G168" s="32">
        <v>30.0</v>
      </c>
      <c r="H168" s="32">
        <v>36.0</v>
      </c>
    </row>
    <row r="169" ht="14.25" customHeight="1">
      <c r="A169" s="27" t="s">
        <v>375</v>
      </c>
      <c r="B169" s="27" t="s">
        <v>292</v>
      </c>
      <c r="C169" s="29" t="s">
        <v>43</v>
      </c>
      <c r="D169" s="31"/>
      <c r="E169" s="32">
        <v>1.0</v>
      </c>
      <c r="F169" s="32">
        <v>1.0</v>
      </c>
      <c r="G169" s="32">
        <v>1.0</v>
      </c>
      <c r="H169" s="32">
        <v>1.0</v>
      </c>
    </row>
    <row r="170" ht="14.25" customHeight="1">
      <c r="A170" s="27" t="s">
        <v>375</v>
      </c>
      <c r="B170" s="27" t="s">
        <v>376</v>
      </c>
      <c r="C170" s="29" t="s">
        <v>43</v>
      </c>
      <c r="D170" s="31"/>
      <c r="E170" s="32">
        <v>1.0</v>
      </c>
      <c r="F170" s="32">
        <v>1.0</v>
      </c>
      <c r="G170" s="32">
        <v>1.0</v>
      </c>
      <c r="H170" s="32">
        <v>1.0</v>
      </c>
    </row>
    <row r="171" ht="14.25" customHeight="1">
      <c r="A171" s="27" t="s">
        <v>80</v>
      </c>
      <c r="B171" s="27" t="s">
        <v>53</v>
      </c>
      <c r="C171" s="29" t="s">
        <v>43</v>
      </c>
      <c r="D171" s="31"/>
      <c r="E171" s="32">
        <v>12.0</v>
      </c>
      <c r="F171" s="32">
        <v>8.0</v>
      </c>
      <c r="G171" s="32">
        <v>12.0</v>
      </c>
      <c r="H171" s="32">
        <v>15.0</v>
      </c>
    </row>
    <row r="172" ht="14.25" customHeight="1">
      <c r="A172" s="27" t="s">
        <v>377</v>
      </c>
      <c r="B172" s="27" t="s">
        <v>221</v>
      </c>
      <c r="C172" s="29" t="s">
        <v>30</v>
      </c>
      <c r="D172" s="31"/>
      <c r="E172" s="32">
        <v>77.0</v>
      </c>
      <c r="F172" s="32">
        <v>58.0</v>
      </c>
      <c r="G172" s="32">
        <v>77.0</v>
      </c>
      <c r="H172" s="32">
        <v>93.0</v>
      </c>
    </row>
    <row r="173" ht="14.25" customHeight="1">
      <c r="A173" s="27" t="s">
        <v>377</v>
      </c>
      <c r="B173" s="27" t="s">
        <v>250</v>
      </c>
      <c r="C173" s="29" t="s">
        <v>208</v>
      </c>
      <c r="D173" s="31"/>
      <c r="E173" s="32">
        <v>100.0</v>
      </c>
      <c r="F173" s="32">
        <v>84.0</v>
      </c>
      <c r="G173" s="32">
        <v>100.0</v>
      </c>
      <c r="H173" s="32">
        <v>147.0</v>
      </c>
    </row>
    <row r="174" ht="14.25" customHeight="1">
      <c r="A174" s="27" t="s">
        <v>377</v>
      </c>
      <c r="B174" s="27" t="s">
        <v>378</v>
      </c>
      <c r="C174" s="29" t="s">
        <v>43</v>
      </c>
      <c r="D174" s="31"/>
      <c r="E174" s="32">
        <v>27.0</v>
      </c>
      <c r="F174" s="32">
        <v>18.0</v>
      </c>
      <c r="G174" s="32">
        <v>27.0</v>
      </c>
      <c r="H174" s="32">
        <v>37.0</v>
      </c>
    </row>
    <row r="175" ht="14.25" customHeight="1">
      <c r="A175" s="27" t="s">
        <v>377</v>
      </c>
      <c r="B175" s="27" t="s">
        <v>380</v>
      </c>
      <c r="C175" s="29" t="s">
        <v>43</v>
      </c>
      <c r="D175" s="31"/>
      <c r="E175" s="32">
        <v>34.0</v>
      </c>
      <c r="F175" s="32">
        <v>23.0</v>
      </c>
      <c r="G175" s="32">
        <v>34.0</v>
      </c>
      <c r="H175" s="32">
        <v>46.0</v>
      </c>
    </row>
    <row r="176" ht="14.25" customHeight="1">
      <c r="A176" s="27" t="s">
        <v>377</v>
      </c>
      <c r="B176" s="27" t="s">
        <v>384</v>
      </c>
      <c r="C176" s="29" t="s">
        <v>43</v>
      </c>
      <c r="D176" s="31"/>
      <c r="E176" s="32">
        <v>11.0</v>
      </c>
      <c r="F176" s="32">
        <v>8.0</v>
      </c>
      <c r="G176" s="32">
        <v>11.0</v>
      </c>
      <c r="H176" s="32">
        <v>17.0</v>
      </c>
    </row>
    <row r="177" ht="14.25" customHeight="1">
      <c r="A177" s="27" t="s">
        <v>377</v>
      </c>
      <c r="B177" s="27" t="s">
        <v>386</v>
      </c>
      <c r="C177" s="29" t="s">
        <v>43</v>
      </c>
      <c r="D177" s="31"/>
      <c r="E177" s="32">
        <v>27.0</v>
      </c>
      <c r="F177" s="32">
        <v>18.0</v>
      </c>
      <c r="G177" s="32">
        <v>27.0</v>
      </c>
      <c r="H177" s="32">
        <v>35.0</v>
      </c>
    </row>
    <row r="178" ht="14.25" customHeight="1">
      <c r="A178" s="27" t="s">
        <v>377</v>
      </c>
      <c r="B178" s="27" t="s">
        <v>387</v>
      </c>
      <c r="C178" s="29" t="s">
        <v>43</v>
      </c>
      <c r="D178" s="31"/>
      <c r="E178" s="32">
        <v>12.0</v>
      </c>
      <c r="F178" s="32">
        <v>8.0</v>
      </c>
      <c r="G178" s="32">
        <v>12.0</v>
      </c>
      <c r="H178" s="32">
        <v>19.0</v>
      </c>
    </row>
    <row r="179" ht="14.25" customHeight="1">
      <c r="A179" s="27" t="s">
        <v>377</v>
      </c>
      <c r="B179" s="27" t="s">
        <v>305</v>
      </c>
      <c r="C179" s="29" t="s">
        <v>43</v>
      </c>
      <c r="D179" s="31"/>
      <c r="E179" s="32">
        <v>32.0</v>
      </c>
      <c r="F179" s="32">
        <v>26.0</v>
      </c>
      <c r="G179" s="32">
        <v>32.0</v>
      </c>
      <c r="H179" s="32">
        <v>48.0</v>
      </c>
    </row>
    <row r="180" ht="14.25" customHeight="1">
      <c r="A180" s="27" t="s">
        <v>388</v>
      </c>
      <c r="B180" s="27" t="s">
        <v>287</v>
      </c>
      <c r="C180" s="29" t="s">
        <v>43</v>
      </c>
      <c r="D180" s="31"/>
      <c r="E180" s="32">
        <v>27.0</v>
      </c>
      <c r="F180" s="32">
        <v>18.0</v>
      </c>
      <c r="G180" s="32">
        <v>27.0</v>
      </c>
      <c r="H180" s="32">
        <v>37.0</v>
      </c>
    </row>
    <row r="181" ht="14.25" customHeight="1">
      <c r="A181" s="27" t="s">
        <v>388</v>
      </c>
      <c r="B181" s="27" t="s">
        <v>380</v>
      </c>
      <c r="C181" s="29" t="s">
        <v>43</v>
      </c>
      <c r="D181" s="31"/>
      <c r="E181" s="32">
        <v>34.0</v>
      </c>
      <c r="F181" s="32">
        <v>23.0</v>
      </c>
      <c r="G181" s="32">
        <v>34.0</v>
      </c>
      <c r="H181" s="32">
        <v>46.0</v>
      </c>
    </row>
    <row r="182" ht="14.25" customHeight="1">
      <c r="A182" s="27" t="s">
        <v>388</v>
      </c>
      <c r="B182" s="27" t="s">
        <v>389</v>
      </c>
      <c r="C182" s="29" t="s">
        <v>43</v>
      </c>
      <c r="D182" s="31"/>
      <c r="E182" s="32">
        <v>11.0</v>
      </c>
      <c r="F182" s="32">
        <v>8.0</v>
      </c>
      <c r="G182" s="32">
        <v>11.0</v>
      </c>
      <c r="H182" s="32">
        <v>17.0</v>
      </c>
    </row>
    <row r="183" ht="14.25" customHeight="1">
      <c r="A183" s="27" t="s">
        <v>388</v>
      </c>
      <c r="B183" s="27" t="s">
        <v>390</v>
      </c>
      <c r="C183" s="29" t="s">
        <v>43</v>
      </c>
      <c r="D183" s="31"/>
      <c r="E183" s="32">
        <v>12.0</v>
      </c>
      <c r="F183" s="32">
        <v>8.0</v>
      </c>
      <c r="G183" s="32">
        <v>12.0</v>
      </c>
      <c r="H183" s="32">
        <v>19.0</v>
      </c>
    </row>
    <row r="184" ht="14.25" customHeight="1">
      <c r="A184" s="27" t="s">
        <v>377</v>
      </c>
      <c r="B184" s="27" t="s">
        <v>391</v>
      </c>
      <c r="C184" s="29" t="s">
        <v>30</v>
      </c>
      <c r="D184" s="31"/>
      <c r="E184" s="32">
        <v>47.0</v>
      </c>
      <c r="F184" s="32">
        <v>33.0</v>
      </c>
      <c r="G184" s="32">
        <v>47.0</v>
      </c>
      <c r="H184" s="32">
        <v>66.0</v>
      </c>
    </row>
    <row r="185" ht="14.25" customHeight="1">
      <c r="A185" s="27" t="s">
        <v>377</v>
      </c>
      <c r="B185" s="27" t="s">
        <v>118</v>
      </c>
      <c r="C185" s="29" t="s">
        <v>30</v>
      </c>
      <c r="D185" s="31">
        <v>1308.0</v>
      </c>
      <c r="E185" s="32">
        <v>77.0</v>
      </c>
      <c r="F185" s="32">
        <v>58.0</v>
      </c>
      <c r="G185" s="32">
        <v>77.0</v>
      </c>
      <c r="H185" s="32">
        <v>93.0</v>
      </c>
    </row>
    <row r="186" ht="14.25" customHeight="1">
      <c r="A186" s="27" t="s">
        <v>377</v>
      </c>
      <c r="B186" s="27" t="s">
        <v>392</v>
      </c>
      <c r="C186" s="29" t="s">
        <v>30</v>
      </c>
      <c r="D186" s="31">
        <v>1308.0</v>
      </c>
      <c r="E186" s="32">
        <v>77.0</v>
      </c>
      <c r="F186" s="32">
        <v>58.0</v>
      </c>
      <c r="G186" s="32">
        <v>77.0</v>
      </c>
      <c r="H186" s="32">
        <v>93.0</v>
      </c>
    </row>
    <row r="187" ht="14.25" customHeight="1">
      <c r="A187" s="27" t="s">
        <v>377</v>
      </c>
      <c r="B187" s="27" t="s">
        <v>49</v>
      </c>
      <c r="C187" s="29" t="s">
        <v>30</v>
      </c>
      <c r="D187" s="31">
        <v>1308.0</v>
      </c>
      <c r="E187" s="32">
        <v>77.0</v>
      </c>
      <c r="F187" s="32">
        <v>58.0</v>
      </c>
      <c r="G187" s="32">
        <v>77.0</v>
      </c>
      <c r="H187" s="32">
        <v>93.0</v>
      </c>
    </row>
    <row r="188" ht="14.25" customHeight="1">
      <c r="A188" s="27" t="s">
        <v>377</v>
      </c>
      <c r="B188" s="27" t="s">
        <v>59</v>
      </c>
      <c r="C188" s="29" t="s">
        <v>30</v>
      </c>
      <c r="D188" s="31">
        <v>1308.0</v>
      </c>
      <c r="E188" s="32">
        <v>77.0</v>
      </c>
      <c r="F188" s="32">
        <v>58.0</v>
      </c>
      <c r="G188" s="32">
        <v>77.0</v>
      </c>
      <c r="H188" s="32">
        <v>93.0</v>
      </c>
    </row>
    <row r="189" ht="14.25" customHeight="1">
      <c r="A189" s="27" t="s">
        <v>377</v>
      </c>
      <c r="B189" s="27" t="s">
        <v>160</v>
      </c>
      <c r="C189" s="29" t="s">
        <v>30</v>
      </c>
      <c r="D189" s="31"/>
      <c r="E189" s="32">
        <v>29.0</v>
      </c>
      <c r="F189" s="32">
        <v>17.0</v>
      </c>
      <c r="G189" s="32">
        <v>29.0</v>
      </c>
      <c r="H189" s="32">
        <v>40.0</v>
      </c>
    </row>
    <row r="190" ht="14.25" customHeight="1">
      <c r="A190" s="27" t="s">
        <v>377</v>
      </c>
      <c r="B190" s="27" t="s">
        <v>163</v>
      </c>
      <c r="C190" s="29" t="s">
        <v>30</v>
      </c>
      <c r="D190" s="31"/>
      <c r="E190" s="32">
        <v>29.0</v>
      </c>
      <c r="F190" s="32">
        <v>17.0</v>
      </c>
      <c r="G190" s="32">
        <v>29.0</v>
      </c>
      <c r="H190" s="32">
        <v>40.0</v>
      </c>
    </row>
    <row r="191" ht="14.25" customHeight="1">
      <c r="A191" s="27" t="s">
        <v>377</v>
      </c>
      <c r="B191" s="27" t="s">
        <v>393</v>
      </c>
      <c r="C191" s="29" t="s">
        <v>30</v>
      </c>
      <c r="D191" s="31"/>
      <c r="E191" s="32">
        <v>64.0</v>
      </c>
      <c r="F191" s="32">
        <v>47.0</v>
      </c>
      <c r="G191" s="32">
        <v>64.0</v>
      </c>
      <c r="H191" s="32">
        <v>80.0</v>
      </c>
    </row>
    <row r="192" ht="14.25" customHeight="1">
      <c r="A192" s="27" t="s">
        <v>377</v>
      </c>
      <c r="B192" s="27" t="s">
        <v>31</v>
      </c>
      <c r="C192" s="29" t="s">
        <v>208</v>
      </c>
      <c r="D192" s="31"/>
      <c r="E192" s="32">
        <v>64.0</v>
      </c>
      <c r="F192" s="32">
        <v>52.0</v>
      </c>
      <c r="G192" s="32">
        <v>64.0</v>
      </c>
      <c r="H192" s="32">
        <v>87.0</v>
      </c>
    </row>
    <row r="193" ht="14.25" customHeight="1">
      <c r="A193" s="27" t="s">
        <v>377</v>
      </c>
      <c r="B193" s="27" t="s">
        <v>193</v>
      </c>
      <c r="C193" s="29" t="s">
        <v>208</v>
      </c>
      <c r="D193" s="31"/>
      <c r="E193" s="32">
        <v>59.0</v>
      </c>
      <c r="F193" s="32">
        <v>48.0</v>
      </c>
      <c r="G193" s="32">
        <v>59.0</v>
      </c>
      <c r="H193" s="32">
        <v>81.0</v>
      </c>
    </row>
    <row r="194" ht="14.25" customHeight="1">
      <c r="A194" s="27" t="s">
        <v>377</v>
      </c>
      <c r="B194" s="27" t="s">
        <v>394</v>
      </c>
      <c r="C194" s="29" t="s">
        <v>208</v>
      </c>
      <c r="D194" s="31"/>
      <c r="E194" s="32">
        <v>65.0</v>
      </c>
      <c r="F194" s="32">
        <v>50.0</v>
      </c>
      <c r="G194" s="32">
        <v>65.0</v>
      </c>
      <c r="H194" s="32">
        <v>80.0</v>
      </c>
    </row>
    <row r="195" ht="14.25" customHeight="1">
      <c r="A195" s="27" t="s">
        <v>377</v>
      </c>
      <c r="B195" s="27" t="s">
        <v>250</v>
      </c>
      <c r="C195" s="29" t="s">
        <v>208</v>
      </c>
      <c r="D195" s="31"/>
      <c r="E195" s="32">
        <v>100.0</v>
      </c>
      <c r="F195" s="32">
        <v>84.0</v>
      </c>
      <c r="G195" s="32">
        <v>100.0</v>
      </c>
      <c r="H195" s="32">
        <v>147.0</v>
      </c>
    </row>
    <row r="196" ht="14.25" customHeight="1">
      <c r="A196" s="27" t="s">
        <v>377</v>
      </c>
      <c r="B196" s="27" t="s">
        <v>233</v>
      </c>
      <c r="C196" s="29" t="s">
        <v>208</v>
      </c>
      <c r="D196" s="31"/>
      <c r="E196" s="32">
        <v>100.0</v>
      </c>
      <c r="F196" s="32">
        <v>84.0</v>
      </c>
      <c r="G196" s="32">
        <v>100.0</v>
      </c>
      <c r="H196" s="32">
        <v>147.0</v>
      </c>
    </row>
    <row r="197" ht="14.25" customHeight="1">
      <c r="A197" s="27" t="s">
        <v>377</v>
      </c>
      <c r="B197" s="27" t="s">
        <v>147</v>
      </c>
      <c r="C197" s="29" t="s">
        <v>208</v>
      </c>
      <c r="D197" s="31"/>
      <c r="E197" s="32">
        <v>38.0</v>
      </c>
      <c r="F197" s="32">
        <v>30.0</v>
      </c>
      <c r="G197" s="32">
        <v>38.0</v>
      </c>
      <c r="H197" s="32">
        <v>55.0</v>
      </c>
    </row>
    <row r="198" ht="14.25" customHeight="1">
      <c r="A198" s="27" t="s">
        <v>377</v>
      </c>
      <c r="B198" s="27" t="s">
        <v>395</v>
      </c>
      <c r="C198" s="29" t="s">
        <v>208</v>
      </c>
      <c r="D198" s="31"/>
      <c r="E198" s="32">
        <v>29.0</v>
      </c>
      <c r="F198" s="32">
        <v>23.0</v>
      </c>
      <c r="G198" s="32">
        <v>29.0</v>
      </c>
      <c r="H198" s="32">
        <v>40.0</v>
      </c>
    </row>
    <row r="199" ht="14.25" customHeight="1">
      <c r="A199" s="27" t="s">
        <v>377</v>
      </c>
      <c r="B199" s="27" t="s">
        <v>42</v>
      </c>
      <c r="C199" s="29" t="s">
        <v>208</v>
      </c>
      <c r="D199" s="31"/>
      <c r="E199" s="32">
        <v>195.0</v>
      </c>
      <c r="F199" s="32">
        <v>145.0</v>
      </c>
      <c r="G199" s="32">
        <v>195.0</v>
      </c>
      <c r="H199" s="32">
        <v>235.0</v>
      </c>
    </row>
    <row r="200" ht="14.25" customHeight="1">
      <c r="A200" s="27" t="s">
        <v>377</v>
      </c>
      <c r="B200" s="27" t="s">
        <v>386</v>
      </c>
      <c r="C200" s="29" t="s">
        <v>43</v>
      </c>
      <c r="D200" s="31"/>
      <c r="E200" s="32">
        <v>27.0</v>
      </c>
      <c r="F200" s="32">
        <v>18.0</v>
      </c>
      <c r="G200" s="32">
        <v>27.0</v>
      </c>
      <c r="H200" s="32">
        <v>35.0</v>
      </c>
    </row>
    <row r="201" ht="14.25" customHeight="1">
      <c r="A201" s="27" t="s">
        <v>377</v>
      </c>
      <c r="B201" s="27" t="s">
        <v>396</v>
      </c>
      <c r="C201" s="29" t="s">
        <v>208</v>
      </c>
      <c r="D201" s="31"/>
      <c r="E201" s="32">
        <v>59.0</v>
      </c>
      <c r="F201" s="32">
        <v>48.0</v>
      </c>
      <c r="G201" s="32">
        <v>59.0</v>
      </c>
      <c r="H201" s="32">
        <v>81.0</v>
      </c>
    </row>
    <row r="202" ht="14.25" customHeight="1">
      <c r="A202" s="27" t="s">
        <v>377</v>
      </c>
      <c r="B202" s="27" t="s">
        <v>397</v>
      </c>
      <c r="C202" s="29" t="s">
        <v>30</v>
      </c>
      <c r="D202" s="31">
        <v>1308.0</v>
      </c>
      <c r="E202" s="32">
        <v>77.0</v>
      </c>
      <c r="F202" s="32">
        <v>58.0</v>
      </c>
      <c r="G202" s="32">
        <v>77.0</v>
      </c>
      <c r="H202" s="32">
        <v>93.0</v>
      </c>
    </row>
    <row r="203" ht="14.25" customHeight="1">
      <c r="A203" s="27" t="s">
        <v>377</v>
      </c>
      <c r="B203" s="27" t="s">
        <v>158</v>
      </c>
      <c r="C203" s="29" t="s">
        <v>43</v>
      </c>
      <c r="D203" s="31"/>
      <c r="E203" s="32">
        <v>29.0</v>
      </c>
      <c r="F203" s="32">
        <v>17.0</v>
      </c>
      <c r="G203" s="32">
        <v>29.0</v>
      </c>
      <c r="H203" s="32">
        <v>40.0</v>
      </c>
    </row>
    <row r="204" ht="14.25" customHeight="1">
      <c r="A204" s="27" t="s">
        <v>377</v>
      </c>
      <c r="B204" s="27" t="s">
        <v>398</v>
      </c>
      <c r="C204" s="29" t="s">
        <v>43</v>
      </c>
      <c r="D204" s="31"/>
      <c r="E204" s="32">
        <v>17.0</v>
      </c>
      <c r="F204" s="32">
        <v>13.0</v>
      </c>
      <c r="G204" s="32">
        <v>17.0</v>
      </c>
      <c r="H204" s="32">
        <v>22.0</v>
      </c>
    </row>
    <row r="205" ht="14.25" customHeight="1">
      <c r="A205" s="27" t="s">
        <v>377</v>
      </c>
      <c r="B205" s="27" t="s">
        <v>247</v>
      </c>
      <c r="C205" s="29" t="s">
        <v>43</v>
      </c>
      <c r="D205" s="31">
        <v>1308.0</v>
      </c>
      <c r="E205" s="32">
        <v>69.0</v>
      </c>
      <c r="F205" s="32">
        <v>48.0</v>
      </c>
      <c r="G205" s="32">
        <v>69.0</v>
      </c>
      <c r="H205" s="32">
        <v>93.0</v>
      </c>
    </row>
    <row r="206" ht="14.25" customHeight="1">
      <c r="A206" s="27" t="s">
        <v>377</v>
      </c>
      <c r="B206" s="27" t="s">
        <v>399</v>
      </c>
      <c r="C206" s="29" t="s">
        <v>43</v>
      </c>
      <c r="D206" s="31"/>
      <c r="E206" s="32">
        <v>21.0</v>
      </c>
      <c r="F206" s="32">
        <v>13.0</v>
      </c>
      <c r="G206" s="32">
        <v>21.0</v>
      </c>
      <c r="H206" s="32">
        <v>29.0</v>
      </c>
    </row>
    <row r="207" ht="14.25" customHeight="1">
      <c r="A207" s="27" t="s">
        <v>377</v>
      </c>
      <c r="B207" s="27" t="s">
        <v>280</v>
      </c>
      <c r="C207" s="29" t="s">
        <v>208</v>
      </c>
      <c r="D207" s="31"/>
      <c r="E207" s="32">
        <v>21.0</v>
      </c>
      <c r="F207" s="32">
        <v>13.0</v>
      </c>
      <c r="G207" s="32">
        <v>21.0</v>
      </c>
      <c r="H207" s="32">
        <v>30.0</v>
      </c>
    </row>
    <row r="208" ht="14.25" customHeight="1">
      <c r="A208" s="27" t="s">
        <v>377</v>
      </c>
      <c r="B208" s="27" t="s">
        <v>400</v>
      </c>
      <c r="C208" s="29" t="s">
        <v>208</v>
      </c>
      <c r="D208" s="31"/>
      <c r="E208" s="32">
        <v>10.0</v>
      </c>
      <c r="F208" s="32">
        <v>6.0</v>
      </c>
      <c r="G208" s="32">
        <v>10.0</v>
      </c>
      <c r="H208" s="32">
        <v>14.0</v>
      </c>
    </row>
    <row r="209" ht="14.25" customHeight="1">
      <c r="A209" s="27" t="s">
        <v>377</v>
      </c>
      <c r="B209" s="27" t="s">
        <v>280</v>
      </c>
      <c r="C209" s="29" t="s">
        <v>208</v>
      </c>
      <c r="D209" s="31"/>
      <c r="E209" s="32">
        <v>21.0</v>
      </c>
      <c r="F209" s="32">
        <v>13.0</v>
      </c>
      <c r="G209" s="32">
        <v>21.0</v>
      </c>
      <c r="H209" s="32">
        <v>30.0</v>
      </c>
    </row>
    <row r="210" ht="14.25" customHeight="1">
      <c r="A210" s="27" t="s">
        <v>377</v>
      </c>
      <c r="B210" s="27" t="s">
        <v>401</v>
      </c>
      <c r="C210" s="29" t="s">
        <v>208</v>
      </c>
      <c r="D210" s="31"/>
      <c r="E210" s="32">
        <v>21.0</v>
      </c>
      <c r="F210" s="32">
        <v>13.0</v>
      </c>
      <c r="G210" s="32">
        <v>21.0</v>
      </c>
      <c r="H210" s="32">
        <v>30.0</v>
      </c>
    </row>
    <row r="211" ht="14.25" customHeight="1">
      <c r="A211" s="27" t="s">
        <v>377</v>
      </c>
      <c r="B211" s="27" t="s">
        <v>257</v>
      </c>
      <c r="C211" s="29" t="s">
        <v>43</v>
      </c>
      <c r="D211" s="31"/>
      <c r="E211" s="32">
        <v>9.0</v>
      </c>
      <c r="F211" s="32">
        <v>7.0</v>
      </c>
      <c r="G211" s="32">
        <v>9.0</v>
      </c>
      <c r="H211" s="32">
        <v>11.0</v>
      </c>
    </row>
    <row r="212" ht="14.25" customHeight="1">
      <c r="A212" s="27" t="s">
        <v>377</v>
      </c>
      <c r="B212" s="27" t="s">
        <v>402</v>
      </c>
      <c r="C212" s="29" t="s">
        <v>43</v>
      </c>
      <c r="D212" s="31"/>
      <c r="E212" s="32">
        <v>19.0</v>
      </c>
      <c r="F212" s="32">
        <v>12.0</v>
      </c>
      <c r="G212" s="32">
        <v>19.0</v>
      </c>
      <c r="H212" s="32">
        <v>26.0</v>
      </c>
    </row>
    <row r="213" ht="14.25" customHeight="1">
      <c r="A213" s="27" t="s">
        <v>377</v>
      </c>
      <c r="B213" s="27" t="s">
        <v>403</v>
      </c>
      <c r="C213" s="29" t="s">
        <v>43</v>
      </c>
      <c r="D213" s="31"/>
      <c r="E213" s="32">
        <v>11.0</v>
      </c>
      <c r="F213" s="32">
        <v>9.0</v>
      </c>
      <c r="G213" s="32">
        <v>11.0</v>
      </c>
      <c r="H213" s="32">
        <v>13.0</v>
      </c>
    </row>
    <row r="214" ht="14.25" customHeight="1">
      <c r="A214" s="27" t="s">
        <v>377</v>
      </c>
      <c r="B214" s="27" t="s">
        <v>404</v>
      </c>
      <c r="C214" s="29" t="s">
        <v>43</v>
      </c>
      <c r="D214" s="31"/>
      <c r="E214" s="32">
        <v>39.0</v>
      </c>
      <c r="F214" s="32">
        <v>25.0</v>
      </c>
      <c r="G214" s="32">
        <v>39.0</v>
      </c>
      <c r="H214" s="32">
        <v>53.0</v>
      </c>
    </row>
    <row r="215" ht="14.25" customHeight="1">
      <c r="A215" s="27" t="s">
        <v>405</v>
      </c>
      <c r="B215" s="27" t="s">
        <v>405</v>
      </c>
      <c r="C215" s="29" t="s">
        <v>43</v>
      </c>
      <c r="D215" s="31"/>
      <c r="E215" s="32">
        <v>1.0</v>
      </c>
      <c r="F215" s="32">
        <v>1.0</v>
      </c>
      <c r="G215" s="32">
        <v>1.0</v>
      </c>
      <c r="H215" s="32">
        <v>1.0</v>
      </c>
    </row>
    <row r="216" ht="14.25" customHeight="1">
      <c r="A216" s="27" t="s">
        <v>406</v>
      </c>
      <c r="B216" s="27" t="s">
        <v>407</v>
      </c>
      <c r="C216" s="29" t="s">
        <v>43</v>
      </c>
      <c r="D216" s="31"/>
      <c r="E216" s="32">
        <v>5.0</v>
      </c>
      <c r="F216" s="32">
        <v>4.0</v>
      </c>
      <c r="G216" s="32">
        <v>5.0</v>
      </c>
      <c r="H216" s="32">
        <v>6.0</v>
      </c>
    </row>
    <row r="217" ht="14.25" customHeight="1">
      <c r="A217" s="27" t="s">
        <v>406</v>
      </c>
      <c r="B217" s="27" t="s">
        <v>408</v>
      </c>
      <c r="C217" s="29" t="s">
        <v>43</v>
      </c>
      <c r="D217" s="31"/>
      <c r="E217" s="32">
        <v>5.0</v>
      </c>
      <c r="F217" s="32">
        <v>4.0</v>
      </c>
      <c r="G217" s="32">
        <v>5.0</v>
      </c>
      <c r="H217" s="32">
        <v>6.0</v>
      </c>
    </row>
    <row r="218" ht="14.25" customHeight="1">
      <c r="A218" s="27" t="s">
        <v>406</v>
      </c>
      <c r="B218" s="27" t="s">
        <v>409</v>
      </c>
      <c r="C218" s="29" t="s">
        <v>43</v>
      </c>
      <c r="D218" s="31"/>
      <c r="E218" s="32">
        <v>5.0</v>
      </c>
      <c r="F218" s="32">
        <v>4.0</v>
      </c>
      <c r="G218" s="32">
        <v>5.0</v>
      </c>
      <c r="H218" s="32">
        <v>6.0</v>
      </c>
    </row>
    <row r="219" ht="14.25" customHeight="1">
      <c r="A219" s="27" t="s">
        <v>406</v>
      </c>
      <c r="B219" s="27" t="s">
        <v>410</v>
      </c>
      <c r="C219" s="29" t="s">
        <v>43</v>
      </c>
      <c r="D219" s="31"/>
      <c r="E219" s="32">
        <v>5.0</v>
      </c>
      <c r="F219" s="32">
        <v>4.0</v>
      </c>
      <c r="G219" s="32">
        <v>5.0</v>
      </c>
      <c r="H219" s="32">
        <v>6.0</v>
      </c>
    </row>
    <row r="220" ht="14.25" customHeight="1">
      <c r="A220" s="27" t="s">
        <v>406</v>
      </c>
      <c r="B220" s="27" t="s">
        <v>411</v>
      </c>
      <c r="C220" s="29" t="s">
        <v>43</v>
      </c>
      <c r="D220" s="31"/>
      <c r="E220" s="32">
        <v>5.0</v>
      </c>
      <c r="F220" s="32">
        <v>4.0</v>
      </c>
      <c r="G220" s="32">
        <v>5.0</v>
      </c>
      <c r="H220" s="32">
        <v>6.0</v>
      </c>
    </row>
    <row r="221" ht="14.25" customHeight="1">
      <c r="A221" s="27" t="s">
        <v>406</v>
      </c>
      <c r="B221" s="27" t="s">
        <v>412</v>
      </c>
      <c r="C221" s="29" t="s">
        <v>43</v>
      </c>
      <c r="D221" s="31"/>
      <c r="E221" s="32">
        <v>5.0</v>
      </c>
      <c r="F221" s="32">
        <v>4.0</v>
      </c>
      <c r="G221" s="32">
        <v>5.0</v>
      </c>
      <c r="H221" s="32">
        <v>6.0</v>
      </c>
    </row>
    <row r="222" ht="14.25" customHeight="1">
      <c r="A222" s="27" t="s">
        <v>406</v>
      </c>
      <c r="B222" s="27" t="s">
        <v>413</v>
      </c>
      <c r="C222" s="29" t="s">
        <v>43</v>
      </c>
      <c r="D222" s="31"/>
      <c r="E222" s="32">
        <v>12.0</v>
      </c>
      <c r="F222" s="32">
        <v>10.0</v>
      </c>
      <c r="G222" s="32">
        <v>12.0</v>
      </c>
      <c r="H222" s="32">
        <v>14.0</v>
      </c>
    </row>
    <row r="223" ht="14.25" customHeight="1">
      <c r="A223" s="27" t="s">
        <v>414</v>
      </c>
      <c r="B223" s="27" t="s">
        <v>415</v>
      </c>
      <c r="C223" s="29" t="s">
        <v>43</v>
      </c>
      <c r="D223" s="31"/>
      <c r="E223" s="32">
        <v>10.0</v>
      </c>
      <c r="F223" s="32">
        <v>8.0</v>
      </c>
      <c r="G223" s="32">
        <v>10.0</v>
      </c>
      <c r="H223" s="32">
        <v>12.0</v>
      </c>
    </row>
    <row r="224" ht="14.25" customHeight="1">
      <c r="A224" s="27" t="s">
        <v>414</v>
      </c>
      <c r="B224" s="27" t="s">
        <v>416</v>
      </c>
      <c r="C224" s="29" t="s">
        <v>43</v>
      </c>
      <c r="D224" s="31"/>
      <c r="E224" s="32">
        <v>10.0</v>
      </c>
      <c r="F224" s="32">
        <v>8.0</v>
      </c>
      <c r="G224" s="32">
        <v>10.0</v>
      </c>
      <c r="H224" s="32">
        <v>12.0</v>
      </c>
    </row>
    <row r="225" ht="14.25" customHeight="1">
      <c r="A225" s="27" t="s">
        <v>417</v>
      </c>
      <c r="B225" s="27" t="s">
        <v>418</v>
      </c>
      <c r="C225" s="29" t="s">
        <v>43</v>
      </c>
      <c r="D225" s="31"/>
      <c r="E225" s="32">
        <v>9.0</v>
      </c>
      <c r="F225" s="32">
        <v>7.0</v>
      </c>
      <c r="G225" s="32">
        <v>9.0</v>
      </c>
      <c r="H225" s="32">
        <v>10.0</v>
      </c>
    </row>
    <row r="226" ht="14.25" customHeight="1">
      <c r="A226" s="27" t="s">
        <v>417</v>
      </c>
      <c r="B226" s="27" t="s">
        <v>419</v>
      </c>
      <c r="C226" s="29" t="s">
        <v>43</v>
      </c>
      <c r="D226" s="31"/>
      <c r="E226" s="32">
        <v>1.0</v>
      </c>
      <c r="F226" s="32">
        <v>1.0</v>
      </c>
      <c r="G226" s="32">
        <v>1.0</v>
      </c>
      <c r="H226" s="32">
        <v>1.0</v>
      </c>
    </row>
    <row r="227" ht="14.25" customHeight="1">
      <c r="A227" s="27" t="s">
        <v>417</v>
      </c>
      <c r="B227" s="27" t="s">
        <v>420</v>
      </c>
      <c r="C227" s="29" t="s">
        <v>43</v>
      </c>
      <c r="D227" s="31"/>
      <c r="E227" s="32">
        <v>1.0</v>
      </c>
      <c r="F227" s="32">
        <v>1.0</v>
      </c>
      <c r="G227" s="32">
        <v>1.0</v>
      </c>
      <c r="H227" s="32">
        <v>1.0</v>
      </c>
    </row>
    <row r="228" ht="14.25" customHeight="1">
      <c r="A228" s="27" t="s">
        <v>417</v>
      </c>
      <c r="B228" s="27" t="s">
        <v>421</v>
      </c>
      <c r="C228" s="29" t="s">
        <v>43</v>
      </c>
      <c r="D228" s="31"/>
      <c r="E228" s="32">
        <v>1.0</v>
      </c>
      <c r="F228" s="32">
        <v>1.0</v>
      </c>
      <c r="G228" s="32">
        <v>1.0</v>
      </c>
      <c r="H228" s="32">
        <v>1.0</v>
      </c>
    </row>
    <row r="229" ht="14.25" customHeight="1">
      <c r="A229" s="27" t="s">
        <v>417</v>
      </c>
      <c r="B229" s="27" t="s">
        <v>422</v>
      </c>
      <c r="C229" s="29" t="s">
        <v>43</v>
      </c>
      <c r="D229" s="31"/>
      <c r="E229" s="32">
        <v>18.0</v>
      </c>
      <c r="F229" s="32">
        <v>14.0</v>
      </c>
      <c r="G229" s="32">
        <v>18.0</v>
      </c>
      <c r="H229" s="32">
        <v>22.0</v>
      </c>
    </row>
    <row r="230" ht="14.25" customHeight="1">
      <c r="A230" s="27" t="s">
        <v>417</v>
      </c>
      <c r="B230" s="27" t="s">
        <v>423</v>
      </c>
      <c r="C230" s="29" t="s">
        <v>43</v>
      </c>
      <c r="D230" s="31"/>
      <c r="E230" s="32">
        <v>18.0</v>
      </c>
      <c r="F230" s="32">
        <v>14.0</v>
      </c>
      <c r="G230" s="32">
        <v>18.0</v>
      </c>
      <c r="H230" s="32">
        <v>22.0</v>
      </c>
    </row>
    <row r="231" ht="14.25" customHeight="1">
      <c r="A231" s="27" t="s">
        <v>424</v>
      </c>
      <c r="B231" s="27" t="s">
        <v>413</v>
      </c>
      <c r="C231" s="29" t="s">
        <v>43</v>
      </c>
      <c r="D231" s="31"/>
      <c r="E231" s="32">
        <v>12.0</v>
      </c>
      <c r="F231" s="32">
        <v>10.0</v>
      </c>
      <c r="G231" s="32">
        <v>12.0</v>
      </c>
      <c r="H231" s="32">
        <v>14.0</v>
      </c>
    </row>
    <row r="232" ht="14.25" customHeight="1">
      <c r="A232" s="27" t="s">
        <v>425</v>
      </c>
      <c r="B232" s="27" t="s">
        <v>425</v>
      </c>
      <c r="C232" s="29" t="s">
        <v>43</v>
      </c>
      <c r="D232" s="31"/>
      <c r="E232" s="32">
        <v>1.0</v>
      </c>
      <c r="F232" s="32">
        <v>1.0</v>
      </c>
      <c r="G232" s="32">
        <v>1.0</v>
      </c>
      <c r="H232" s="32">
        <v>1.0</v>
      </c>
    </row>
    <row r="233" ht="14.25" customHeight="1">
      <c r="A233" s="27" t="s">
        <v>425</v>
      </c>
      <c r="B233" s="27" t="s">
        <v>426</v>
      </c>
      <c r="C233" s="29" t="s">
        <v>208</v>
      </c>
      <c r="D233" s="31"/>
      <c r="E233" s="32">
        <v>32.0</v>
      </c>
      <c r="F233" s="32">
        <v>26.0</v>
      </c>
      <c r="G233" s="32">
        <v>32.0</v>
      </c>
      <c r="H233" s="32">
        <v>38.0</v>
      </c>
    </row>
    <row r="234" ht="14.25" customHeight="1">
      <c r="A234" s="27" t="s">
        <v>425</v>
      </c>
      <c r="B234" s="27" t="s">
        <v>427</v>
      </c>
      <c r="C234" s="29" t="s">
        <v>208</v>
      </c>
      <c r="D234" s="31"/>
      <c r="E234" s="32">
        <v>32.0</v>
      </c>
      <c r="F234" s="32">
        <v>26.0</v>
      </c>
      <c r="G234" s="32">
        <v>32.0</v>
      </c>
      <c r="H234" s="32">
        <v>38.0</v>
      </c>
    </row>
    <row r="235" ht="14.25" customHeight="1">
      <c r="A235" s="27" t="s">
        <v>425</v>
      </c>
      <c r="B235" s="27" t="s">
        <v>428</v>
      </c>
      <c r="C235" s="29" t="s">
        <v>208</v>
      </c>
      <c r="D235" s="31"/>
      <c r="E235" s="32">
        <v>32.0</v>
      </c>
      <c r="F235" s="32">
        <v>26.0</v>
      </c>
      <c r="G235" s="32">
        <v>32.0</v>
      </c>
      <c r="H235" s="32">
        <v>38.0</v>
      </c>
    </row>
    <row r="236" ht="14.25" customHeight="1">
      <c r="A236" s="27" t="s">
        <v>425</v>
      </c>
      <c r="B236" s="27" t="s">
        <v>429</v>
      </c>
      <c r="C236" s="29" t="s">
        <v>208</v>
      </c>
      <c r="D236" s="31"/>
      <c r="E236" s="32">
        <v>32.0</v>
      </c>
      <c r="F236" s="32">
        <v>26.0</v>
      </c>
      <c r="G236" s="32">
        <v>32.0</v>
      </c>
      <c r="H236" s="32">
        <v>38.0</v>
      </c>
    </row>
    <row r="237" ht="14.25" customHeight="1">
      <c r="A237" s="27" t="s">
        <v>425</v>
      </c>
      <c r="B237" s="27" t="s">
        <v>430</v>
      </c>
      <c r="C237" s="29" t="s">
        <v>43</v>
      </c>
      <c r="D237" s="31"/>
      <c r="E237" s="32">
        <v>10.0</v>
      </c>
      <c r="F237" s="32">
        <v>8.0</v>
      </c>
      <c r="G237" s="32">
        <v>10.0</v>
      </c>
      <c r="H237" s="32">
        <v>12.0</v>
      </c>
    </row>
    <row r="238" ht="14.25" customHeight="1">
      <c r="A238" s="27" t="s">
        <v>425</v>
      </c>
      <c r="B238" s="27" t="s">
        <v>431</v>
      </c>
      <c r="C238" s="29" t="s">
        <v>43</v>
      </c>
      <c r="D238" s="31"/>
      <c r="E238" s="32">
        <v>10.0</v>
      </c>
      <c r="F238" s="32">
        <v>8.0</v>
      </c>
      <c r="G238" s="32">
        <v>10.0</v>
      </c>
      <c r="H238" s="32">
        <v>12.0</v>
      </c>
    </row>
    <row r="239" ht="14.25" customHeight="1">
      <c r="A239" s="27" t="s">
        <v>425</v>
      </c>
      <c r="B239" s="27" t="s">
        <v>426</v>
      </c>
      <c r="C239" s="29" t="s">
        <v>208</v>
      </c>
      <c r="D239" s="31"/>
      <c r="E239" s="32">
        <v>30.0</v>
      </c>
      <c r="F239" s="32">
        <v>24.0</v>
      </c>
      <c r="G239" s="32">
        <v>30.0</v>
      </c>
      <c r="H239" s="32">
        <v>36.0</v>
      </c>
    </row>
    <row r="240" ht="14.25" customHeight="1">
      <c r="A240" s="27" t="s">
        <v>425</v>
      </c>
      <c r="B240" s="27" t="s">
        <v>427</v>
      </c>
      <c r="C240" s="29" t="s">
        <v>208</v>
      </c>
      <c r="D240" s="31"/>
      <c r="E240" s="32">
        <v>30.0</v>
      </c>
      <c r="F240" s="32">
        <v>24.0</v>
      </c>
      <c r="G240" s="32">
        <v>30.0</v>
      </c>
      <c r="H240" s="32">
        <v>36.0</v>
      </c>
    </row>
    <row r="241" ht="14.25" customHeight="1">
      <c r="A241" s="27" t="s">
        <v>425</v>
      </c>
      <c r="B241" s="27" t="s">
        <v>428</v>
      </c>
      <c r="C241" s="29" t="s">
        <v>208</v>
      </c>
      <c r="D241" s="31"/>
      <c r="E241" s="32">
        <v>30.0</v>
      </c>
      <c r="F241" s="32">
        <v>24.0</v>
      </c>
      <c r="G241" s="32">
        <v>30.0</v>
      </c>
      <c r="H241" s="32">
        <v>36.0</v>
      </c>
    </row>
    <row r="242" ht="14.25" customHeight="1">
      <c r="A242" s="27" t="s">
        <v>425</v>
      </c>
      <c r="B242" s="27" t="s">
        <v>429</v>
      </c>
      <c r="C242" s="29" t="s">
        <v>208</v>
      </c>
      <c r="D242" s="31"/>
      <c r="E242" s="32">
        <v>30.0</v>
      </c>
      <c r="F242" s="32">
        <v>24.0</v>
      </c>
      <c r="G242" s="32">
        <v>30.0</v>
      </c>
      <c r="H242" s="32">
        <v>36.0</v>
      </c>
    </row>
    <row r="243" ht="14.25" customHeight="1">
      <c r="A243" s="27" t="s">
        <v>425</v>
      </c>
      <c r="B243" s="27" t="s">
        <v>432</v>
      </c>
      <c r="C243" s="29" t="s">
        <v>43</v>
      </c>
      <c r="D243" s="31"/>
      <c r="E243" s="32">
        <v>5.0</v>
      </c>
      <c r="F243" s="32">
        <v>4.0</v>
      </c>
      <c r="G243" s="32">
        <v>5.0</v>
      </c>
      <c r="H243" s="32">
        <v>6.0</v>
      </c>
    </row>
    <row r="244" ht="14.25" customHeight="1">
      <c r="A244" s="27" t="s">
        <v>433</v>
      </c>
      <c r="B244" s="27" t="s">
        <v>413</v>
      </c>
      <c r="C244" s="29" t="s">
        <v>43</v>
      </c>
      <c r="D244" s="31"/>
      <c r="E244" s="32">
        <v>12.0</v>
      </c>
      <c r="F244" s="32">
        <v>10.0</v>
      </c>
      <c r="G244" s="32">
        <v>12.0</v>
      </c>
      <c r="H244" s="32">
        <v>14.0</v>
      </c>
    </row>
    <row r="245" ht="14.25" customHeight="1">
      <c r="A245" s="27" t="s">
        <v>434</v>
      </c>
      <c r="B245" s="27" t="s">
        <v>435</v>
      </c>
      <c r="C245" s="29" t="s">
        <v>43</v>
      </c>
      <c r="D245" s="31"/>
      <c r="E245" s="32">
        <v>2.0</v>
      </c>
      <c r="F245" s="32">
        <v>2.0</v>
      </c>
      <c r="G245" s="32">
        <v>2.0</v>
      </c>
      <c r="H245" s="32">
        <v>3.0</v>
      </c>
    </row>
    <row r="246" ht="14.25" customHeight="1">
      <c r="A246" s="27" t="s">
        <v>436</v>
      </c>
      <c r="B246" s="27" t="s">
        <v>437</v>
      </c>
      <c r="C246" s="29" t="s">
        <v>43</v>
      </c>
      <c r="D246" s="31"/>
      <c r="E246" s="32">
        <v>2.0</v>
      </c>
      <c r="F246" s="32">
        <v>2.0</v>
      </c>
      <c r="G246" s="32">
        <v>2.0</v>
      </c>
      <c r="H246" s="32">
        <v>3.0</v>
      </c>
    </row>
    <row r="247" ht="14.25" customHeight="1">
      <c r="A247" s="27" t="s">
        <v>438</v>
      </c>
      <c r="B247" s="27" t="s">
        <v>439</v>
      </c>
      <c r="C247" s="29" t="s">
        <v>43</v>
      </c>
      <c r="D247" s="31"/>
      <c r="E247" s="32">
        <v>2.0</v>
      </c>
      <c r="F247" s="32">
        <v>2.0</v>
      </c>
      <c r="G247" s="32">
        <v>2.0</v>
      </c>
      <c r="H247" s="32">
        <v>3.0</v>
      </c>
    </row>
    <row r="248" ht="14.25" customHeight="1">
      <c r="A248" s="27" t="s">
        <v>440</v>
      </c>
      <c r="B248" s="27" t="s">
        <v>441</v>
      </c>
      <c r="C248" s="29" t="s">
        <v>43</v>
      </c>
      <c r="D248" s="31"/>
      <c r="E248" s="32">
        <v>2.0</v>
      </c>
      <c r="F248" s="32">
        <v>2.0</v>
      </c>
      <c r="G248" s="32">
        <v>2.0</v>
      </c>
      <c r="H248" s="32">
        <v>3.0</v>
      </c>
    </row>
    <row r="249" ht="14.25" customHeight="1">
      <c r="A249" s="27" t="s">
        <v>442</v>
      </c>
      <c r="B249" s="27" t="s">
        <v>443</v>
      </c>
      <c r="C249" s="29" t="s">
        <v>43</v>
      </c>
      <c r="D249" s="31"/>
      <c r="E249" s="32">
        <v>2.0</v>
      </c>
      <c r="F249" s="32">
        <v>2.0</v>
      </c>
      <c r="G249" s="32">
        <v>2.0</v>
      </c>
      <c r="H249" s="32">
        <v>3.0</v>
      </c>
    </row>
    <row r="250" ht="14.25" customHeight="1">
      <c r="A250" s="27" t="s">
        <v>444</v>
      </c>
      <c r="B250" s="27" t="s">
        <v>445</v>
      </c>
      <c r="C250" s="29" t="s">
        <v>43</v>
      </c>
      <c r="D250" s="31"/>
      <c r="E250" s="32">
        <v>2.0</v>
      </c>
      <c r="F250" s="32">
        <v>2.0</v>
      </c>
      <c r="G250" s="32">
        <v>2.0</v>
      </c>
      <c r="H250" s="32">
        <v>3.0</v>
      </c>
    </row>
    <row r="251" ht="14.25" customHeight="1">
      <c r="A251" s="27" t="s">
        <v>446</v>
      </c>
      <c r="B251" s="27" t="s">
        <v>443</v>
      </c>
      <c r="C251" s="29" t="s">
        <v>43</v>
      </c>
      <c r="D251" s="31"/>
      <c r="E251" s="32">
        <v>2.0</v>
      </c>
      <c r="F251" s="32">
        <v>2.0</v>
      </c>
      <c r="G251" s="32">
        <v>2.0</v>
      </c>
      <c r="H251" s="32">
        <v>3.0</v>
      </c>
    </row>
    <row r="252" ht="14.25" customHeight="1">
      <c r="A252" s="27" t="s">
        <v>447</v>
      </c>
      <c r="B252" s="27" t="s">
        <v>448</v>
      </c>
      <c r="C252" s="29" t="s">
        <v>208</v>
      </c>
      <c r="D252" s="31"/>
      <c r="E252" s="32">
        <v>30.0</v>
      </c>
      <c r="F252" s="32">
        <v>24.0</v>
      </c>
      <c r="G252" s="32">
        <v>30.0</v>
      </c>
      <c r="H252" s="32">
        <v>36.0</v>
      </c>
    </row>
    <row r="253" ht="14.25" customHeight="1">
      <c r="A253" s="27" t="s">
        <v>447</v>
      </c>
      <c r="B253" s="27" t="s">
        <v>449</v>
      </c>
      <c r="C253" s="29" t="s">
        <v>208</v>
      </c>
      <c r="D253" s="31"/>
      <c r="E253" s="32">
        <v>30.0</v>
      </c>
      <c r="F253" s="32">
        <v>24.0</v>
      </c>
      <c r="G253" s="32">
        <v>30.0</v>
      </c>
      <c r="H253" s="32">
        <v>36.0</v>
      </c>
    </row>
    <row r="254" ht="14.25" customHeight="1">
      <c r="A254" s="27" t="s">
        <v>447</v>
      </c>
      <c r="B254" s="27" t="s">
        <v>450</v>
      </c>
      <c r="C254" s="29" t="s">
        <v>208</v>
      </c>
      <c r="D254" s="31"/>
      <c r="E254" s="32">
        <v>32.0</v>
      </c>
      <c r="F254" s="32">
        <v>26.0</v>
      </c>
      <c r="G254" s="32">
        <v>32.0</v>
      </c>
      <c r="H254" s="32">
        <v>38.0</v>
      </c>
    </row>
    <row r="255" ht="14.25" customHeight="1">
      <c r="A255" s="27" t="s">
        <v>447</v>
      </c>
      <c r="B255" s="27" t="s">
        <v>451</v>
      </c>
      <c r="C255" s="29" t="s">
        <v>208</v>
      </c>
      <c r="D255" s="31"/>
      <c r="E255" s="32">
        <v>32.0</v>
      </c>
      <c r="F255" s="32">
        <v>26.0</v>
      </c>
      <c r="G255" s="32">
        <v>32.0</v>
      </c>
      <c r="H255" s="32">
        <v>38.0</v>
      </c>
    </row>
    <row r="256" ht="14.25" customHeight="1">
      <c r="A256" s="27" t="s">
        <v>447</v>
      </c>
      <c r="B256" s="27" t="s">
        <v>452</v>
      </c>
      <c r="C256" s="29" t="s">
        <v>208</v>
      </c>
      <c r="D256" s="31"/>
      <c r="E256" s="32">
        <v>32.0</v>
      </c>
      <c r="F256" s="32">
        <v>26.0</v>
      </c>
      <c r="G256" s="32">
        <v>32.0</v>
      </c>
      <c r="H256" s="32">
        <v>38.0</v>
      </c>
    </row>
    <row r="257" ht="14.25" customHeight="1">
      <c r="A257" s="27" t="s">
        <v>447</v>
      </c>
      <c r="B257" s="27" t="s">
        <v>451</v>
      </c>
      <c r="C257" s="29" t="s">
        <v>208</v>
      </c>
      <c r="D257" s="31"/>
      <c r="E257" s="32">
        <v>32.0</v>
      </c>
      <c r="F257" s="32">
        <v>26.0</v>
      </c>
      <c r="G257" s="32">
        <v>32.0</v>
      </c>
      <c r="H257" s="32">
        <v>38.0</v>
      </c>
    </row>
    <row r="258" ht="14.25" customHeight="1">
      <c r="A258" s="27" t="s">
        <v>447</v>
      </c>
      <c r="B258" s="27" t="s">
        <v>453</v>
      </c>
      <c r="C258" s="29" t="s">
        <v>208</v>
      </c>
      <c r="D258" s="31"/>
      <c r="E258" s="32">
        <v>70.0</v>
      </c>
      <c r="F258" s="32">
        <v>56.0</v>
      </c>
      <c r="G258" s="32">
        <v>70.0</v>
      </c>
      <c r="H258" s="32">
        <v>84.0</v>
      </c>
    </row>
    <row r="259" ht="14.25" customHeight="1">
      <c r="A259" s="27" t="s">
        <v>447</v>
      </c>
      <c r="B259" s="27" t="s">
        <v>454</v>
      </c>
      <c r="C259" s="29" t="s">
        <v>208</v>
      </c>
      <c r="D259" s="31"/>
      <c r="E259" s="32">
        <v>100.0</v>
      </c>
      <c r="F259" s="32">
        <v>80.0</v>
      </c>
      <c r="G259" s="32">
        <v>100.0</v>
      </c>
      <c r="H259" s="32">
        <v>119.0</v>
      </c>
    </row>
    <row r="260" ht="14.25" customHeight="1">
      <c r="A260" s="27" t="s">
        <v>447</v>
      </c>
      <c r="B260" s="27" t="s">
        <v>455</v>
      </c>
      <c r="C260" s="29" t="s">
        <v>208</v>
      </c>
      <c r="D260" s="31"/>
      <c r="E260" s="32">
        <v>125.0</v>
      </c>
      <c r="F260" s="32">
        <v>100.0</v>
      </c>
      <c r="G260" s="32">
        <v>125.0</v>
      </c>
      <c r="H260" s="32">
        <v>150.0</v>
      </c>
    </row>
    <row r="261" ht="14.25" customHeight="1">
      <c r="A261" s="27" t="s">
        <v>447</v>
      </c>
      <c r="B261" s="27" t="s">
        <v>456</v>
      </c>
      <c r="C261" s="29" t="s">
        <v>208</v>
      </c>
      <c r="D261" s="31"/>
      <c r="E261" s="32">
        <v>125.0</v>
      </c>
      <c r="F261" s="32">
        <v>100.0</v>
      </c>
      <c r="G261" s="32">
        <v>125.0</v>
      </c>
      <c r="H261" s="32">
        <v>150.0</v>
      </c>
    </row>
    <row r="262" ht="14.25" customHeight="1">
      <c r="A262" s="27" t="s">
        <v>447</v>
      </c>
      <c r="B262" s="27" t="s">
        <v>146</v>
      </c>
      <c r="C262" s="29" t="s">
        <v>208</v>
      </c>
      <c r="D262" s="31"/>
      <c r="E262" s="32">
        <v>187.0</v>
      </c>
      <c r="F262" s="32">
        <v>145.0</v>
      </c>
      <c r="G262" s="32">
        <v>187.0</v>
      </c>
      <c r="H262" s="32">
        <v>230.0</v>
      </c>
    </row>
    <row r="263" ht="14.25" customHeight="1">
      <c r="A263" s="27" t="s">
        <v>447</v>
      </c>
      <c r="B263" s="27" t="s">
        <v>457</v>
      </c>
      <c r="C263" s="29" t="s">
        <v>208</v>
      </c>
      <c r="D263" s="31"/>
      <c r="E263" s="32">
        <v>28.0</v>
      </c>
      <c r="F263" s="32">
        <v>22.0</v>
      </c>
      <c r="G263" s="32">
        <v>28.0</v>
      </c>
      <c r="H263" s="32">
        <v>33.0</v>
      </c>
    </row>
    <row r="264" ht="14.25" customHeight="1">
      <c r="A264" s="27" t="s">
        <v>447</v>
      </c>
      <c r="B264" s="27" t="s">
        <v>450</v>
      </c>
      <c r="C264" s="29" t="s">
        <v>208</v>
      </c>
      <c r="D264" s="31"/>
      <c r="E264" s="32">
        <v>35.0</v>
      </c>
      <c r="F264" s="32">
        <v>28.0</v>
      </c>
      <c r="G264" s="32">
        <v>35.0</v>
      </c>
      <c r="H264" s="32">
        <v>42.0</v>
      </c>
    </row>
    <row r="265" ht="14.25" customHeight="1">
      <c r="A265" s="27" t="s">
        <v>447</v>
      </c>
      <c r="B265" s="27" t="s">
        <v>452</v>
      </c>
      <c r="C265" s="29" t="s">
        <v>208</v>
      </c>
      <c r="D265" s="31"/>
      <c r="E265" s="32">
        <v>35.0</v>
      </c>
      <c r="F265" s="32">
        <v>28.0</v>
      </c>
      <c r="G265" s="32">
        <v>35.0</v>
      </c>
      <c r="H265" s="32">
        <v>42.0</v>
      </c>
    </row>
    <row r="266" ht="14.25" customHeight="1">
      <c r="A266" s="27" t="s">
        <v>447</v>
      </c>
      <c r="B266" s="27" t="s">
        <v>451</v>
      </c>
      <c r="C266" s="29" t="s">
        <v>208</v>
      </c>
      <c r="D266" s="31"/>
      <c r="E266" s="32">
        <v>35.0</v>
      </c>
      <c r="F266" s="32">
        <v>28.0</v>
      </c>
      <c r="G266" s="32">
        <v>35.0</v>
      </c>
      <c r="H266" s="32">
        <v>42.0</v>
      </c>
    </row>
    <row r="267" ht="14.25" customHeight="1">
      <c r="A267" s="27" t="s">
        <v>447</v>
      </c>
      <c r="B267" s="27" t="s">
        <v>458</v>
      </c>
      <c r="C267" s="29" t="s">
        <v>208</v>
      </c>
      <c r="D267" s="31"/>
      <c r="E267" s="32">
        <v>35.0</v>
      </c>
      <c r="F267" s="32">
        <v>28.0</v>
      </c>
      <c r="G267" s="32">
        <v>35.0</v>
      </c>
      <c r="H267" s="32">
        <v>42.0</v>
      </c>
    </row>
    <row r="268" ht="14.25" customHeight="1">
      <c r="A268" s="27" t="s">
        <v>447</v>
      </c>
      <c r="B268" s="27" t="s">
        <v>457</v>
      </c>
      <c r="C268" s="29" t="s">
        <v>208</v>
      </c>
      <c r="D268" s="31"/>
      <c r="E268" s="32">
        <v>35.0</v>
      </c>
      <c r="F268" s="32">
        <v>28.0</v>
      </c>
      <c r="G268" s="32">
        <v>35.0</v>
      </c>
      <c r="H268" s="32">
        <v>42.0</v>
      </c>
    </row>
    <row r="269" ht="14.25" customHeight="1">
      <c r="A269" s="27" t="s">
        <v>447</v>
      </c>
      <c r="B269" s="27" t="s">
        <v>459</v>
      </c>
      <c r="C269" s="29" t="s">
        <v>208</v>
      </c>
      <c r="D269" s="31"/>
      <c r="E269" s="32">
        <v>10.0</v>
      </c>
      <c r="F269" s="32">
        <v>8.0</v>
      </c>
      <c r="G269" s="32">
        <v>10.0</v>
      </c>
      <c r="H269" s="32">
        <v>12.0</v>
      </c>
    </row>
    <row r="270" ht="14.25" customHeight="1">
      <c r="A270" s="27" t="s">
        <v>447</v>
      </c>
      <c r="B270" s="27" t="s">
        <v>460</v>
      </c>
      <c r="C270" s="29" t="s">
        <v>43</v>
      </c>
      <c r="D270" s="31"/>
      <c r="E270" s="32">
        <v>25.0</v>
      </c>
      <c r="F270" s="32">
        <v>20.0</v>
      </c>
      <c r="G270" s="32">
        <v>25.0</v>
      </c>
      <c r="H270" s="32">
        <v>30.0</v>
      </c>
    </row>
    <row r="271" ht="14.25" customHeight="1">
      <c r="A271" s="27" t="s">
        <v>447</v>
      </c>
      <c r="B271" s="27" t="s">
        <v>461</v>
      </c>
      <c r="C271" s="29" t="s">
        <v>43</v>
      </c>
      <c r="D271" s="31"/>
      <c r="E271" s="32">
        <v>25.0</v>
      </c>
      <c r="F271" s="32">
        <v>20.0</v>
      </c>
      <c r="G271" s="32">
        <v>25.0</v>
      </c>
      <c r="H271" s="32">
        <v>30.0</v>
      </c>
    </row>
    <row r="272" ht="14.25" customHeight="1">
      <c r="A272" s="27" t="s">
        <v>447</v>
      </c>
      <c r="B272" s="27" t="s">
        <v>462</v>
      </c>
      <c r="C272" s="29" t="s">
        <v>43</v>
      </c>
      <c r="D272" s="31"/>
      <c r="E272" s="32">
        <v>25.0</v>
      </c>
      <c r="F272" s="32">
        <v>20.0</v>
      </c>
      <c r="G272" s="32">
        <v>25.0</v>
      </c>
      <c r="H272" s="32">
        <v>30.0</v>
      </c>
    </row>
    <row r="273" ht="14.25" customHeight="1">
      <c r="A273" s="27" t="s">
        <v>447</v>
      </c>
      <c r="B273" s="27" t="s">
        <v>463</v>
      </c>
      <c r="C273" s="29" t="s">
        <v>43</v>
      </c>
      <c r="D273" s="31"/>
      <c r="E273" s="32">
        <v>25.0</v>
      </c>
      <c r="F273" s="32">
        <v>20.0</v>
      </c>
      <c r="G273" s="32">
        <v>25.0</v>
      </c>
      <c r="H273" s="32">
        <v>30.0</v>
      </c>
    </row>
    <row r="274" ht="14.25" customHeight="1">
      <c r="A274" s="27" t="s">
        <v>447</v>
      </c>
      <c r="B274" s="27" t="s">
        <v>464</v>
      </c>
      <c r="C274" s="29" t="s">
        <v>43</v>
      </c>
      <c r="D274" s="31"/>
      <c r="E274" s="32">
        <v>25.0</v>
      </c>
      <c r="F274" s="32">
        <v>20.0</v>
      </c>
      <c r="G274" s="32">
        <v>25.0</v>
      </c>
      <c r="H274" s="32">
        <v>30.0</v>
      </c>
    </row>
    <row r="275" ht="14.25" customHeight="1">
      <c r="A275" s="27" t="s">
        <v>447</v>
      </c>
      <c r="B275" s="27" t="s">
        <v>465</v>
      </c>
      <c r="C275" s="29" t="s">
        <v>43</v>
      </c>
      <c r="D275" s="31"/>
      <c r="E275" s="32">
        <v>25.0</v>
      </c>
      <c r="F275" s="32">
        <v>20.0</v>
      </c>
      <c r="G275" s="32">
        <v>25.0</v>
      </c>
      <c r="H275" s="32">
        <v>30.0</v>
      </c>
    </row>
    <row r="276" ht="14.25" customHeight="1">
      <c r="A276" s="27" t="s">
        <v>447</v>
      </c>
      <c r="B276" s="27" t="s">
        <v>466</v>
      </c>
      <c r="C276" s="29" t="s">
        <v>43</v>
      </c>
      <c r="D276" s="31"/>
      <c r="E276" s="32">
        <v>25.0</v>
      </c>
      <c r="F276" s="32">
        <v>20.0</v>
      </c>
      <c r="G276" s="32">
        <v>25.0</v>
      </c>
      <c r="H276" s="32">
        <v>30.0</v>
      </c>
    </row>
    <row r="277" ht="14.25" customHeight="1">
      <c r="A277" s="27" t="s">
        <v>467</v>
      </c>
      <c r="B277" s="27" t="s">
        <v>468</v>
      </c>
      <c r="C277" s="29" t="s">
        <v>208</v>
      </c>
      <c r="D277" s="31"/>
      <c r="E277" s="32">
        <v>27.0</v>
      </c>
      <c r="F277" s="32">
        <v>17.0</v>
      </c>
      <c r="G277" s="32">
        <v>27.0</v>
      </c>
      <c r="H277" s="32">
        <v>34.0</v>
      </c>
    </row>
    <row r="278" ht="14.25" customHeight="1">
      <c r="A278" s="27" t="s">
        <v>467</v>
      </c>
      <c r="B278" s="27" t="s">
        <v>469</v>
      </c>
      <c r="C278" s="29" t="s">
        <v>208</v>
      </c>
      <c r="D278" s="31"/>
      <c r="E278" s="32">
        <v>28.0</v>
      </c>
      <c r="F278" s="32">
        <v>19.0</v>
      </c>
      <c r="G278" s="32">
        <v>28.0</v>
      </c>
      <c r="H278" s="32">
        <v>36.0</v>
      </c>
    </row>
    <row r="279" ht="14.25" customHeight="1">
      <c r="A279" s="27" t="s">
        <v>467</v>
      </c>
      <c r="B279" s="27" t="s">
        <v>470</v>
      </c>
      <c r="C279" s="29" t="s">
        <v>208</v>
      </c>
      <c r="D279" s="31"/>
      <c r="E279" s="32">
        <v>25.0</v>
      </c>
      <c r="F279" s="32">
        <v>20.0</v>
      </c>
      <c r="G279" s="32">
        <v>25.0</v>
      </c>
      <c r="H279" s="32">
        <v>30.0</v>
      </c>
    </row>
    <row r="280" ht="14.25" customHeight="1">
      <c r="A280" s="27" t="s">
        <v>447</v>
      </c>
      <c r="B280" s="27" t="s">
        <v>471</v>
      </c>
      <c r="C280" s="29" t="s">
        <v>208</v>
      </c>
      <c r="D280" s="31"/>
      <c r="E280" s="32">
        <v>187.0</v>
      </c>
      <c r="F280" s="32">
        <v>145.0</v>
      </c>
      <c r="G280" s="32">
        <v>187.0</v>
      </c>
      <c r="H280" s="32">
        <v>230.0</v>
      </c>
    </row>
    <row r="281" ht="14.25" customHeight="1">
      <c r="A281" s="27" t="s">
        <v>472</v>
      </c>
      <c r="B281" s="27" t="s">
        <v>473</v>
      </c>
      <c r="C281" s="29" t="s">
        <v>43</v>
      </c>
      <c r="D281" s="31"/>
      <c r="E281" s="32">
        <v>15.0</v>
      </c>
      <c r="F281" s="32">
        <v>12.0</v>
      </c>
      <c r="G281" s="32">
        <v>15.0</v>
      </c>
      <c r="H281" s="32">
        <v>18.0</v>
      </c>
    </row>
    <row r="282" ht="14.25" customHeight="1">
      <c r="A282" s="27" t="s">
        <v>474</v>
      </c>
      <c r="B282" s="27" t="s">
        <v>473</v>
      </c>
      <c r="C282" s="29" t="s">
        <v>43</v>
      </c>
      <c r="D282" s="31"/>
      <c r="E282" s="32">
        <v>15.0</v>
      </c>
      <c r="F282" s="32">
        <v>12.0</v>
      </c>
      <c r="G282" s="32">
        <v>15.0</v>
      </c>
      <c r="H282" s="32">
        <v>18.0</v>
      </c>
    </row>
    <row r="283" ht="14.25" customHeight="1">
      <c r="A283" s="27" t="s">
        <v>475</v>
      </c>
      <c r="B283" s="27" t="s">
        <v>476</v>
      </c>
      <c r="C283" s="29" t="s">
        <v>43</v>
      </c>
      <c r="D283" s="31"/>
      <c r="E283" s="32">
        <v>15.0</v>
      </c>
      <c r="F283" s="32">
        <v>12.0</v>
      </c>
      <c r="G283" s="32">
        <v>15.0</v>
      </c>
      <c r="H283" s="32">
        <v>18.0</v>
      </c>
    </row>
    <row r="284" ht="14.25" customHeight="1">
      <c r="A284" s="27" t="s">
        <v>475</v>
      </c>
      <c r="B284" s="27" t="s">
        <v>477</v>
      </c>
      <c r="C284" s="29" t="s">
        <v>43</v>
      </c>
      <c r="D284" s="31"/>
      <c r="E284" s="32">
        <v>15.0</v>
      </c>
      <c r="F284" s="32">
        <v>12.0</v>
      </c>
      <c r="G284" s="32">
        <v>15.0</v>
      </c>
      <c r="H284" s="32">
        <v>18.0</v>
      </c>
    </row>
    <row r="285" ht="14.25" customHeight="1">
      <c r="A285" s="27" t="s">
        <v>475</v>
      </c>
      <c r="B285" s="27" t="s">
        <v>268</v>
      </c>
      <c r="C285" s="29" t="s">
        <v>43</v>
      </c>
      <c r="D285" s="31"/>
      <c r="E285" s="32">
        <v>12.0</v>
      </c>
      <c r="F285" s="32">
        <v>9.0</v>
      </c>
      <c r="G285" s="32">
        <v>12.0</v>
      </c>
      <c r="H285" s="32">
        <v>14.0</v>
      </c>
    </row>
    <row r="286" ht="14.25" customHeight="1">
      <c r="A286" s="27" t="s">
        <v>478</v>
      </c>
      <c r="B286" s="27" t="s">
        <v>479</v>
      </c>
      <c r="C286" s="29" t="s">
        <v>43</v>
      </c>
      <c r="D286" s="31"/>
      <c r="E286" s="32">
        <v>1.0</v>
      </c>
      <c r="F286" s="32">
        <v>1.0</v>
      </c>
      <c r="G286" s="32">
        <v>1.0</v>
      </c>
      <c r="H286" s="32">
        <v>1.0</v>
      </c>
    </row>
    <row r="287" ht="14.25" customHeight="1">
      <c r="A287" s="27" t="s">
        <v>478</v>
      </c>
      <c r="B287" s="27" t="s">
        <v>480</v>
      </c>
      <c r="C287" s="29" t="s">
        <v>43</v>
      </c>
      <c r="D287" s="31"/>
      <c r="E287" s="32">
        <v>1.0</v>
      </c>
      <c r="F287" s="32">
        <v>1.0</v>
      </c>
      <c r="G287" s="32">
        <v>1.0</v>
      </c>
      <c r="H287" s="32">
        <v>1.0</v>
      </c>
    </row>
    <row r="288" ht="14.25" customHeight="1">
      <c r="A288" s="27" t="s">
        <v>478</v>
      </c>
      <c r="B288" s="27" t="s">
        <v>481</v>
      </c>
      <c r="C288" s="29" t="s">
        <v>43</v>
      </c>
      <c r="D288" s="31"/>
      <c r="E288" s="32">
        <v>1.0</v>
      </c>
      <c r="F288" s="32">
        <v>1.0</v>
      </c>
      <c r="G288" s="32">
        <v>1.0</v>
      </c>
      <c r="H288" s="32">
        <v>1.0</v>
      </c>
    </row>
    <row r="289" ht="14.25" customHeight="1">
      <c r="A289" s="27" t="s">
        <v>478</v>
      </c>
      <c r="B289" s="27" t="s">
        <v>482</v>
      </c>
      <c r="C289" s="29" t="s">
        <v>43</v>
      </c>
      <c r="D289" s="31"/>
      <c r="E289" s="32">
        <v>1.0</v>
      </c>
      <c r="F289" s="32">
        <v>1.0</v>
      </c>
      <c r="G289" s="32">
        <v>1.0</v>
      </c>
      <c r="H289" s="32">
        <v>1.0</v>
      </c>
    </row>
    <row r="290" ht="14.25" customHeight="1">
      <c r="A290" s="27" t="s">
        <v>478</v>
      </c>
      <c r="B290" s="27" t="s">
        <v>483</v>
      </c>
      <c r="C290" s="29" t="s">
        <v>43</v>
      </c>
      <c r="D290" s="31"/>
      <c r="E290" s="32">
        <v>1.0</v>
      </c>
      <c r="F290" s="32">
        <v>1.0</v>
      </c>
      <c r="G290" s="32">
        <v>1.0</v>
      </c>
      <c r="H290" s="32">
        <v>1.0</v>
      </c>
    </row>
    <row r="291" ht="14.25" customHeight="1">
      <c r="A291" s="27" t="s">
        <v>478</v>
      </c>
      <c r="B291" s="27" t="s">
        <v>484</v>
      </c>
      <c r="C291" s="29" t="s">
        <v>43</v>
      </c>
      <c r="D291" s="31"/>
      <c r="E291" s="32">
        <v>1.0</v>
      </c>
      <c r="F291" s="32">
        <v>1.0</v>
      </c>
      <c r="G291" s="32">
        <v>1.0</v>
      </c>
      <c r="H291" s="32">
        <v>1.0</v>
      </c>
    </row>
    <row r="292" ht="14.25" customHeight="1">
      <c r="A292" s="27" t="s">
        <v>478</v>
      </c>
      <c r="B292" s="27" t="s">
        <v>485</v>
      </c>
      <c r="C292" s="29" t="s">
        <v>43</v>
      </c>
      <c r="D292" s="31"/>
      <c r="E292" s="32">
        <v>1.0</v>
      </c>
      <c r="F292" s="32">
        <v>1.0</v>
      </c>
      <c r="G292" s="32">
        <v>1.0</v>
      </c>
      <c r="H292" s="32">
        <v>1.0</v>
      </c>
    </row>
    <row r="293" ht="14.25" customHeight="1">
      <c r="A293" s="27" t="s">
        <v>478</v>
      </c>
      <c r="B293" s="27" t="s">
        <v>486</v>
      </c>
      <c r="C293" s="29" t="s">
        <v>43</v>
      </c>
      <c r="D293" s="31"/>
      <c r="E293" s="32">
        <v>1.0</v>
      </c>
      <c r="F293" s="32">
        <v>1.0</v>
      </c>
      <c r="G293" s="32">
        <v>1.0</v>
      </c>
      <c r="H293" s="32">
        <v>1.0</v>
      </c>
    </row>
    <row r="294" ht="14.25" customHeight="1">
      <c r="A294" s="27" t="s">
        <v>478</v>
      </c>
      <c r="B294" s="27" t="s">
        <v>487</v>
      </c>
      <c r="C294" s="29" t="s">
        <v>43</v>
      </c>
      <c r="D294" s="31"/>
      <c r="E294" s="32">
        <v>1.0</v>
      </c>
      <c r="F294" s="32">
        <v>1.0</v>
      </c>
      <c r="G294" s="32">
        <v>1.0</v>
      </c>
      <c r="H294" s="32">
        <v>1.0</v>
      </c>
    </row>
    <row r="295" ht="14.25" customHeight="1">
      <c r="A295" s="27" t="s">
        <v>488</v>
      </c>
      <c r="B295" s="27" t="s">
        <v>489</v>
      </c>
      <c r="C295" s="29" t="s">
        <v>43</v>
      </c>
      <c r="D295" s="31"/>
      <c r="E295" s="32">
        <v>30.0</v>
      </c>
      <c r="F295" s="32">
        <v>24.0</v>
      </c>
      <c r="G295" s="32">
        <v>30.0</v>
      </c>
      <c r="H295" s="32">
        <v>36.0</v>
      </c>
    </row>
    <row r="296" ht="14.25" customHeight="1">
      <c r="A296" s="27" t="s">
        <v>488</v>
      </c>
      <c r="B296" s="27" t="s">
        <v>490</v>
      </c>
      <c r="C296" s="29" t="s">
        <v>43</v>
      </c>
      <c r="D296" s="31"/>
      <c r="E296" s="32">
        <v>30.0</v>
      </c>
      <c r="F296" s="32">
        <v>24.0</v>
      </c>
      <c r="G296" s="32">
        <v>30.0</v>
      </c>
      <c r="H296" s="32">
        <v>36.0</v>
      </c>
    </row>
    <row r="297" ht="14.25" customHeight="1">
      <c r="A297" s="27" t="s">
        <v>488</v>
      </c>
      <c r="B297" s="27" t="s">
        <v>491</v>
      </c>
      <c r="C297" s="29" t="s">
        <v>43</v>
      </c>
      <c r="D297" s="31"/>
      <c r="E297" s="32">
        <v>30.0</v>
      </c>
      <c r="F297" s="32">
        <v>24.0</v>
      </c>
      <c r="G297" s="32">
        <v>30.0</v>
      </c>
      <c r="H297" s="32">
        <v>36.0</v>
      </c>
    </row>
    <row r="298" ht="14.25" customHeight="1">
      <c r="A298" s="27" t="s">
        <v>221</v>
      </c>
      <c r="B298" s="27" t="s">
        <v>492</v>
      </c>
      <c r="C298" s="29" t="s">
        <v>30</v>
      </c>
      <c r="D298" s="31"/>
      <c r="E298" s="32">
        <v>77.0</v>
      </c>
      <c r="F298" s="32">
        <v>58.0</v>
      </c>
      <c r="G298" s="32">
        <v>77.0</v>
      </c>
      <c r="H298" s="32">
        <v>93.0</v>
      </c>
    </row>
    <row r="299" ht="14.25" customHeight="1">
      <c r="A299" s="27" t="s">
        <v>493</v>
      </c>
      <c r="B299" s="27" t="s">
        <v>494</v>
      </c>
      <c r="C299" s="29" t="s">
        <v>43</v>
      </c>
      <c r="D299" s="31"/>
      <c r="E299" s="32">
        <v>100.0</v>
      </c>
      <c r="F299" s="32">
        <v>80.0</v>
      </c>
      <c r="G299" s="32">
        <v>100.0</v>
      </c>
      <c r="H299" s="32">
        <v>120.0</v>
      </c>
    </row>
    <row r="300" ht="14.25" customHeight="1">
      <c r="A300" s="27" t="s">
        <v>495</v>
      </c>
      <c r="B300" s="27" t="s">
        <v>496</v>
      </c>
      <c r="C300" s="29" t="s">
        <v>43</v>
      </c>
      <c r="D300" s="31"/>
      <c r="E300" s="32">
        <v>31.0</v>
      </c>
      <c r="F300" s="32">
        <v>25.0</v>
      </c>
      <c r="G300" s="32">
        <v>31.0</v>
      </c>
      <c r="H300" s="32">
        <v>37.0</v>
      </c>
    </row>
    <row r="301" ht="14.25" customHeight="1">
      <c r="A301" s="27" t="s">
        <v>495</v>
      </c>
      <c r="B301" s="27" t="s">
        <v>497</v>
      </c>
      <c r="C301" s="29" t="s">
        <v>43</v>
      </c>
      <c r="D301" s="31"/>
      <c r="E301" s="32">
        <v>20.0</v>
      </c>
      <c r="F301" s="32">
        <v>16.0</v>
      </c>
      <c r="G301" s="32">
        <v>20.0</v>
      </c>
      <c r="H301" s="32">
        <v>24.0</v>
      </c>
    </row>
    <row r="302" ht="14.25" customHeight="1">
      <c r="A302" s="27" t="s">
        <v>260</v>
      </c>
      <c r="B302" s="27" t="s">
        <v>498</v>
      </c>
      <c r="C302" s="29" t="s">
        <v>43</v>
      </c>
      <c r="D302" s="31"/>
      <c r="E302" s="32">
        <v>1.0</v>
      </c>
      <c r="F302" s="32">
        <v>1.0</v>
      </c>
      <c r="G302" s="32">
        <v>1.0</v>
      </c>
      <c r="H302" s="32">
        <v>1.0</v>
      </c>
    </row>
    <row r="303" ht="14.25" customHeight="1">
      <c r="A303" s="27" t="s">
        <v>260</v>
      </c>
      <c r="B303" s="27" t="s">
        <v>499</v>
      </c>
      <c r="C303" s="29" t="s">
        <v>43</v>
      </c>
      <c r="D303" s="31"/>
      <c r="E303" s="32">
        <v>22.0</v>
      </c>
      <c r="F303" s="32">
        <v>18.0</v>
      </c>
      <c r="G303" s="32">
        <v>22.0</v>
      </c>
      <c r="H303" s="32">
        <v>26.0</v>
      </c>
    </row>
    <row r="304" ht="14.25" customHeight="1">
      <c r="A304" s="27" t="s">
        <v>500</v>
      </c>
      <c r="B304" s="27" t="s">
        <v>501</v>
      </c>
      <c r="C304" s="29" t="s">
        <v>43</v>
      </c>
      <c r="D304" s="31"/>
      <c r="E304" s="32">
        <v>5.0</v>
      </c>
      <c r="F304" s="32">
        <v>4.0</v>
      </c>
      <c r="G304" s="32">
        <v>5.0</v>
      </c>
      <c r="H304" s="32">
        <v>6.0</v>
      </c>
    </row>
    <row r="305" ht="14.25" customHeight="1">
      <c r="A305" s="27" t="s">
        <v>502</v>
      </c>
      <c r="B305" s="27" t="s">
        <v>503</v>
      </c>
      <c r="C305" s="29" t="s">
        <v>43</v>
      </c>
      <c r="D305" s="31"/>
      <c r="E305" s="32">
        <v>19.0</v>
      </c>
      <c r="F305" s="32">
        <v>14.0</v>
      </c>
      <c r="G305" s="32">
        <v>19.0</v>
      </c>
      <c r="H305" s="32">
        <v>31.0</v>
      </c>
    </row>
    <row r="306" ht="14.25" customHeight="1">
      <c r="A306" s="27" t="s">
        <v>504</v>
      </c>
      <c r="B306" s="27" t="s">
        <v>413</v>
      </c>
      <c r="C306" s="29" t="s">
        <v>43</v>
      </c>
      <c r="D306" s="31"/>
      <c r="E306" s="32">
        <v>12.0</v>
      </c>
      <c r="F306" s="32">
        <v>10.0</v>
      </c>
      <c r="G306" s="32">
        <v>12.0</v>
      </c>
      <c r="H306" s="32">
        <v>14.0</v>
      </c>
    </row>
    <row r="307" ht="14.25" customHeight="1">
      <c r="A307" s="27" t="s">
        <v>505</v>
      </c>
      <c r="B307" s="27" t="s">
        <v>506</v>
      </c>
      <c r="C307" s="29" t="s">
        <v>43</v>
      </c>
      <c r="D307" s="31"/>
      <c r="E307" s="32">
        <v>1.0</v>
      </c>
      <c r="F307" s="32">
        <v>1.0</v>
      </c>
      <c r="G307" s="32">
        <v>1.0</v>
      </c>
      <c r="H307" s="32">
        <v>1.0</v>
      </c>
    </row>
    <row r="308" ht="14.25" customHeight="1">
      <c r="A308" s="27" t="s">
        <v>257</v>
      </c>
      <c r="B308" s="27" t="s">
        <v>507</v>
      </c>
      <c r="C308" s="29" t="s">
        <v>43</v>
      </c>
      <c r="D308" s="31"/>
      <c r="E308" s="32">
        <v>6.0</v>
      </c>
      <c r="F308" s="32">
        <v>5.0</v>
      </c>
      <c r="G308" s="32">
        <v>6.0</v>
      </c>
      <c r="H308" s="32">
        <v>7.0</v>
      </c>
    </row>
    <row r="309" ht="14.25" customHeight="1">
      <c r="A309" s="27" t="s">
        <v>257</v>
      </c>
      <c r="B309" s="27" t="s">
        <v>508</v>
      </c>
      <c r="C309" s="29" t="s">
        <v>43</v>
      </c>
      <c r="D309" s="31"/>
      <c r="E309" s="32">
        <v>4.0</v>
      </c>
      <c r="F309" s="32">
        <v>3.0</v>
      </c>
      <c r="G309" s="32">
        <v>4.0</v>
      </c>
      <c r="H309" s="32">
        <v>4.0</v>
      </c>
    </row>
    <row r="310" ht="14.25" customHeight="1">
      <c r="A310" s="27" t="s">
        <v>257</v>
      </c>
      <c r="B310" s="27" t="s">
        <v>509</v>
      </c>
      <c r="C310" s="29" t="s">
        <v>43</v>
      </c>
      <c r="D310" s="31"/>
      <c r="E310" s="32">
        <v>4.0</v>
      </c>
      <c r="F310" s="32">
        <v>3.0</v>
      </c>
      <c r="G310" s="32">
        <v>4.0</v>
      </c>
      <c r="H310" s="32">
        <v>4.0</v>
      </c>
    </row>
    <row r="311" ht="14.25" customHeight="1">
      <c r="A311" s="27" t="s">
        <v>510</v>
      </c>
      <c r="B311" s="27" t="s">
        <v>511</v>
      </c>
      <c r="C311" s="29" t="s">
        <v>43</v>
      </c>
      <c r="D311" s="31"/>
      <c r="E311" s="32">
        <v>35.0</v>
      </c>
      <c r="F311" s="32">
        <v>28.0</v>
      </c>
      <c r="G311" s="32">
        <v>35.0</v>
      </c>
      <c r="H311" s="32">
        <v>42.0</v>
      </c>
    </row>
    <row r="312" ht="14.25" customHeight="1">
      <c r="A312" s="27" t="s">
        <v>512</v>
      </c>
      <c r="B312" s="27" t="s">
        <v>513</v>
      </c>
      <c r="C312" s="29" t="s">
        <v>30</v>
      </c>
      <c r="D312" s="31"/>
      <c r="E312" s="32">
        <v>30.0</v>
      </c>
      <c r="F312" s="32">
        <v>24.0</v>
      </c>
      <c r="G312" s="32">
        <v>30.0</v>
      </c>
      <c r="H312" s="32">
        <v>36.0</v>
      </c>
    </row>
    <row r="313" ht="14.25" customHeight="1">
      <c r="A313" s="27" t="s">
        <v>105</v>
      </c>
      <c r="B313" s="27" t="s">
        <v>514</v>
      </c>
      <c r="C313" s="29" t="s">
        <v>43</v>
      </c>
      <c r="D313" s="31"/>
      <c r="E313" s="32">
        <v>26.0</v>
      </c>
      <c r="F313" s="32">
        <v>21.0</v>
      </c>
      <c r="G313" s="32">
        <v>26.0</v>
      </c>
      <c r="H313" s="32">
        <v>31.0</v>
      </c>
    </row>
    <row r="314" ht="14.25" customHeight="1">
      <c r="A314" s="27" t="s">
        <v>105</v>
      </c>
      <c r="B314" s="27" t="s">
        <v>515</v>
      </c>
      <c r="C314" s="29" t="s">
        <v>43</v>
      </c>
      <c r="D314" s="31"/>
      <c r="E314" s="32">
        <v>26.0</v>
      </c>
      <c r="F314" s="32">
        <v>21.0</v>
      </c>
      <c r="G314" s="32">
        <v>26.0</v>
      </c>
      <c r="H314" s="32">
        <v>31.0</v>
      </c>
    </row>
    <row r="315" ht="14.25" customHeight="1">
      <c r="A315" s="27" t="s">
        <v>105</v>
      </c>
      <c r="B315" s="27" t="s">
        <v>516</v>
      </c>
      <c r="C315" s="29" t="s">
        <v>43</v>
      </c>
      <c r="D315" s="31"/>
      <c r="E315" s="32">
        <v>26.0</v>
      </c>
      <c r="F315" s="32">
        <v>21.0</v>
      </c>
      <c r="G315" s="32">
        <v>26.0</v>
      </c>
      <c r="H315" s="32">
        <v>31.0</v>
      </c>
    </row>
    <row r="316" ht="14.25" customHeight="1">
      <c r="A316" s="27" t="s">
        <v>105</v>
      </c>
      <c r="B316" s="27" t="s">
        <v>517</v>
      </c>
      <c r="C316" s="29" t="s">
        <v>43</v>
      </c>
      <c r="D316" s="31"/>
      <c r="E316" s="32">
        <v>26.0</v>
      </c>
      <c r="F316" s="32">
        <v>21.0</v>
      </c>
      <c r="G316" s="32">
        <v>26.0</v>
      </c>
      <c r="H316" s="32">
        <v>31.0</v>
      </c>
    </row>
    <row r="317" ht="14.25" customHeight="1">
      <c r="A317" s="27" t="s">
        <v>105</v>
      </c>
      <c r="B317" s="27" t="s">
        <v>518</v>
      </c>
      <c r="C317" s="29" t="s">
        <v>43</v>
      </c>
      <c r="D317" s="31"/>
      <c r="E317" s="32">
        <v>26.0</v>
      </c>
      <c r="F317" s="32">
        <v>21.0</v>
      </c>
      <c r="G317" s="32">
        <v>26.0</v>
      </c>
      <c r="H317" s="32">
        <v>31.0</v>
      </c>
    </row>
    <row r="318" ht="14.25" customHeight="1">
      <c r="A318" s="27" t="s">
        <v>105</v>
      </c>
      <c r="B318" s="27" t="s">
        <v>519</v>
      </c>
      <c r="C318" s="29" t="s">
        <v>43</v>
      </c>
      <c r="D318" s="31"/>
      <c r="E318" s="32">
        <v>26.0</v>
      </c>
      <c r="F318" s="32">
        <v>21.0</v>
      </c>
      <c r="G318" s="32">
        <v>26.0</v>
      </c>
      <c r="H318" s="32">
        <v>31.0</v>
      </c>
    </row>
    <row r="319" ht="14.25" customHeight="1">
      <c r="A319" s="27" t="s">
        <v>105</v>
      </c>
      <c r="B319" s="27" t="s">
        <v>520</v>
      </c>
      <c r="C319" s="29" t="s">
        <v>43</v>
      </c>
      <c r="D319" s="31"/>
      <c r="E319" s="32">
        <v>26.0</v>
      </c>
      <c r="F319" s="32">
        <v>21.0</v>
      </c>
      <c r="G319" s="32">
        <v>26.0</v>
      </c>
      <c r="H319" s="32">
        <v>31.0</v>
      </c>
    </row>
    <row r="320" ht="14.25" customHeight="1">
      <c r="A320" s="27" t="s">
        <v>521</v>
      </c>
      <c r="B320" s="27" t="s">
        <v>522</v>
      </c>
      <c r="C320" s="29" t="s">
        <v>30</v>
      </c>
      <c r="D320" s="31"/>
      <c r="E320" s="32">
        <v>26.0</v>
      </c>
      <c r="F320" s="32">
        <v>21.0</v>
      </c>
      <c r="G320" s="32">
        <v>26.0</v>
      </c>
      <c r="H320" s="32">
        <v>31.0</v>
      </c>
    </row>
    <row r="321" ht="14.25" customHeight="1">
      <c r="A321" s="27" t="s">
        <v>523</v>
      </c>
      <c r="B321" s="27" t="s">
        <v>524</v>
      </c>
      <c r="C321" s="29" t="s">
        <v>43</v>
      </c>
      <c r="D321" s="31"/>
      <c r="E321" s="32">
        <v>26.0</v>
      </c>
      <c r="F321" s="32">
        <v>21.0</v>
      </c>
      <c r="G321" s="32">
        <v>26.0</v>
      </c>
      <c r="H321" s="32">
        <v>31.0</v>
      </c>
    </row>
    <row r="322" ht="14.25" customHeight="1">
      <c r="A322" s="27" t="s">
        <v>525</v>
      </c>
      <c r="B322" s="27" t="s">
        <v>526</v>
      </c>
      <c r="C322" s="29" t="s">
        <v>43</v>
      </c>
      <c r="D322" s="31"/>
      <c r="E322" s="32">
        <v>26.0</v>
      </c>
      <c r="F322" s="32">
        <v>21.0</v>
      </c>
      <c r="G322" s="32">
        <v>26.0</v>
      </c>
      <c r="H322" s="32">
        <v>31.0</v>
      </c>
    </row>
    <row r="323" ht="14.25" customHeight="1">
      <c r="A323" s="27" t="s">
        <v>527</v>
      </c>
      <c r="B323" s="27" t="s">
        <v>528</v>
      </c>
      <c r="C323" s="29" t="s">
        <v>43</v>
      </c>
      <c r="D323" s="31"/>
      <c r="E323" s="32">
        <v>35.0</v>
      </c>
      <c r="F323" s="32">
        <v>28.0</v>
      </c>
      <c r="G323" s="32">
        <v>35.0</v>
      </c>
      <c r="H323" s="32">
        <v>42.0</v>
      </c>
    </row>
    <row r="324" ht="14.25" customHeight="1">
      <c r="A324" s="27" t="s">
        <v>529</v>
      </c>
      <c r="B324" s="27" t="s">
        <v>530</v>
      </c>
      <c r="C324" s="29" t="s">
        <v>43</v>
      </c>
      <c r="D324" s="31"/>
      <c r="E324" s="32">
        <v>35.0</v>
      </c>
      <c r="F324" s="32">
        <v>28.0</v>
      </c>
      <c r="G324" s="32">
        <v>35.0</v>
      </c>
      <c r="H324" s="32">
        <v>42.0</v>
      </c>
    </row>
    <row r="325" ht="14.25" customHeight="1">
      <c r="A325" s="27" t="s">
        <v>531</v>
      </c>
      <c r="B325" s="27" t="s">
        <v>532</v>
      </c>
      <c r="C325" s="29" t="s">
        <v>43</v>
      </c>
      <c r="D325" s="31"/>
      <c r="E325" s="32">
        <v>125.0</v>
      </c>
      <c r="F325" s="32">
        <v>100.0</v>
      </c>
      <c r="G325" s="32">
        <v>125.0</v>
      </c>
      <c r="H325" s="32">
        <v>150.0</v>
      </c>
    </row>
    <row r="326" ht="14.25" customHeight="1">
      <c r="A326" s="27" t="s">
        <v>471</v>
      </c>
      <c r="B326" s="27" t="s">
        <v>533</v>
      </c>
      <c r="C326" s="29" t="s">
        <v>208</v>
      </c>
      <c r="D326" s="31"/>
      <c r="E326" s="32">
        <v>187.0</v>
      </c>
      <c r="F326" s="32">
        <v>145.0</v>
      </c>
      <c r="G326" s="32">
        <v>187.0</v>
      </c>
      <c r="H326" s="32">
        <v>230.0</v>
      </c>
    </row>
    <row r="327" ht="14.25" customHeight="1">
      <c r="A327" s="27" t="s">
        <v>471</v>
      </c>
      <c r="B327" s="27" t="s">
        <v>534</v>
      </c>
      <c r="C327" s="29" t="s">
        <v>208</v>
      </c>
      <c r="D327" s="31"/>
      <c r="E327" s="32">
        <v>187.0</v>
      </c>
      <c r="F327" s="32">
        <v>145.0</v>
      </c>
      <c r="G327" s="32">
        <v>187.0</v>
      </c>
      <c r="H327" s="32">
        <v>230.0</v>
      </c>
    </row>
    <row r="328" ht="14.25" customHeight="1">
      <c r="A328" s="27" t="s">
        <v>535</v>
      </c>
      <c r="B328" s="27" t="s">
        <v>536</v>
      </c>
      <c r="C328" s="29" t="s">
        <v>208</v>
      </c>
      <c r="D328" s="31"/>
      <c r="E328" s="32">
        <v>125.0</v>
      </c>
      <c r="F328" s="32">
        <v>100.0</v>
      </c>
      <c r="G328" s="32">
        <v>125.0</v>
      </c>
      <c r="H328" s="32">
        <v>150.0</v>
      </c>
    </row>
    <row r="329" ht="14.25" customHeight="1">
      <c r="A329" s="27" t="s">
        <v>537</v>
      </c>
      <c r="B329" s="27" t="s">
        <v>538</v>
      </c>
      <c r="C329" s="29" t="s">
        <v>43</v>
      </c>
      <c r="D329" s="31"/>
      <c r="E329" s="32">
        <v>35.0</v>
      </c>
      <c r="F329" s="32">
        <v>28.0</v>
      </c>
      <c r="G329" s="32">
        <v>35.0</v>
      </c>
      <c r="H329" s="32">
        <v>42.0</v>
      </c>
    </row>
    <row r="330" ht="14.25" customHeight="1">
      <c r="A330" s="27" t="s">
        <v>539</v>
      </c>
      <c r="B330" s="27" t="s">
        <v>540</v>
      </c>
      <c r="C330" s="29" t="s">
        <v>43</v>
      </c>
      <c r="D330" s="31"/>
      <c r="E330" s="32">
        <v>10.0</v>
      </c>
      <c r="F330" s="32">
        <v>8.0</v>
      </c>
      <c r="G330" s="32">
        <v>10.0</v>
      </c>
      <c r="H330" s="32">
        <v>12.0</v>
      </c>
    </row>
    <row r="331" ht="14.25" customHeight="1">
      <c r="A331" s="27" t="s">
        <v>75</v>
      </c>
      <c r="B331" s="27" t="s">
        <v>261</v>
      </c>
      <c r="C331" s="29" t="s">
        <v>43</v>
      </c>
      <c r="D331" s="31"/>
      <c r="E331" s="32">
        <v>10.0</v>
      </c>
      <c r="F331" s="32">
        <v>8.0</v>
      </c>
      <c r="G331" s="32">
        <v>10.0</v>
      </c>
      <c r="H331" s="32">
        <v>12.0</v>
      </c>
    </row>
    <row r="332" ht="14.25" customHeight="1">
      <c r="A332" s="27" t="s">
        <v>75</v>
      </c>
      <c r="B332" s="27" t="s">
        <v>540</v>
      </c>
      <c r="C332" s="29" t="s">
        <v>43</v>
      </c>
      <c r="D332" s="31"/>
      <c r="E332" s="32">
        <v>10.0</v>
      </c>
      <c r="F332" s="32">
        <v>8.0</v>
      </c>
      <c r="G332" s="32">
        <v>10.0</v>
      </c>
      <c r="H332" s="32">
        <v>12.0</v>
      </c>
    </row>
    <row r="333" ht="14.25" customHeight="1">
      <c r="A333" s="27" t="s">
        <v>75</v>
      </c>
      <c r="B333" s="27" t="s">
        <v>541</v>
      </c>
      <c r="C333" s="29" t="s">
        <v>43</v>
      </c>
      <c r="D333" s="31"/>
      <c r="E333" s="32">
        <v>10.0</v>
      </c>
      <c r="F333" s="32">
        <v>8.0</v>
      </c>
      <c r="G333" s="32">
        <v>10.0</v>
      </c>
      <c r="H333" s="32">
        <v>12.0</v>
      </c>
    </row>
    <row r="334" ht="14.25" customHeight="1">
      <c r="A334" s="27" t="s">
        <v>542</v>
      </c>
      <c r="B334" s="27" t="s">
        <v>543</v>
      </c>
      <c r="C334" s="29" t="s">
        <v>43</v>
      </c>
      <c r="D334" s="31"/>
      <c r="E334" s="32">
        <v>10.0</v>
      </c>
      <c r="F334" s="32">
        <v>8.0</v>
      </c>
      <c r="G334" s="32">
        <v>10.0</v>
      </c>
      <c r="H334" s="32">
        <v>12.0</v>
      </c>
    </row>
    <row r="335" ht="14.25" customHeight="1">
      <c r="A335" s="27" t="s">
        <v>544</v>
      </c>
      <c r="B335" s="27" t="s">
        <v>545</v>
      </c>
      <c r="C335" s="29" t="s">
        <v>43</v>
      </c>
      <c r="D335" s="31"/>
      <c r="E335" s="32">
        <v>10.0</v>
      </c>
      <c r="F335" s="32">
        <v>8.0</v>
      </c>
      <c r="G335" s="32">
        <v>10.0</v>
      </c>
      <c r="H335" s="32">
        <v>12.0</v>
      </c>
    </row>
    <row r="336" ht="14.25" customHeight="1">
      <c r="A336" s="27" t="s">
        <v>546</v>
      </c>
      <c r="B336" s="27" t="s">
        <v>547</v>
      </c>
      <c r="C336" s="29" t="s">
        <v>30</v>
      </c>
      <c r="D336" s="31"/>
      <c r="E336" s="32">
        <v>30.0</v>
      </c>
      <c r="F336" s="32">
        <v>24.0</v>
      </c>
      <c r="G336" s="32">
        <v>30.0</v>
      </c>
      <c r="H336" s="32">
        <v>36.0</v>
      </c>
    </row>
    <row r="337" ht="14.25" customHeight="1">
      <c r="A337" s="27" t="s">
        <v>548</v>
      </c>
      <c r="B337" s="27" t="s">
        <v>549</v>
      </c>
      <c r="C337" s="29" t="s">
        <v>43</v>
      </c>
      <c r="D337" s="31"/>
      <c r="E337" s="32">
        <v>18.0</v>
      </c>
      <c r="F337" s="32">
        <v>14.0</v>
      </c>
      <c r="G337" s="32">
        <v>18.0</v>
      </c>
      <c r="H337" s="32">
        <v>21.0</v>
      </c>
    </row>
    <row r="338" ht="14.25" customHeight="1">
      <c r="A338" s="27" t="s">
        <v>548</v>
      </c>
      <c r="B338" s="27" t="s">
        <v>550</v>
      </c>
      <c r="C338" s="29" t="s">
        <v>43</v>
      </c>
      <c r="D338" s="31"/>
      <c r="E338" s="32">
        <v>36.0</v>
      </c>
      <c r="F338" s="32">
        <v>29.0</v>
      </c>
      <c r="G338" s="32">
        <v>36.0</v>
      </c>
      <c r="H338" s="32">
        <v>44.0</v>
      </c>
    </row>
    <row r="339" ht="14.25" customHeight="1">
      <c r="A339" s="27" t="s">
        <v>551</v>
      </c>
      <c r="B339" s="27" t="s">
        <v>552</v>
      </c>
      <c r="C339" s="29" t="s">
        <v>43</v>
      </c>
      <c r="D339" s="31"/>
      <c r="E339" s="32">
        <v>30.0</v>
      </c>
      <c r="F339" s="32">
        <v>24.0</v>
      </c>
      <c r="G339" s="32">
        <v>30.0</v>
      </c>
      <c r="H339" s="32">
        <v>36.0</v>
      </c>
    </row>
    <row r="340" ht="14.25" customHeight="1">
      <c r="A340" s="27" t="s">
        <v>551</v>
      </c>
      <c r="B340" s="27" t="s">
        <v>553</v>
      </c>
      <c r="C340" s="29" t="s">
        <v>43</v>
      </c>
      <c r="D340" s="31"/>
      <c r="E340" s="32">
        <v>43.0</v>
      </c>
      <c r="F340" s="32">
        <v>34.0</v>
      </c>
      <c r="G340" s="32">
        <v>43.0</v>
      </c>
      <c r="H340" s="32">
        <v>51.0</v>
      </c>
    </row>
    <row r="341" ht="14.25" customHeight="1">
      <c r="A341" s="27" t="s">
        <v>554</v>
      </c>
      <c r="B341" s="27" t="s">
        <v>555</v>
      </c>
      <c r="C341" s="29" t="s">
        <v>43</v>
      </c>
      <c r="D341" s="31"/>
      <c r="E341" s="32">
        <v>64.0</v>
      </c>
      <c r="F341" s="32">
        <v>51.0</v>
      </c>
      <c r="G341" s="32">
        <v>64.0</v>
      </c>
      <c r="H341" s="32">
        <v>77.0</v>
      </c>
    </row>
    <row r="342" ht="14.25" customHeight="1">
      <c r="A342" s="27" t="s">
        <v>556</v>
      </c>
      <c r="B342" s="27" t="s">
        <v>557</v>
      </c>
      <c r="C342" s="29" t="s">
        <v>43</v>
      </c>
      <c r="D342" s="31"/>
      <c r="E342" s="32">
        <v>64.0</v>
      </c>
      <c r="F342" s="32">
        <v>51.0</v>
      </c>
      <c r="G342" s="32">
        <v>64.0</v>
      </c>
      <c r="H342" s="32">
        <v>77.0</v>
      </c>
    </row>
    <row r="343" ht="14.25" customHeight="1">
      <c r="A343" s="27" t="s">
        <v>556</v>
      </c>
      <c r="B343" s="27" t="s">
        <v>558</v>
      </c>
      <c r="C343" s="29" t="s">
        <v>43</v>
      </c>
      <c r="D343" s="31"/>
      <c r="E343" s="32">
        <v>64.0</v>
      </c>
      <c r="F343" s="32">
        <v>51.0</v>
      </c>
      <c r="G343" s="32">
        <v>64.0</v>
      </c>
      <c r="H343" s="32">
        <v>77.0</v>
      </c>
    </row>
    <row r="344" ht="14.25" customHeight="1">
      <c r="A344" s="27" t="s">
        <v>559</v>
      </c>
      <c r="B344" s="27" t="s">
        <v>560</v>
      </c>
      <c r="C344" s="29" t="s">
        <v>43</v>
      </c>
      <c r="D344" s="31"/>
      <c r="E344" s="32">
        <v>40.0</v>
      </c>
      <c r="F344" s="32">
        <v>32.0</v>
      </c>
      <c r="G344" s="32">
        <v>40.0</v>
      </c>
      <c r="H344" s="32">
        <v>48.0</v>
      </c>
    </row>
    <row r="345" ht="14.25" customHeight="1">
      <c r="A345" s="27" t="s">
        <v>559</v>
      </c>
      <c r="B345" s="27" t="s">
        <v>561</v>
      </c>
      <c r="C345" s="29" t="s">
        <v>43</v>
      </c>
      <c r="D345" s="31"/>
      <c r="E345" s="32">
        <v>40.0</v>
      </c>
      <c r="F345" s="32">
        <v>32.0</v>
      </c>
      <c r="G345" s="32">
        <v>40.0</v>
      </c>
      <c r="H345" s="32">
        <v>48.0</v>
      </c>
    </row>
    <row r="346" ht="14.25" customHeight="1">
      <c r="A346" s="27" t="s">
        <v>562</v>
      </c>
      <c r="B346" s="27" t="s">
        <v>562</v>
      </c>
      <c r="C346" s="29" t="s">
        <v>43</v>
      </c>
      <c r="D346" s="31"/>
      <c r="E346" s="32">
        <v>1.0</v>
      </c>
      <c r="F346" s="32">
        <v>1.0</v>
      </c>
      <c r="G346" s="32">
        <v>1.0</v>
      </c>
      <c r="H346" s="32">
        <v>1.0</v>
      </c>
    </row>
    <row r="347" ht="14.25" customHeight="1">
      <c r="A347" s="27" t="s">
        <v>562</v>
      </c>
      <c r="B347" s="27" t="s">
        <v>563</v>
      </c>
      <c r="C347" s="29" t="s">
        <v>208</v>
      </c>
      <c r="D347" s="31"/>
      <c r="E347" s="32">
        <v>30.0</v>
      </c>
      <c r="F347" s="32">
        <v>24.0</v>
      </c>
      <c r="G347" s="32">
        <v>30.0</v>
      </c>
      <c r="H347" s="32">
        <v>36.0</v>
      </c>
    </row>
    <row r="348" ht="14.25" customHeight="1">
      <c r="A348" s="27" t="s">
        <v>562</v>
      </c>
      <c r="B348" s="27" t="s">
        <v>564</v>
      </c>
      <c r="C348" s="29" t="s">
        <v>208</v>
      </c>
      <c r="D348" s="31"/>
      <c r="E348" s="32">
        <v>30.0</v>
      </c>
      <c r="F348" s="32">
        <v>24.0</v>
      </c>
      <c r="G348" s="32">
        <v>30.0</v>
      </c>
      <c r="H348" s="32">
        <v>36.0</v>
      </c>
    </row>
    <row r="349" ht="14.25" customHeight="1">
      <c r="A349" s="27" t="s">
        <v>562</v>
      </c>
      <c r="B349" s="27" t="s">
        <v>565</v>
      </c>
      <c r="C349" s="29" t="s">
        <v>208</v>
      </c>
      <c r="D349" s="31"/>
      <c r="E349" s="32">
        <v>30.0</v>
      </c>
      <c r="F349" s="32">
        <v>24.0</v>
      </c>
      <c r="G349" s="32">
        <v>30.0</v>
      </c>
      <c r="H349" s="32">
        <v>36.0</v>
      </c>
    </row>
    <row r="350" ht="14.25" customHeight="1">
      <c r="A350" s="27" t="s">
        <v>566</v>
      </c>
      <c r="B350" s="27" t="s">
        <v>567</v>
      </c>
      <c r="C350" s="29" t="s">
        <v>43</v>
      </c>
      <c r="D350" s="31"/>
      <c r="E350" s="32">
        <v>50.0</v>
      </c>
      <c r="F350" s="32">
        <v>40.0</v>
      </c>
      <c r="G350" s="32">
        <v>50.0</v>
      </c>
      <c r="H350" s="32">
        <v>60.0</v>
      </c>
    </row>
    <row r="351" ht="14.25" customHeight="1">
      <c r="A351" s="27" t="s">
        <v>562</v>
      </c>
      <c r="B351" s="27" t="s">
        <v>568</v>
      </c>
      <c r="C351" s="29" t="s">
        <v>208</v>
      </c>
      <c r="D351" s="31"/>
      <c r="E351" s="32">
        <v>17.0</v>
      </c>
      <c r="F351" s="32">
        <v>14.0</v>
      </c>
      <c r="G351" s="32">
        <v>17.0</v>
      </c>
      <c r="H351" s="32">
        <v>20.0</v>
      </c>
    </row>
    <row r="352" ht="14.25" customHeight="1">
      <c r="A352" s="27" t="s">
        <v>562</v>
      </c>
      <c r="B352" s="27" t="s">
        <v>563</v>
      </c>
      <c r="C352" s="29" t="s">
        <v>208</v>
      </c>
      <c r="D352" s="31"/>
      <c r="E352" s="32">
        <v>28.0</v>
      </c>
      <c r="F352" s="32">
        <v>22.0</v>
      </c>
      <c r="G352" s="32">
        <v>28.0</v>
      </c>
      <c r="H352" s="32">
        <v>34.0</v>
      </c>
    </row>
    <row r="353" ht="14.25" customHeight="1">
      <c r="A353" s="27" t="s">
        <v>562</v>
      </c>
      <c r="B353" s="27" t="s">
        <v>564</v>
      </c>
      <c r="C353" s="29" t="s">
        <v>208</v>
      </c>
      <c r="D353" s="31"/>
      <c r="E353" s="32">
        <v>28.0</v>
      </c>
      <c r="F353" s="32">
        <v>22.0</v>
      </c>
      <c r="G353" s="32">
        <v>28.0</v>
      </c>
      <c r="H353" s="32">
        <v>34.0</v>
      </c>
    </row>
    <row r="354" ht="14.25" customHeight="1">
      <c r="A354" s="27" t="s">
        <v>562</v>
      </c>
      <c r="B354" s="27" t="s">
        <v>569</v>
      </c>
      <c r="C354" s="29" t="s">
        <v>43</v>
      </c>
      <c r="D354" s="31"/>
      <c r="E354" s="32">
        <v>1.0</v>
      </c>
      <c r="F354" s="32">
        <v>1.0</v>
      </c>
      <c r="G354" s="32">
        <v>1.0</v>
      </c>
      <c r="H354" s="32">
        <v>1.0</v>
      </c>
    </row>
    <row r="355" ht="14.25" customHeight="1">
      <c r="A355" s="27" t="s">
        <v>570</v>
      </c>
      <c r="B355" s="27" t="s">
        <v>571</v>
      </c>
      <c r="C355" s="29" t="s">
        <v>43</v>
      </c>
      <c r="D355" s="31"/>
      <c r="E355" s="32">
        <v>20.0</v>
      </c>
      <c r="F355" s="32">
        <v>16.0</v>
      </c>
      <c r="G355" s="32">
        <v>20.0</v>
      </c>
      <c r="H355" s="32">
        <v>24.0</v>
      </c>
    </row>
    <row r="356" ht="14.25" customHeight="1">
      <c r="A356" s="27" t="s">
        <v>572</v>
      </c>
      <c r="B356" s="27" t="s">
        <v>573</v>
      </c>
      <c r="C356" s="29" t="s">
        <v>43</v>
      </c>
      <c r="D356" s="31"/>
      <c r="E356" s="32">
        <v>20.0</v>
      </c>
      <c r="F356" s="32">
        <v>16.0</v>
      </c>
      <c r="G356" s="32">
        <v>20.0</v>
      </c>
      <c r="H356" s="32">
        <v>24.0</v>
      </c>
    </row>
    <row r="357" ht="14.25" customHeight="1">
      <c r="A357" s="27" t="s">
        <v>572</v>
      </c>
      <c r="B357" s="27" t="s">
        <v>574</v>
      </c>
      <c r="C357" s="29" t="s">
        <v>43</v>
      </c>
      <c r="D357" s="31"/>
      <c r="E357" s="32">
        <v>20.0</v>
      </c>
      <c r="F357" s="32">
        <v>16.0</v>
      </c>
      <c r="G357" s="32">
        <v>20.0</v>
      </c>
      <c r="H357" s="32">
        <v>24.0</v>
      </c>
    </row>
    <row r="358" ht="14.25" customHeight="1">
      <c r="A358" s="27" t="s">
        <v>572</v>
      </c>
      <c r="B358" s="27" t="s">
        <v>575</v>
      </c>
      <c r="C358" s="29" t="s">
        <v>43</v>
      </c>
      <c r="D358" s="31"/>
      <c r="E358" s="32">
        <v>20.0</v>
      </c>
      <c r="F358" s="32">
        <v>16.0</v>
      </c>
      <c r="G358" s="32">
        <v>20.0</v>
      </c>
      <c r="H358" s="32">
        <v>24.0</v>
      </c>
    </row>
    <row r="359" ht="14.25" customHeight="1">
      <c r="A359" s="27" t="s">
        <v>576</v>
      </c>
      <c r="B359" s="27" t="s">
        <v>577</v>
      </c>
      <c r="C359" s="29" t="s">
        <v>43</v>
      </c>
      <c r="D359" s="31"/>
      <c r="E359" s="32">
        <v>20.0</v>
      </c>
      <c r="F359" s="32">
        <v>16.0</v>
      </c>
      <c r="G359" s="32">
        <v>20.0</v>
      </c>
      <c r="H359" s="32">
        <v>24.0</v>
      </c>
    </row>
    <row r="360" ht="14.25" customHeight="1">
      <c r="A360" s="27" t="s">
        <v>576</v>
      </c>
      <c r="B360" s="27" t="s">
        <v>578</v>
      </c>
      <c r="C360" s="29" t="s">
        <v>43</v>
      </c>
      <c r="D360" s="31"/>
      <c r="E360" s="32">
        <v>20.0</v>
      </c>
      <c r="F360" s="32">
        <v>16.0</v>
      </c>
      <c r="G360" s="32">
        <v>20.0</v>
      </c>
      <c r="H360" s="32">
        <v>24.0</v>
      </c>
    </row>
    <row r="361" ht="14.25" customHeight="1">
      <c r="A361" s="27" t="s">
        <v>576</v>
      </c>
      <c r="B361" s="27" t="s">
        <v>579</v>
      </c>
      <c r="C361" s="29" t="s">
        <v>43</v>
      </c>
      <c r="D361" s="31"/>
      <c r="E361" s="32">
        <v>20.0</v>
      </c>
      <c r="F361" s="32">
        <v>16.0</v>
      </c>
      <c r="G361" s="32">
        <v>20.0</v>
      </c>
      <c r="H361" s="32">
        <v>24.0</v>
      </c>
    </row>
    <row r="362" ht="14.25" customHeight="1">
      <c r="A362" s="27" t="s">
        <v>580</v>
      </c>
      <c r="B362" s="27" t="s">
        <v>581</v>
      </c>
      <c r="C362" s="29" t="s">
        <v>43</v>
      </c>
      <c r="D362" s="31"/>
      <c r="E362" s="32">
        <v>78.0</v>
      </c>
      <c r="F362" s="32">
        <v>62.0</v>
      </c>
      <c r="G362" s="32">
        <v>78.0</v>
      </c>
      <c r="H362" s="32">
        <v>93.0</v>
      </c>
    </row>
    <row r="363" ht="14.25" customHeight="1">
      <c r="A363" s="27" t="s">
        <v>582</v>
      </c>
      <c r="B363" s="27" t="s">
        <v>583</v>
      </c>
      <c r="C363" s="29" t="s">
        <v>43</v>
      </c>
      <c r="D363" s="31"/>
      <c r="E363" s="32">
        <v>100.0</v>
      </c>
      <c r="F363" s="32">
        <v>80.0</v>
      </c>
      <c r="G363" s="32">
        <v>100.0</v>
      </c>
      <c r="H363" s="32">
        <v>120.0</v>
      </c>
    </row>
    <row r="364" ht="14.25" customHeight="1">
      <c r="A364" s="27" t="s">
        <v>584</v>
      </c>
      <c r="B364" s="27" t="s">
        <v>585</v>
      </c>
      <c r="C364" s="29" t="s">
        <v>43</v>
      </c>
      <c r="D364" s="31"/>
      <c r="E364" s="32">
        <v>10.0</v>
      </c>
      <c r="F364" s="32">
        <v>8.0</v>
      </c>
      <c r="G364" s="32">
        <v>10.0</v>
      </c>
      <c r="H364" s="32">
        <v>12.0</v>
      </c>
    </row>
    <row r="365" ht="14.25" customHeight="1">
      <c r="A365" s="27" t="s">
        <v>586</v>
      </c>
      <c r="B365" s="27" t="s">
        <v>587</v>
      </c>
      <c r="C365" s="29" t="s">
        <v>43</v>
      </c>
      <c r="D365" s="31"/>
      <c r="E365" s="32">
        <v>10.0</v>
      </c>
      <c r="F365" s="32">
        <v>8.0</v>
      </c>
      <c r="G365" s="32">
        <v>10.0</v>
      </c>
      <c r="H365" s="32">
        <v>12.0</v>
      </c>
    </row>
    <row r="366" ht="14.25" customHeight="1">
      <c r="A366" s="27" t="s">
        <v>588</v>
      </c>
      <c r="B366" s="27" t="s">
        <v>588</v>
      </c>
      <c r="C366" s="29" t="s">
        <v>43</v>
      </c>
      <c r="D366" s="31"/>
      <c r="E366" s="32">
        <v>1.0</v>
      </c>
      <c r="F366" s="32">
        <v>1.0</v>
      </c>
      <c r="G366" s="32">
        <v>1.0</v>
      </c>
      <c r="H366" s="32">
        <v>1.0</v>
      </c>
    </row>
    <row r="367" ht="14.25" customHeight="1">
      <c r="A367" s="27" t="s">
        <v>589</v>
      </c>
      <c r="B367" s="27" t="s">
        <v>590</v>
      </c>
      <c r="C367" s="29" t="s">
        <v>43</v>
      </c>
      <c r="D367" s="31"/>
      <c r="E367" s="32">
        <v>50.0</v>
      </c>
      <c r="F367" s="32">
        <v>40.0</v>
      </c>
      <c r="G367" s="32">
        <v>50.0</v>
      </c>
      <c r="H367" s="32">
        <v>60.0</v>
      </c>
    </row>
    <row r="368" ht="14.25" customHeight="1">
      <c r="A368" s="27" t="s">
        <v>589</v>
      </c>
      <c r="B368" s="27" t="s">
        <v>591</v>
      </c>
      <c r="C368" s="29" t="s">
        <v>43</v>
      </c>
      <c r="D368" s="31"/>
      <c r="E368" s="32">
        <v>50.0</v>
      </c>
      <c r="F368" s="32">
        <v>40.0</v>
      </c>
      <c r="G368" s="32">
        <v>50.0</v>
      </c>
      <c r="H368" s="32">
        <v>60.0</v>
      </c>
    </row>
    <row r="369" ht="14.25" customHeight="1">
      <c r="A369" s="27" t="s">
        <v>592</v>
      </c>
      <c r="B369" s="27" t="s">
        <v>592</v>
      </c>
      <c r="C369" s="29" t="s">
        <v>43</v>
      </c>
      <c r="D369" s="31"/>
      <c r="E369" s="32">
        <v>1.0</v>
      </c>
      <c r="F369" s="32">
        <v>1.0</v>
      </c>
      <c r="G369" s="32">
        <v>1.0</v>
      </c>
      <c r="H369" s="32">
        <v>1.0</v>
      </c>
    </row>
    <row r="370" ht="14.25" customHeight="1">
      <c r="A370" s="27" t="s">
        <v>593</v>
      </c>
      <c r="B370" s="27" t="s">
        <v>594</v>
      </c>
      <c r="C370" s="29" t="s">
        <v>43</v>
      </c>
      <c r="D370" s="31"/>
      <c r="E370" s="32">
        <v>53.0</v>
      </c>
      <c r="F370" s="32">
        <v>42.0</v>
      </c>
      <c r="G370" s="32">
        <v>53.0</v>
      </c>
      <c r="H370" s="32">
        <v>63.0</v>
      </c>
    </row>
    <row r="371" ht="14.25" customHeight="1">
      <c r="A371" s="27" t="s">
        <v>593</v>
      </c>
      <c r="B371" s="27" t="s">
        <v>595</v>
      </c>
      <c r="C371" s="29" t="s">
        <v>43</v>
      </c>
      <c r="D371" s="31"/>
      <c r="E371" s="32">
        <v>53.0</v>
      </c>
      <c r="F371" s="32">
        <v>42.0</v>
      </c>
      <c r="G371" s="32">
        <v>53.0</v>
      </c>
      <c r="H371" s="32">
        <v>63.0</v>
      </c>
    </row>
    <row r="372" ht="14.25" customHeight="1">
      <c r="A372" s="27" t="s">
        <v>596</v>
      </c>
      <c r="B372" s="27" t="s">
        <v>597</v>
      </c>
      <c r="C372" s="29" t="s">
        <v>43</v>
      </c>
      <c r="D372" s="31"/>
      <c r="E372" s="32">
        <v>45.0</v>
      </c>
      <c r="F372" s="32">
        <v>36.0</v>
      </c>
      <c r="G372" s="32">
        <v>45.0</v>
      </c>
      <c r="H372" s="32">
        <v>54.0</v>
      </c>
    </row>
    <row r="373" ht="14.25" customHeight="1">
      <c r="A373" s="27" t="s">
        <v>596</v>
      </c>
      <c r="B373" s="27" t="s">
        <v>598</v>
      </c>
      <c r="C373" s="29" t="s">
        <v>43</v>
      </c>
      <c r="D373" s="31"/>
      <c r="E373" s="32">
        <v>45.0</v>
      </c>
      <c r="F373" s="32">
        <v>36.0</v>
      </c>
      <c r="G373" s="32">
        <v>45.0</v>
      </c>
      <c r="H373" s="32">
        <v>54.0</v>
      </c>
    </row>
    <row r="374" ht="14.25" customHeight="1">
      <c r="A374" s="27" t="s">
        <v>287</v>
      </c>
      <c r="B374" s="27" t="s">
        <v>599</v>
      </c>
      <c r="C374" s="29" t="s">
        <v>43</v>
      </c>
      <c r="D374" s="31"/>
      <c r="E374" s="32">
        <v>24.0</v>
      </c>
      <c r="F374" s="32">
        <v>14.0</v>
      </c>
      <c r="G374" s="32">
        <v>24.0</v>
      </c>
      <c r="H374" s="32">
        <v>34.0</v>
      </c>
    </row>
    <row r="375" ht="14.25" customHeight="1">
      <c r="A375" s="27" t="s">
        <v>600</v>
      </c>
      <c r="B375" s="27" t="s">
        <v>601</v>
      </c>
      <c r="C375" s="29" t="s">
        <v>43</v>
      </c>
      <c r="D375" s="31"/>
      <c r="E375" s="32">
        <v>100.0</v>
      </c>
      <c r="F375" s="32">
        <v>80.0</v>
      </c>
      <c r="G375" s="32">
        <v>100.0</v>
      </c>
      <c r="H375" s="32">
        <v>120.0</v>
      </c>
    </row>
    <row r="376" ht="14.25" customHeight="1">
      <c r="A376" s="27" t="s">
        <v>380</v>
      </c>
      <c r="B376" s="27" t="s">
        <v>602</v>
      </c>
      <c r="C376" s="29" t="s">
        <v>43</v>
      </c>
      <c r="D376" s="31"/>
      <c r="E376" s="32">
        <v>30.0</v>
      </c>
      <c r="F376" s="32">
        <v>16.0</v>
      </c>
      <c r="G376" s="32">
        <v>30.0</v>
      </c>
      <c r="H376" s="32">
        <v>40.0</v>
      </c>
    </row>
    <row r="377" ht="14.25" customHeight="1">
      <c r="A377" s="27" t="s">
        <v>603</v>
      </c>
      <c r="B377" s="27" t="s">
        <v>604</v>
      </c>
      <c r="C377" s="29" t="s">
        <v>43</v>
      </c>
      <c r="D377" s="31"/>
      <c r="E377" s="32">
        <v>24.0</v>
      </c>
      <c r="F377" s="32">
        <v>19.0</v>
      </c>
      <c r="G377" s="32">
        <v>24.0</v>
      </c>
      <c r="H377" s="32">
        <v>29.0</v>
      </c>
    </row>
    <row r="378" ht="14.25" customHeight="1">
      <c r="A378" s="27" t="s">
        <v>605</v>
      </c>
      <c r="B378" s="27" t="s">
        <v>606</v>
      </c>
      <c r="C378" s="29" t="s">
        <v>30</v>
      </c>
      <c r="D378" s="31"/>
      <c r="E378" s="32">
        <v>38.0</v>
      </c>
      <c r="F378" s="32">
        <v>35.0</v>
      </c>
      <c r="G378" s="32">
        <v>38.0</v>
      </c>
      <c r="H378" s="32">
        <v>41.0</v>
      </c>
    </row>
    <row r="379" ht="14.25" customHeight="1">
      <c r="A379" s="27" t="s">
        <v>605</v>
      </c>
      <c r="B379" s="27" t="s">
        <v>607</v>
      </c>
      <c r="C379" s="29" t="s">
        <v>30</v>
      </c>
      <c r="D379" s="31"/>
      <c r="E379" s="32">
        <v>38.0</v>
      </c>
      <c r="F379" s="32">
        <v>35.0</v>
      </c>
      <c r="G379" s="32">
        <v>38.0</v>
      </c>
      <c r="H379" s="32">
        <v>41.0</v>
      </c>
    </row>
    <row r="380" ht="14.25" customHeight="1">
      <c r="A380" s="27" t="s">
        <v>608</v>
      </c>
      <c r="B380" s="27" t="s">
        <v>609</v>
      </c>
      <c r="C380" s="29" t="s">
        <v>43</v>
      </c>
      <c r="D380" s="31"/>
      <c r="E380" s="32">
        <v>35.0</v>
      </c>
      <c r="F380" s="32">
        <v>28.0</v>
      </c>
      <c r="G380" s="32">
        <v>35.0</v>
      </c>
      <c r="H380" s="32">
        <v>42.0</v>
      </c>
    </row>
    <row r="381" ht="14.25" customHeight="1">
      <c r="A381" s="27" t="s">
        <v>610</v>
      </c>
      <c r="B381" s="27" t="s">
        <v>611</v>
      </c>
      <c r="C381" s="29" t="s">
        <v>43</v>
      </c>
      <c r="D381" s="31"/>
      <c r="E381" s="32">
        <v>20.0</v>
      </c>
      <c r="F381" s="32">
        <v>16.0</v>
      </c>
      <c r="G381" s="32">
        <v>20.0</v>
      </c>
      <c r="H381" s="32">
        <v>24.0</v>
      </c>
    </row>
    <row r="382" ht="14.25" customHeight="1">
      <c r="A382" s="27" t="s">
        <v>612</v>
      </c>
      <c r="B382" s="27" t="s">
        <v>613</v>
      </c>
      <c r="C382" s="29" t="s">
        <v>43</v>
      </c>
      <c r="D382" s="31"/>
      <c r="E382" s="32">
        <v>40.0</v>
      </c>
      <c r="F382" s="32">
        <v>32.0</v>
      </c>
      <c r="G382" s="32">
        <v>40.0</v>
      </c>
      <c r="H382" s="32">
        <v>48.0</v>
      </c>
    </row>
    <row r="383" ht="14.25" customHeight="1">
      <c r="A383" s="27" t="s">
        <v>614</v>
      </c>
      <c r="B383" s="27" t="s">
        <v>615</v>
      </c>
      <c r="C383" s="29" t="s">
        <v>43</v>
      </c>
      <c r="D383" s="31"/>
      <c r="E383" s="32">
        <v>10.0</v>
      </c>
      <c r="F383" s="32">
        <v>8.0</v>
      </c>
      <c r="G383" s="32">
        <v>10.0</v>
      </c>
      <c r="H383" s="32">
        <v>12.0</v>
      </c>
    </row>
    <row r="384" ht="14.25" customHeight="1">
      <c r="A384" s="27" t="s">
        <v>616</v>
      </c>
      <c r="B384" s="27" t="s">
        <v>617</v>
      </c>
      <c r="C384" s="29" t="s">
        <v>43</v>
      </c>
      <c r="D384" s="31"/>
      <c r="E384" s="32">
        <v>20.0</v>
      </c>
      <c r="F384" s="32">
        <v>16.0</v>
      </c>
      <c r="G384" s="32">
        <v>20.0</v>
      </c>
      <c r="H384" s="32">
        <v>24.0</v>
      </c>
    </row>
    <row r="385" ht="14.25" customHeight="1">
      <c r="A385" s="27" t="s">
        <v>618</v>
      </c>
      <c r="B385" s="27" t="s">
        <v>619</v>
      </c>
      <c r="C385" s="29" t="s">
        <v>43</v>
      </c>
      <c r="D385" s="31"/>
      <c r="E385" s="32">
        <v>20.0</v>
      </c>
      <c r="F385" s="32">
        <v>16.0</v>
      </c>
      <c r="G385" s="32">
        <v>20.0</v>
      </c>
      <c r="H385" s="32">
        <v>24.0</v>
      </c>
    </row>
    <row r="386" ht="14.25" customHeight="1">
      <c r="A386" s="27" t="s">
        <v>620</v>
      </c>
      <c r="B386" s="27" t="s">
        <v>152</v>
      </c>
      <c r="C386" s="29" t="s">
        <v>43</v>
      </c>
      <c r="D386" s="31"/>
      <c r="E386" s="32">
        <v>16.0</v>
      </c>
      <c r="F386" s="32">
        <v>11.0</v>
      </c>
      <c r="G386" s="32">
        <v>16.0</v>
      </c>
      <c r="H386" s="32">
        <v>23.0</v>
      </c>
    </row>
    <row r="387" ht="14.25" customHeight="1">
      <c r="A387" s="27" t="s">
        <v>621</v>
      </c>
      <c r="B387" s="27" t="s">
        <v>622</v>
      </c>
      <c r="C387" s="29" t="s">
        <v>43</v>
      </c>
      <c r="D387" s="31"/>
      <c r="E387" s="32">
        <v>50.0</v>
      </c>
      <c r="F387" s="32">
        <v>40.0</v>
      </c>
      <c r="G387" s="32">
        <v>50.0</v>
      </c>
      <c r="H387" s="32">
        <v>60.0</v>
      </c>
    </row>
    <row r="388" ht="14.25" customHeight="1">
      <c r="A388" s="27" t="s">
        <v>623</v>
      </c>
      <c r="B388" s="27" t="s">
        <v>624</v>
      </c>
      <c r="C388" s="29" t="s">
        <v>30</v>
      </c>
      <c r="D388" s="31"/>
      <c r="E388" s="32">
        <v>65.0</v>
      </c>
      <c r="F388" s="32">
        <v>45.0</v>
      </c>
      <c r="G388" s="32">
        <v>65.0</v>
      </c>
      <c r="H388" s="32">
        <v>88.0</v>
      </c>
    </row>
    <row r="389" ht="14.25" customHeight="1">
      <c r="A389" s="27" t="s">
        <v>623</v>
      </c>
      <c r="B389" s="27" t="s">
        <v>625</v>
      </c>
      <c r="C389" s="29" t="s">
        <v>30</v>
      </c>
      <c r="D389" s="31"/>
      <c r="E389" s="32">
        <v>65.0</v>
      </c>
      <c r="F389" s="32">
        <v>45.0</v>
      </c>
      <c r="G389" s="32">
        <v>65.0</v>
      </c>
      <c r="H389" s="32">
        <v>88.0</v>
      </c>
    </row>
    <row r="390" ht="14.25" customHeight="1">
      <c r="A390" s="27" t="s">
        <v>623</v>
      </c>
      <c r="B390" s="27" t="s">
        <v>626</v>
      </c>
      <c r="C390" s="29" t="s">
        <v>30</v>
      </c>
      <c r="D390" s="31"/>
      <c r="E390" s="32">
        <v>65.0</v>
      </c>
      <c r="F390" s="32">
        <v>45.0</v>
      </c>
      <c r="G390" s="32">
        <v>65.0</v>
      </c>
      <c r="H390" s="32">
        <v>88.0</v>
      </c>
    </row>
    <row r="391" ht="14.25" customHeight="1">
      <c r="A391" s="27" t="s">
        <v>623</v>
      </c>
      <c r="B391" s="27" t="s">
        <v>627</v>
      </c>
      <c r="C391" s="29" t="s">
        <v>43</v>
      </c>
      <c r="D391" s="31"/>
      <c r="E391" s="32">
        <v>50.0</v>
      </c>
      <c r="F391" s="32">
        <v>37.0</v>
      </c>
      <c r="G391" s="32">
        <v>50.0</v>
      </c>
      <c r="H391" s="32">
        <v>63.0</v>
      </c>
    </row>
    <row r="392" ht="14.25" customHeight="1">
      <c r="A392" s="27" t="s">
        <v>623</v>
      </c>
      <c r="B392" s="27" t="s">
        <v>628</v>
      </c>
      <c r="C392" s="29" t="s">
        <v>43</v>
      </c>
      <c r="D392" s="31"/>
      <c r="E392" s="32">
        <v>16.0</v>
      </c>
      <c r="F392" s="32">
        <v>11.0</v>
      </c>
      <c r="G392" s="32">
        <v>16.0</v>
      </c>
      <c r="H392" s="32">
        <v>23.0</v>
      </c>
    </row>
    <row r="393" ht="14.25" customHeight="1">
      <c r="A393" s="27" t="s">
        <v>623</v>
      </c>
      <c r="B393" s="27" t="s">
        <v>629</v>
      </c>
      <c r="C393" s="29" t="s">
        <v>43</v>
      </c>
      <c r="D393" s="31"/>
      <c r="E393" s="32">
        <v>31.0</v>
      </c>
      <c r="F393" s="32">
        <v>23.0</v>
      </c>
      <c r="G393" s="32">
        <v>31.0</v>
      </c>
      <c r="H393" s="32">
        <v>40.0</v>
      </c>
    </row>
    <row r="394" ht="14.25" customHeight="1">
      <c r="A394" s="27" t="s">
        <v>623</v>
      </c>
      <c r="B394" s="27" t="s">
        <v>630</v>
      </c>
      <c r="C394" s="29" t="s">
        <v>43</v>
      </c>
      <c r="D394" s="31"/>
      <c r="E394" s="32">
        <v>16.0</v>
      </c>
      <c r="F394" s="32">
        <v>11.0</v>
      </c>
      <c r="G394" s="32">
        <v>16.0</v>
      </c>
      <c r="H394" s="32">
        <v>23.0</v>
      </c>
    </row>
    <row r="395" ht="14.25" customHeight="1">
      <c r="A395" s="27" t="s">
        <v>623</v>
      </c>
      <c r="B395" s="27" t="s">
        <v>631</v>
      </c>
      <c r="C395" s="29" t="s">
        <v>43</v>
      </c>
      <c r="D395" s="31"/>
      <c r="E395" s="32">
        <v>30.0</v>
      </c>
      <c r="F395" s="32">
        <v>24.0</v>
      </c>
      <c r="G395" s="32">
        <v>30.0</v>
      </c>
      <c r="H395" s="32">
        <v>36.0</v>
      </c>
    </row>
    <row r="396" ht="14.25" customHeight="1">
      <c r="A396" s="27" t="s">
        <v>623</v>
      </c>
      <c r="B396" s="27" t="s">
        <v>632</v>
      </c>
      <c r="C396" s="29" t="s">
        <v>43</v>
      </c>
      <c r="D396" s="31"/>
      <c r="E396" s="32">
        <v>30.0</v>
      </c>
      <c r="F396" s="32">
        <v>24.0</v>
      </c>
      <c r="G396" s="32">
        <v>30.0</v>
      </c>
      <c r="H396" s="32">
        <v>36.0</v>
      </c>
    </row>
    <row r="397" ht="14.25" customHeight="1">
      <c r="A397" s="27" t="s">
        <v>623</v>
      </c>
      <c r="B397" s="27" t="s">
        <v>633</v>
      </c>
      <c r="C397" s="29" t="s">
        <v>43</v>
      </c>
      <c r="D397" s="31"/>
      <c r="E397" s="32">
        <v>30.0</v>
      </c>
      <c r="F397" s="32">
        <v>24.0</v>
      </c>
      <c r="G397" s="32">
        <v>30.0</v>
      </c>
      <c r="H397" s="32">
        <v>36.0</v>
      </c>
    </row>
    <row r="398" ht="14.25" customHeight="1">
      <c r="A398" s="27" t="s">
        <v>623</v>
      </c>
      <c r="B398" s="27" t="s">
        <v>634</v>
      </c>
      <c r="C398" s="29" t="s">
        <v>43</v>
      </c>
      <c r="D398" s="31"/>
      <c r="E398" s="32">
        <v>30.0</v>
      </c>
      <c r="F398" s="32">
        <v>24.0</v>
      </c>
      <c r="G398" s="32">
        <v>30.0</v>
      </c>
      <c r="H398" s="32">
        <v>36.0</v>
      </c>
    </row>
    <row r="399" ht="14.25" customHeight="1">
      <c r="A399" s="27" t="s">
        <v>623</v>
      </c>
      <c r="B399" s="27" t="s">
        <v>635</v>
      </c>
      <c r="C399" s="29" t="s">
        <v>43</v>
      </c>
      <c r="D399" s="31"/>
      <c r="E399" s="32">
        <v>30.0</v>
      </c>
      <c r="F399" s="32">
        <v>24.0</v>
      </c>
      <c r="G399" s="32">
        <v>30.0</v>
      </c>
      <c r="H399" s="32">
        <v>36.0</v>
      </c>
    </row>
    <row r="400" ht="14.25" customHeight="1">
      <c r="A400" s="27" t="s">
        <v>623</v>
      </c>
      <c r="B400" s="27" t="s">
        <v>636</v>
      </c>
      <c r="C400" s="29" t="s">
        <v>43</v>
      </c>
      <c r="D400" s="31"/>
      <c r="E400" s="32">
        <v>65.0</v>
      </c>
      <c r="F400" s="32">
        <v>52.0</v>
      </c>
      <c r="G400" s="32">
        <v>65.0</v>
      </c>
      <c r="H400" s="32">
        <v>78.0</v>
      </c>
    </row>
    <row r="401" ht="14.25" customHeight="1">
      <c r="A401" s="27" t="s">
        <v>637</v>
      </c>
      <c r="B401" s="27" t="s">
        <v>607</v>
      </c>
      <c r="C401" s="29" t="s">
        <v>30</v>
      </c>
      <c r="D401" s="31"/>
      <c r="E401" s="32">
        <v>38.0</v>
      </c>
      <c r="F401" s="32">
        <v>35.0</v>
      </c>
      <c r="G401" s="32">
        <v>38.0</v>
      </c>
      <c r="H401" s="32">
        <v>41.0</v>
      </c>
    </row>
    <row r="402" ht="14.25" customHeight="1">
      <c r="A402" s="27" t="s">
        <v>638</v>
      </c>
      <c r="B402" s="27" t="s">
        <v>639</v>
      </c>
      <c r="C402" s="29" t="s">
        <v>43</v>
      </c>
      <c r="D402" s="31"/>
      <c r="E402" s="32">
        <v>2.0</v>
      </c>
      <c r="F402" s="32">
        <v>2.0</v>
      </c>
      <c r="G402" s="32">
        <v>2.0</v>
      </c>
      <c r="H402" s="32">
        <v>3.0</v>
      </c>
    </row>
    <row r="403" ht="14.25" customHeight="1">
      <c r="A403" s="27" t="s">
        <v>640</v>
      </c>
      <c r="B403" s="27" t="s">
        <v>641</v>
      </c>
      <c r="C403" s="29" t="s">
        <v>43</v>
      </c>
      <c r="D403" s="31"/>
      <c r="E403" s="32">
        <v>10.0</v>
      </c>
      <c r="F403" s="32">
        <v>8.0</v>
      </c>
      <c r="G403" s="32">
        <v>10.0</v>
      </c>
      <c r="H403" s="32">
        <v>12.0</v>
      </c>
    </row>
    <row r="404" ht="14.25" customHeight="1">
      <c r="A404" s="27" t="s">
        <v>249</v>
      </c>
      <c r="B404" s="27" t="s">
        <v>642</v>
      </c>
      <c r="C404" s="29" t="s">
        <v>43</v>
      </c>
      <c r="D404" s="31"/>
      <c r="E404" s="32">
        <v>1.0</v>
      </c>
      <c r="F404" s="32">
        <v>1.0</v>
      </c>
      <c r="G404" s="32">
        <v>1.0</v>
      </c>
      <c r="H404" s="32">
        <v>1.0</v>
      </c>
    </row>
    <row r="405" ht="14.25" customHeight="1">
      <c r="A405" s="27" t="s">
        <v>249</v>
      </c>
      <c r="B405" s="27" t="s">
        <v>643</v>
      </c>
      <c r="C405" s="29" t="s">
        <v>43</v>
      </c>
      <c r="D405" s="31"/>
      <c r="E405" s="32">
        <v>1.0</v>
      </c>
      <c r="F405" s="32">
        <v>1.0</v>
      </c>
      <c r="G405" s="32">
        <v>1.0</v>
      </c>
      <c r="H405" s="32">
        <v>1.0</v>
      </c>
    </row>
    <row r="406" ht="14.25" customHeight="1">
      <c r="A406" s="27" t="s">
        <v>249</v>
      </c>
      <c r="B406" s="27" t="s">
        <v>644</v>
      </c>
      <c r="C406" s="29" t="s">
        <v>43</v>
      </c>
      <c r="D406" s="31"/>
      <c r="E406" s="32">
        <v>1.0</v>
      </c>
      <c r="F406" s="32">
        <v>1.0</v>
      </c>
      <c r="G406" s="32">
        <v>1.0</v>
      </c>
      <c r="H406" s="32">
        <v>1.0</v>
      </c>
    </row>
    <row r="407" ht="14.25" customHeight="1">
      <c r="A407" s="27" t="s">
        <v>645</v>
      </c>
      <c r="B407" s="27" t="s">
        <v>251</v>
      </c>
      <c r="C407" s="29" t="s">
        <v>43</v>
      </c>
      <c r="D407" s="31"/>
      <c r="E407" s="32">
        <v>12.0</v>
      </c>
      <c r="F407" s="32">
        <v>9.0</v>
      </c>
      <c r="G407" s="32">
        <v>12.0</v>
      </c>
      <c r="H407" s="32">
        <v>15.0</v>
      </c>
    </row>
    <row r="408" ht="14.25" customHeight="1">
      <c r="A408" s="27" t="s">
        <v>646</v>
      </c>
      <c r="B408" s="27" t="s">
        <v>647</v>
      </c>
      <c r="C408" s="29" t="s">
        <v>43</v>
      </c>
      <c r="D408" s="31"/>
      <c r="E408" s="32">
        <v>12.0</v>
      </c>
      <c r="F408" s="32">
        <v>10.0</v>
      </c>
      <c r="G408" s="32">
        <v>12.0</v>
      </c>
      <c r="H408" s="32">
        <v>14.0</v>
      </c>
    </row>
    <row r="409" ht="14.25" customHeight="1">
      <c r="A409" s="27" t="s">
        <v>648</v>
      </c>
      <c r="B409" s="27" t="s">
        <v>649</v>
      </c>
      <c r="C409" s="29" t="s">
        <v>43</v>
      </c>
      <c r="D409" s="31"/>
      <c r="E409" s="32">
        <v>14.0</v>
      </c>
      <c r="F409" s="32">
        <v>11.0</v>
      </c>
      <c r="G409" s="32">
        <v>14.0</v>
      </c>
      <c r="H409" s="32">
        <v>17.0</v>
      </c>
    </row>
    <row r="410" ht="14.25" customHeight="1">
      <c r="A410" s="27" t="s">
        <v>650</v>
      </c>
      <c r="B410" s="27" t="s">
        <v>651</v>
      </c>
      <c r="C410" s="29" t="s">
        <v>43</v>
      </c>
      <c r="D410" s="31"/>
      <c r="E410" s="32">
        <v>30.0</v>
      </c>
      <c r="F410" s="32">
        <v>24.0</v>
      </c>
      <c r="G410" s="32">
        <v>30.0</v>
      </c>
      <c r="H410" s="32">
        <v>36.0</v>
      </c>
    </row>
    <row r="411" ht="14.25" customHeight="1">
      <c r="A411" s="27" t="s">
        <v>652</v>
      </c>
      <c r="B411" s="27" t="s">
        <v>653</v>
      </c>
      <c r="C411" s="29" t="s">
        <v>43</v>
      </c>
      <c r="D411" s="31"/>
      <c r="E411" s="32">
        <v>24.0</v>
      </c>
      <c r="F411" s="32">
        <v>19.0</v>
      </c>
      <c r="G411" s="32">
        <v>24.0</v>
      </c>
      <c r="H411" s="32">
        <v>29.0</v>
      </c>
    </row>
    <row r="412" ht="14.25" customHeight="1">
      <c r="A412" s="27" t="s">
        <v>654</v>
      </c>
      <c r="B412" s="27" t="s">
        <v>655</v>
      </c>
      <c r="C412" s="29" t="s">
        <v>43</v>
      </c>
      <c r="D412" s="31"/>
      <c r="E412" s="32">
        <v>5.0</v>
      </c>
      <c r="F412" s="32">
        <v>4.0</v>
      </c>
      <c r="G412" s="32">
        <v>5.0</v>
      </c>
      <c r="H412" s="32">
        <v>6.0</v>
      </c>
    </row>
    <row r="413" ht="14.25" customHeight="1">
      <c r="A413" s="27" t="s">
        <v>654</v>
      </c>
      <c r="B413" s="27" t="s">
        <v>656</v>
      </c>
      <c r="C413" s="29" t="s">
        <v>43</v>
      </c>
      <c r="D413" s="31"/>
      <c r="E413" s="32">
        <v>5.0</v>
      </c>
      <c r="F413" s="32">
        <v>4.0</v>
      </c>
      <c r="G413" s="32">
        <v>5.0</v>
      </c>
      <c r="H413" s="32">
        <v>6.0</v>
      </c>
    </row>
    <row r="414" ht="14.25" customHeight="1">
      <c r="A414" s="27" t="s">
        <v>654</v>
      </c>
      <c r="B414" s="27" t="s">
        <v>657</v>
      </c>
      <c r="C414" s="29" t="s">
        <v>43</v>
      </c>
      <c r="D414" s="31"/>
      <c r="E414" s="32">
        <v>5.0</v>
      </c>
      <c r="F414" s="32">
        <v>4.0</v>
      </c>
      <c r="G414" s="32">
        <v>5.0</v>
      </c>
      <c r="H414" s="32">
        <v>6.0</v>
      </c>
    </row>
    <row r="415" ht="14.25" customHeight="1">
      <c r="A415" s="27" t="s">
        <v>654</v>
      </c>
      <c r="B415" s="27" t="s">
        <v>658</v>
      </c>
      <c r="C415" s="29" t="s">
        <v>43</v>
      </c>
      <c r="D415" s="31"/>
      <c r="E415" s="32">
        <v>5.0</v>
      </c>
      <c r="F415" s="32">
        <v>4.0</v>
      </c>
      <c r="G415" s="32">
        <v>5.0</v>
      </c>
      <c r="H415" s="32">
        <v>6.0</v>
      </c>
    </row>
    <row r="416" ht="14.25" customHeight="1">
      <c r="A416" s="27" t="s">
        <v>654</v>
      </c>
      <c r="B416" s="27" t="s">
        <v>659</v>
      </c>
      <c r="C416" s="29" t="s">
        <v>43</v>
      </c>
      <c r="D416" s="31"/>
      <c r="E416" s="32">
        <v>5.0</v>
      </c>
      <c r="F416" s="32">
        <v>4.0</v>
      </c>
      <c r="G416" s="32">
        <v>5.0</v>
      </c>
      <c r="H416" s="32">
        <v>6.0</v>
      </c>
    </row>
    <row r="417" ht="14.25" customHeight="1">
      <c r="A417" s="27" t="s">
        <v>654</v>
      </c>
      <c r="B417" s="27" t="s">
        <v>660</v>
      </c>
      <c r="C417" s="29" t="s">
        <v>43</v>
      </c>
      <c r="D417" s="31"/>
      <c r="E417" s="32">
        <v>5.0</v>
      </c>
      <c r="F417" s="32">
        <v>4.0</v>
      </c>
      <c r="G417" s="32">
        <v>5.0</v>
      </c>
      <c r="H417" s="32">
        <v>6.0</v>
      </c>
    </row>
    <row r="418" ht="14.25" customHeight="1">
      <c r="A418" s="27" t="s">
        <v>654</v>
      </c>
      <c r="B418" s="27" t="s">
        <v>661</v>
      </c>
      <c r="C418" s="29" t="s">
        <v>43</v>
      </c>
      <c r="D418" s="31"/>
      <c r="E418" s="32">
        <v>5.0</v>
      </c>
      <c r="F418" s="32">
        <v>4.0</v>
      </c>
      <c r="G418" s="32">
        <v>5.0</v>
      </c>
      <c r="H418" s="32">
        <v>6.0</v>
      </c>
    </row>
    <row r="419" ht="14.25" customHeight="1">
      <c r="A419" s="27" t="s">
        <v>654</v>
      </c>
      <c r="B419" s="27" t="s">
        <v>662</v>
      </c>
      <c r="C419" s="29" t="s">
        <v>43</v>
      </c>
      <c r="D419" s="31"/>
      <c r="E419" s="32">
        <v>5.0</v>
      </c>
      <c r="F419" s="32">
        <v>4.0</v>
      </c>
      <c r="G419" s="32">
        <v>5.0</v>
      </c>
      <c r="H419" s="32">
        <v>6.0</v>
      </c>
    </row>
    <row r="420" ht="14.25" customHeight="1">
      <c r="A420" s="27" t="s">
        <v>654</v>
      </c>
      <c r="B420" s="27" t="s">
        <v>663</v>
      </c>
      <c r="C420" s="29" t="s">
        <v>43</v>
      </c>
      <c r="D420" s="31"/>
      <c r="E420" s="32">
        <v>5.0</v>
      </c>
      <c r="F420" s="32">
        <v>4.0</v>
      </c>
      <c r="G420" s="32">
        <v>5.0</v>
      </c>
      <c r="H420" s="32">
        <v>6.0</v>
      </c>
    </row>
    <row r="421" ht="14.25" customHeight="1">
      <c r="A421" s="27" t="s">
        <v>654</v>
      </c>
      <c r="B421" s="27" t="s">
        <v>664</v>
      </c>
      <c r="C421" s="29" t="s">
        <v>43</v>
      </c>
      <c r="D421" s="31"/>
      <c r="E421" s="32">
        <v>5.0</v>
      </c>
      <c r="F421" s="32">
        <v>4.0</v>
      </c>
      <c r="G421" s="32">
        <v>5.0</v>
      </c>
      <c r="H421" s="32">
        <v>6.0</v>
      </c>
    </row>
    <row r="422" ht="14.25" customHeight="1">
      <c r="A422" s="27" t="s">
        <v>654</v>
      </c>
      <c r="B422" s="27" t="s">
        <v>665</v>
      </c>
      <c r="C422" s="29" t="s">
        <v>43</v>
      </c>
      <c r="D422" s="31"/>
      <c r="E422" s="32">
        <v>30.0</v>
      </c>
      <c r="F422" s="32">
        <v>24.0</v>
      </c>
      <c r="G422" s="32">
        <v>30.0</v>
      </c>
      <c r="H422" s="32">
        <v>36.0</v>
      </c>
    </row>
    <row r="423" ht="14.25" customHeight="1">
      <c r="A423" s="27" t="s">
        <v>654</v>
      </c>
      <c r="B423" s="27" t="s">
        <v>666</v>
      </c>
      <c r="C423" s="29" t="s">
        <v>43</v>
      </c>
      <c r="D423" s="31"/>
      <c r="E423" s="32">
        <v>30.0</v>
      </c>
      <c r="F423" s="32">
        <v>24.0</v>
      </c>
      <c r="G423" s="32">
        <v>30.0</v>
      </c>
      <c r="H423" s="32">
        <v>36.0</v>
      </c>
    </row>
    <row r="424" ht="14.25" customHeight="1">
      <c r="A424" s="27" t="s">
        <v>654</v>
      </c>
      <c r="B424" s="27" t="s">
        <v>667</v>
      </c>
      <c r="C424" s="29" t="s">
        <v>43</v>
      </c>
      <c r="D424" s="31"/>
      <c r="E424" s="32">
        <v>1.0</v>
      </c>
      <c r="F424" s="32">
        <v>1.0</v>
      </c>
      <c r="G424" s="32">
        <v>1.0</v>
      </c>
      <c r="H424" s="32">
        <v>1.0</v>
      </c>
    </row>
    <row r="425" ht="14.25" customHeight="1">
      <c r="A425" s="27" t="s">
        <v>654</v>
      </c>
      <c r="B425" s="27" t="s">
        <v>668</v>
      </c>
      <c r="C425" s="29" t="s">
        <v>43</v>
      </c>
      <c r="D425" s="31"/>
      <c r="E425" s="32">
        <v>13.0</v>
      </c>
      <c r="F425" s="32">
        <v>10.0</v>
      </c>
      <c r="G425" s="32">
        <v>13.0</v>
      </c>
      <c r="H425" s="32">
        <v>16.0</v>
      </c>
    </row>
    <row r="426" ht="14.25" customHeight="1">
      <c r="A426" s="27" t="s">
        <v>654</v>
      </c>
      <c r="B426" s="27" t="s">
        <v>413</v>
      </c>
      <c r="C426" s="29" t="s">
        <v>43</v>
      </c>
      <c r="D426" s="31"/>
      <c r="E426" s="32">
        <v>12.0</v>
      </c>
      <c r="F426" s="32">
        <v>10.0</v>
      </c>
      <c r="G426" s="32">
        <v>12.0</v>
      </c>
      <c r="H426" s="32">
        <v>14.0</v>
      </c>
    </row>
    <row r="427" ht="14.25" customHeight="1">
      <c r="A427" s="27" t="s">
        <v>669</v>
      </c>
      <c r="B427" s="27" t="s">
        <v>670</v>
      </c>
      <c r="C427" s="29" t="s">
        <v>43</v>
      </c>
      <c r="D427" s="31"/>
      <c r="E427" s="32">
        <v>1.0</v>
      </c>
      <c r="F427" s="32">
        <v>1.0</v>
      </c>
      <c r="G427" s="32">
        <v>1.0</v>
      </c>
      <c r="H427" s="32">
        <v>1.0</v>
      </c>
    </row>
    <row r="428" ht="14.25" customHeight="1">
      <c r="A428" s="27" t="s">
        <v>669</v>
      </c>
      <c r="B428" s="27" t="s">
        <v>671</v>
      </c>
      <c r="C428" s="29" t="s">
        <v>43</v>
      </c>
      <c r="D428" s="31"/>
      <c r="E428" s="32">
        <v>1.0</v>
      </c>
      <c r="F428" s="32">
        <v>1.0</v>
      </c>
      <c r="G428" s="32">
        <v>1.0</v>
      </c>
      <c r="H428" s="32">
        <v>1.0</v>
      </c>
    </row>
    <row r="429" ht="14.25" customHeight="1">
      <c r="A429" s="27" t="s">
        <v>672</v>
      </c>
      <c r="B429" s="27" t="s">
        <v>673</v>
      </c>
      <c r="C429" s="29" t="s">
        <v>43</v>
      </c>
      <c r="D429" s="31"/>
      <c r="E429" s="32">
        <v>24.0</v>
      </c>
      <c r="F429" s="32">
        <v>19.0</v>
      </c>
      <c r="G429" s="32">
        <v>24.0</v>
      </c>
      <c r="H429" s="32">
        <v>29.0</v>
      </c>
    </row>
    <row r="430" ht="14.25" customHeight="1">
      <c r="A430" s="27" t="s">
        <v>674</v>
      </c>
      <c r="B430" s="27" t="s">
        <v>675</v>
      </c>
      <c r="C430" s="29" t="s">
        <v>43</v>
      </c>
      <c r="D430" s="31"/>
      <c r="E430" s="32">
        <v>24.0</v>
      </c>
      <c r="F430" s="32">
        <v>19.0</v>
      </c>
      <c r="G430" s="32">
        <v>24.0</v>
      </c>
      <c r="H430" s="32">
        <v>29.0</v>
      </c>
    </row>
    <row r="431" ht="14.25" customHeight="1">
      <c r="A431" s="27" t="s">
        <v>674</v>
      </c>
      <c r="B431" s="27" t="s">
        <v>676</v>
      </c>
      <c r="C431" s="29" t="s">
        <v>43</v>
      </c>
      <c r="D431" s="31"/>
      <c r="E431" s="32">
        <v>24.0</v>
      </c>
      <c r="F431" s="32">
        <v>19.0</v>
      </c>
      <c r="G431" s="32">
        <v>24.0</v>
      </c>
      <c r="H431" s="32">
        <v>29.0</v>
      </c>
    </row>
    <row r="432" ht="14.25" customHeight="1">
      <c r="A432" s="27" t="s">
        <v>674</v>
      </c>
      <c r="B432" s="27" t="s">
        <v>677</v>
      </c>
      <c r="C432" s="29" t="s">
        <v>43</v>
      </c>
      <c r="D432" s="31"/>
      <c r="E432" s="32">
        <v>24.0</v>
      </c>
      <c r="F432" s="32">
        <v>19.0</v>
      </c>
      <c r="G432" s="32">
        <v>24.0</v>
      </c>
      <c r="H432" s="32">
        <v>29.0</v>
      </c>
    </row>
    <row r="433" ht="14.25" customHeight="1">
      <c r="A433" s="27" t="s">
        <v>674</v>
      </c>
      <c r="B433" s="27" t="s">
        <v>673</v>
      </c>
      <c r="C433" s="29" t="s">
        <v>43</v>
      </c>
      <c r="D433" s="31"/>
      <c r="E433" s="32">
        <v>24.0</v>
      </c>
      <c r="F433" s="32">
        <v>19.0</v>
      </c>
      <c r="G433" s="32">
        <v>24.0</v>
      </c>
      <c r="H433" s="32">
        <v>29.0</v>
      </c>
    </row>
    <row r="434" ht="14.25" customHeight="1">
      <c r="A434" s="27" t="s">
        <v>678</v>
      </c>
      <c r="B434" s="27" t="s">
        <v>679</v>
      </c>
      <c r="C434" s="29" t="s">
        <v>43</v>
      </c>
      <c r="D434" s="31"/>
      <c r="E434" s="32">
        <v>24.0</v>
      </c>
      <c r="F434" s="32">
        <v>19.0</v>
      </c>
      <c r="G434" s="32">
        <v>24.0</v>
      </c>
      <c r="H434" s="32">
        <v>29.0</v>
      </c>
    </row>
    <row r="435" ht="14.25" customHeight="1">
      <c r="A435" s="27" t="s">
        <v>678</v>
      </c>
      <c r="B435" s="27" t="s">
        <v>680</v>
      </c>
      <c r="C435" s="29" t="s">
        <v>43</v>
      </c>
      <c r="D435" s="31"/>
      <c r="E435" s="32">
        <v>24.0</v>
      </c>
      <c r="F435" s="32">
        <v>19.0</v>
      </c>
      <c r="G435" s="32">
        <v>24.0</v>
      </c>
      <c r="H435" s="32">
        <v>29.0</v>
      </c>
    </row>
    <row r="436" ht="14.25" customHeight="1">
      <c r="A436" s="27" t="s">
        <v>681</v>
      </c>
      <c r="B436" s="27" t="s">
        <v>682</v>
      </c>
      <c r="C436" s="29" t="s">
        <v>43</v>
      </c>
      <c r="D436" s="31"/>
      <c r="E436" s="32">
        <v>15.0</v>
      </c>
      <c r="F436" s="32">
        <v>12.0</v>
      </c>
      <c r="G436" s="32">
        <v>15.0</v>
      </c>
      <c r="H436" s="32">
        <v>18.0</v>
      </c>
    </row>
    <row r="437" ht="14.25" customHeight="1">
      <c r="A437" s="27" t="s">
        <v>683</v>
      </c>
      <c r="B437" s="27" t="s">
        <v>684</v>
      </c>
      <c r="C437" s="29" t="s">
        <v>43</v>
      </c>
      <c r="D437" s="31"/>
      <c r="E437" s="32">
        <v>50.0</v>
      </c>
      <c r="F437" s="32">
        <v>40.0</v>
      </c>
      <c r="G437" s="32">
        <v>50.0</v>
      </c>
      <c r="H437" s="32">
        <v>60.0</v>
      </c>
    </row>
    <row r="438" ht="14.25" customHeight="1">
      <c r="A438" s="27" t="s">
        <v>683</v>
      </c>
      <c r="B438" s="27" t="s">
        <v>685</v>
      </c>
      <c r="C438" s="29" t="s">
        <v>43</v>
      </c>
      <c r="D438" s="31"/>
      <c r="E438" s="32">
        <v>50.0</v>
      </c>
      <c r="F438" s="32">
        <v>40.0</v>
      </c>
      <c r="G438" s="32">
        <v>50.0</v>
      </c>
      <c r="H438" s="32">
        <v>60.0</v>
      </c>
    </row>
    <row r="439" ht="14.25" customHeight="1">
      <c r="A439" s="27" t="s">
        <v>686</v>
      </c>
      <c r="B439" s="27" t="s">
        <v>687</v>
      </c>
      <c r="C439" s="29" t="s">
        <v>43</v>
      </c>
      <c r="D439" s="31"/>
      <c r="E439" s="32">
        <v>50.0</v>
      </c>
      <c r="F439" s="32">
        <v>40.0</v>
      </c>
      <c r="G439" s="32">
        <v>50.0</v>
      </c>
      <c r="H439" s="32">
        <v>60.0</v>
      </c>
    </row>
    <row r="440" ht="14.25" customHeight="1">
      <c r="A440" s="27" t="s">
        <v>626</v>
      </c>
      <c r="B440" s="27" t="s">
        <v>688</v>
      </c>
      <c r="C440" s="29" t="s">
        <v>30</v>
      </c>
      <c r="D440" s="31"/>
      <c r="E440" s="32">
        <v>65.0</v>
      </c>
      <c r="F440" s="32">
        <v>45.0</v>
      </c>
      <c r="G440" s="32">
        <v>65.0</v>
      </c>
      <c r="H440" s="32">
        <v>88.0</v>
      </c>
    </row>
    <row r="441" ht="14.25" customHeight="1">
      <c r="A441" s="27" t="s">
        <v>626</v>
      </c>
      <c r="B441" s="27" t="s">
        <v>689</v>
      </c>
      <c r="C441" s="29" t="s">
        <v>30</v>
      </c>
      <c r="D441" s="31"/>
      <c r="E441" s="32">
        <v>65.0</v>
      </c>
      <c r="F441" s="32">
        <v>45.0</v>
      </c>
      <c r="G441" s="32">
        <v>65.0</v>
      </c>
      <c r="H441" s="32">
        <v>88.0</v>
      </c>
    </row>
    <row r="442" ht="14.25" customHeight="1">
      <c r="A442" s="27" t="s">
        <v>625</v>
      </c>
      <c r="B442" s="27" t="s">
        <v>690</v>
      </c>
      <c r="C442" s="29" t="s">
        <v>30</v>
      </c>
      <c r="D442" s="31"/>
      <c r="E442" s="32">
        <v>65.0</v>
      </c>
      <c r="F442" s="32">
        <v>45.0</v>
      </c>
      <c r="G442" s="32">
        <v>65.0</v>
      </c>
      <c r="H442" s="32">
        <v>88.0</v>
      </c>
    </row>
    <row r="443" ht="14.25" customHeight="1">
      <c r="A443" s="27" t="s">
        <v>625</v>
      </c>
      <c r="B443" s="27" t="s">
        <v>691</v>
      </c>
      <c r="C443" s="29" t="s">
        <v>43</v>
      </c>
      <c r="D443" s="31"/>
      <c r="E443" s="32">
        <v>65.0</v>
      </c>
      <c r="F443" s="32">
        <v>45.0</v>
      </c>
      <c r="G443" s="32">
        <v>65.0</v>
      </c>
      <c r="H443" s="32">
        <v>88.0</v>
      </c>
    </row>
    <row r="444" ht="14.25" customHeight="1">
      <c r="A444" s="27" t="s">
        <v>692</v>
      </c>
      <c r="B444" s="27" t="s">
        <v>693</v>
      </c>
      <c r="C444" s="29" t="s">
        <v>43</v>
      </c>
      <c r="D444" s="31"/>
      <c r="E444" s="32">
        <v>10.0</v>
      </c>
      <c r="F444" s="32">
        <v>8.0</v>
      </c>
      <c r="G444" s="32">
        <v>10.0</v>
      </c>
      <c r="H444" s="32">
        <v>12.0</v>
      </c>
    </row>
    <row r="445" ht="14.25" customHeight="1">
      <c r="A445" s="27" t="s">
        <v>692</v>
      </c>
      <c r="B445" s="27" t="s">
        <v>694</v>
      </c>
      <c r="C445" s="29" t="s">
        <v>43</v>
      </c>
      <c r="D445" s="31"/>
      <c r="E445" s="32">
        <v>10.0</v>
      </c>
      <c r="F445" s="32">
        <v>8.0</v>
      </c>
      <c r="G445" s="32">
        <v>10.0</v>
      </c>
      <c r="H445" s="32">
        <v>12.0</v>
      </c>
    </row>
    <row r="446" ht="14.25" customHeight="1">
      <c r="A446" s="27" t="s">
        <v>695</v>
      </c>
      <c r="B446" s="27" t="s">
        <v>696</v>
      </c>
      <c r="C446" s="29" t="s">
        <v>43</v>
      </c>
      <c r="D446" s="31"/>
      <c r="E446" s="32">
        <v>10.0</v>
      </c>
      <c r="F446" s="32">
        <v>8.0</v>
      </c>
      <c r="G446" s="32">
        <v>10.0</v>
      </c>
      <c r="H446" s="32">
        <v>12.0</v>
      </c>
    </row>
    <row r="447" ht="14.25" customHeight="1">
      <c r="A447" s="27" t="s">
        <v>697</v>
      </c>
      <c r="B447" s="27" t="s">
        <v>698</v>
      </c>
      <c r="C447" s="29" t="s">
        <v>43</v>
      </c>
      <c r="D447" s="31"/>
      <c r="E447" s="32">
        <v>10.0</v>
      </c>
      <c r="F447" s="32">
        <v>8.0</v>
      </c>
      <c r="G447" s="32">
        <v>10.0</v>
      </c>
      <c r="H447" s="32">
        <v>12.0</v>
      </c>
    </row>
    <row r="448" ht="14.25" customHeight="1">
      <c r="A448" s="27" t="s">
        <v>699</v>
      </c>
      <c r="B448" s="27" t="s">
        <v>700</v>
      </c>
      <c r="C448" s="29" t="s">
        <v>43</v>
      </c>
      <c r="D448" s="31"/>
      <c r="E448" s="32">
        <v>30.0</v>
      </c>
      <c r="F448" s="32">
        <v>24.0</v>
      </c>
      <c r="G448" s="32">
        <v>30.0</v>
      </c>
      <c r="H448" s="32">
        <v>36.0</v>
      </c>
    </row>
    <row r="449" ht="14.25" customHeight="1">
      <c r="A449" s="27" t="s">
        <v>628</v>
      </c>
      <c r="B449" s="27" t="s">
        <v>701</v>
      </c>
      <c r="C449" s="29" t="s">
        <v>43</v>
      </c>
      <c r="D449" s="31"/>
      <c r="E449" s="32">
        <v>27.0</v>
      </c>
      <c r="F449" s="32">
        <v>21.0</v>
      </c>
      <c r="G449" s="32">
        <v>27.0</v>
      </c>
      <c r="H449" s="32">
        <v>32.0</v>
      </c>
    </row>
    <row r="450" ht="14.25" customHeight="1">
      <c r="A450" s="27" t="s">
        <v>628</v>
      </c>
      <c r="B450" s="27" t="s">
        <v>702</v>
      </c>
      <c r="C450" s="29" t="s">
        <v>43</v>
      </c>
      <c r="D450" s="31"/>
      <c r="E450" s="32">
        <v>27.0</v>
      </c>
      <c r="F450" s="32">
        <v>21.0</v>
      </c>
      <c r="G450" s="32">
        <v>27.0</v>
      </c>
      <c r="H450" s="32">
        <v>32.0</v>
      </c>
    </row>
    <row r="451" ht="14.25" customHeight="1">
      <c r="A451" s="27" t="s">
        <v>628</v>
      </c>
      <c r="B451" s="27" t="s">
        <v>703</v>
      </c>
      <c r="C451" s="29" t="s">
        <v>43</v>
      </c>
      <c r="D451" s="31"/>
      <c r="E451" s="32">
        <v>16.0</v>
      </c>
      <c r="F451" s="32">
        <v>11.0</v>
      </c>
      <c r="G451" s="32">
        <v>16.0</v>
      </c>
      <c r="H451" s="32">
        <v>23.0</v>
      </c>
    </row>
    <row r="452" ht="14.25" customHeight="1">
      <c r="A452" s="27" t="s">
        <v>704</v>
      </c>
      <c r="B452" s="27" t="s">
        <v>705</v>
      </c>
      <c r="C452" s="29" t="s">
        <v>43</v>
      </c>
      <c r="D452" s="31"/>
      <c r="E452" s="32">
        <v>20.0</v>
      </c>
      <c r="F452" s="32">
        <v>16.0</v>
      </c>
      <c r="G452" s="32">
        <v>20.0</v>
      </c>
      <c r="H452" s="32">
        <v>24.0</v>
      </c>
    </row>
    <row r="453" ht="14.25" customHeight="1">
      <c r="A453" s="27" t="s">
        <v>706</v>
      </c>
      <c r="B453" s="27" t="s">
        <v>707</v>
      </c>
      <c r="C453" s="29" t="s">
        <v>43</v>
      </c>
      <c r="D453" s="29" t="s">
        <v>53</v>
      </c>
      <c r="E453" s="32">
        <v>40.0</v>
      </c>
      <c r="F453" s="32">
        <v>23.0</v>
      </c>
      <c r="G453" s="32">
        <v>40.0</v>
      </c>
      <c r="H453" s="32">
        <v>63.0</v>
      </c>
    </row>
    <row r="454" ht="14.25" customHeight="1">
      <c r="A454" s="27">
        <v>777.0</v>
      </c>
      <c r="B454" s="27" t="s">
        <v>708</v>
      </c>
      <c r="C454" s="29" t="s">
        <v>30</v>
      </c>
      <c r="D454" s="31"/>
      <c r="E454" s="32">
        <v>65.0</v>
      </c>
      <c r="F454" s="32">
        <v>45.0</v>
      </c>
      <c r="G454" s="32">
        <v>65.0</v>
      </c>
      <c r="H454" s="32">
        <v>88.0</v>
      </c>
    </row>
    <row r="455" ht="14.25" customHeight="1">
      <c r="A455" s="27" t="s">
        <v>447</v>
      </c>
      <c r="B455" s="27" t="s">
        <v>709</v>
      </c>
      <c r="C455" s="29" t="s">
        <v>208</v>
      </c>
      <c r="D455" s="31"/>
      <c r="E455" s="32">
        <v>27.0</v>
      </c>
      <c r="F455" s="32">
        <v>17.0</v>
      </c>
      <c r="G455" s="32">
        <v>27.0</v>
      </c>
      <c r="H455" s="32">
        <v>34.0</v>
      </c>
    </row>
    <row r="456" ht="14.25" customHeight="1">
      <c r="A456" s="27" t="s">
        <v>710</v>
      </c>
      <c r="B456" s="27" t="s">
        <v>711</v>
      </c>
      <c r="C456" s="29" t="s">
        <v>30</v>
      </c>
      <c r="D456" s="31"/>
      <c r="E456" s="32">
        <v>24.0</v>
      </c>
      <c r="F456" s="32">
        <v>18.0</v>
      </c>
      <c r="G456" s="32">
        <v>24.0</v>
      </c>
      <c r="H456" s="32">
        <v>32.0</v>
      </c>
    </row>
    <row r="457" ht="14.25" customHeight="1">
      <c r="A457" s="27" t="s">
        <v>712</v>
      </c>
      <c r="B457" s="27" t="s">
        <v>713</v>
      </c>
      <c r="C457" s="29" t="s">
        <v>30</v>
      </c>
      <c r="D457" s="31"/>
      <c r="E457" s="32">
        <v>26.0</v>
      </c>
      <c r="F457" s="32">
        <v>21.0</v>
      </c>
      <c r="G457" s="32">
        <v>26.0</v>
      </c>
      <c r="H457" s="32">
        <v>31.0</v>
      </c>
    </row>
    <row r="458" ht="14.25" customHeight="1">
      <c r="A458" s="27" t="s">
        <v>377</v>
      </c>
      <c r="B458" s="27" t="s">
        <v>714</v>
      </c>
      <c r="C458" s="29" t="s">
        <v>43</v>
      </c>
      <c r="D458" s="31"/>
      <c r="E458" s="32">
        <v>16.0</v>
      </c>
      <c r="F458" s="32">
        <v>12.0</v>
      </c>
      <c r="G458" s="32">
        <v>16.0</v>
      </c>
      <c r="H458" s="32">
        <v>25.0</v>
      </c>
    </row>
    <row r="459" ht="14.25" customHeight="1">
      <c r="A459" s="27" t="s">
        <v>377</v>
      </c>
      <c r="B459" s="27" t="s">
        <v>715</v>
      </c>
      <c r="C459" s="29" t="s">
        <v>43</v>
      </c>
      <c r="D459" s="31"/>
      <c r="E459" s="32">
        <v>24.0</v>
      </c>
      <c r="F459" s="32">
        <v>14.0</v>
      </c>
      <c r="G459" s="32">
        <v>24.0</v>
      </c>
      <c r="H459" s="32">
        <v>34.0</v>
      </c>
    </row>
    <row r="460" ht="14.25" customHeight="1">
      <c r="A460" s="27" t="s">
        <v>710</v>
      </c>
      <c r="B460" s="27" t="s">
        <v>711</v>
      </c>
      <c r="C460" s="29" t="s">
        <v>30</v>
      </c>
      <c r="D460" s="31"/>
      <c r="E460" s="32">
        <v>24.0</v>
      </c>
      <c r="F460" s="32">
        <v>18.0</v>
      </c>
      <c r="G460" s="32">
        <v>24.0</v>
      </c>
      <c r="H460" s="32">
        <v>32.0</v>
      </c>
    </row>
    <row r="461" ht="14.25" customHeight="1">
      <c r="A461" s="27" t="s">
        <v>92</v>
      </c>
      <c r="B461" s="27" t="s">
        <v>716</v>
      </c>
      <c r="C461" s="29" t="s">
        <v>30</v>
      </c>
      <c r="D461" s="31"/>
      <c r="E461" s="32">
        <v>17.0</v>
      </c>
      <c r="F461" s="32">
        <v>12.0</v>
      </c>
      <c r="G461" s="32">
        <v>17.0</v>
      </c>
      <c r="H461" s="32">
        <v>20.0</v>
      </c>
    </row>
    <row r="462" ht="14.25" customHeight="1">
      <c r="A462" s="27" t="s">
        <v>92</v>
      </c>
      <c r="B462" s="27" t="s">
        <v>717</v>
      </c>
      <c r="C462" s="29" t="s">
        <v>208</v>
      </c>
      <c r="D462" s="31"/>
      <c r="E462" s="32">
        <v>15.0</v>
      </c>
      <c r="F462" s="32">
        <v>12.0</v>
      </c>
      <c r="G462" s="32">
        <v>15.0</v>
      </c>
      <c r="H462" s="32">
        <v>18.0</v>
      </c>
    </row>
    <row r="463" ht="14.25" customHeight="1">
      <c r="A463" s="27" t="s">
        <v>712</v>
      </c>
      <c r="B463" s="27" t="s">
        <v>711</v>
      </c>
      <c r="C463" s="29" t="s">
        <v>30</v>
      </c>
      <c r="D463" s="31"/>
      <c r="E463" s="32">
        <v>24.0</v>
      </c>
      <c r="F463" s="32">
        <v>18.0</v>
      </c>
      <c r="G463" s="32">
        <v>24.0</v>
      </c>
      <c r="H463" s="32">
        <v>32.0</v>
      </c>
    </row>
    <row r="464" ht="14.25" customHeight="1">
      <c r="A464" s="27" t="s">
        <v>562</v>
      </c>
      <c r="B464" s="27" t="s">
        <v>718</v>
      </c>
      <c r="C464" s="29" t="s">
        <v>43</v>
      </c>
      <c r="D464" s="31"/>
      <c r="E464" s="32">
        <v>10.0</v>
      </c>
      <c r="F464" s="32">
        <v>9.0</v>
      </c>
      <c r="G464" s="32">
        <v>10.0</v>
      </c>
      <c r="H464" s="32">
        <v>12.0</v>
      </c>
    </row>
    <row r="465" ht="14.25" customHeight="1">
      <c r="A465" s="27" t="s">
        <v>719</v>
      </c>
      <c r="B465" s="27" t="s">
        <v>719</v>
      </c>
      <c r="C465" s="29" t="s">
        <v>43</v>
      </c>
      <c r="D465" s="31"/>
      <c r="E465" s="32">
        <v>1.0</v>
      </c>
      <c r="F465" s="32">
        <v>1.0</v>
      </c>
      <c r="G465" s="32">
        <v>1.0</v>
      </c>
      <c r="H465" s="32">
        <v>1.0</v>
      </c>
    </row>
    <row r="466" ht="14.25" customHeight="1">
      <c r="A466" s="27" t="s">
        <v>377</v>
      </c>
      <c r="B466" s="123" t="s">
        <v>147</v>
      </c>
      <c r="C466" s="29" t="s">
        <v>208</v>
      </c>
      <c r="D466" s="124" t="s">
        <v>720</v>
      </c>
      <c r="E466" s="32">
        <v>38.0</v>
      </c>
      <c r="F466" s="32">
        <v>30.0</v>
      </c>
      <c r="G466" s="32">
        <v>38.0</v>
      </c>
      <c r="H466" s="32">
        <v>55.0</v>
      </c>
    </row>
    <row r="467" ht="14.25" customHeight="1">
      <c r="A467" s="27" t="s">
        <v>162</v>
      </c>
      <c r="B467" s="125" t="s">
        <v>164</v>
      </c>
      <c r="C467" s="29" t="s">
        <v>43</v>
      </c>
      <c r="D467" s="29" t="s">
        <v>269</v>
      </c>
      <c r="E467" s="32">
        <v>12.0</v>
      </c>
      <c r="F467" s="32">
        <v>10.0</v>
      </c>
      <c r="G467" s="32">
        <v>12.0</v>
      </c>
      <c r="H467" s="32">
        <v>14.0</v>
      </c>
    </row>
    <row r="468" ht="14.25" customHeight="1">
      <c r="A468" s="13" t="s">
        <v>721</v>
      </c>
      <c r="B468" s="126" t="s">
        <v>722</v>
      </c>
      <c r="C468" s="127"/>
      <c r="D468" s="110" t="s">
        <v>257</v>
      </c>
      <c r="E468" s="32">
        <v>12.0</v>
      </c>
      <c r="F468" s="128">
        <v>6.0</v>
      </c>
      <c r="G468" s="32">
        <v>12.0</v>
      </c>
      <c r="H468" s="128">
        <v>14.0</v>
      </c>
    </row>
    <row r="469" ht="14.25" customHeight="1">
      <c r="A469" s="129" t="s">
        <v>162</v>
      </c>
      <c r="B469" s="129" t="s">
        <v>164</v>
      </c>
      <c r="C469" s="7" t="s">
        <v>43</v>
      </c>
      <c r="D469" s="99" t="s">
        <v>269</v>
      </c>
      <c r="E469" s="32">
        <v>12.0</v>
      </c>
      <c r="F469" s="130">
        <v>10.0</v>
      </c>
      <c r="G469" s="32">
        <v>12.0</v>
      </c>
      <c r="H469" s="130">
        <v>14.0</v>
      </c>
    </row>
    <row r="470" ht="14.25" customHeight="1">
      <c r="A470" s="27" t="s">
        <v>612</v>
      </c>
      <c r="B470" s="125" t="s">
        <v>613</v>
      </c>
      <c r="C470" s="29" t="s">
        <v>43</v>
      </c>
      <c r="D470" s="29" t="s">
        <v>723</v>
      </c>
      <c r="E470" s="32">
        <v>40.0</v>
      </c>
      <c r="F470" s="32">
        <v>32.0</v>
      </c>
      <c r="G470" s="32">
        <v>40.0</v>
      </c>
      <c r="H470" s="32">
        <v>48.0</v>
      </c>
    </row>
    <row r="471" ht="14.25" customHeight="1">
      <c r="A471" s="27" t="s">
        <v>380</v>
      </c>
      <c r="B471" s="125" t="s">
        <v>602</v>
      </c>
      <c r="C471" s="29" t="s">
        <v>43</v>
      </c>
      <c r="D471" s="29" t="s">
        <v>239</v>
      </c>
      <c r="E471" s="32">
        <v>33.0</v>
      </c>
      <c r="F471" s="32">
        <v>17.0</v>
      </c>
      <c r="G471" s="32">
        <v>33.0</v>
      </c>
      <c r="H471" s="32">
        <v>40.0</v>
      </c>
    </row>
    <row r="472" ht="14.25" customHeight="1">
      <c r="A472" s="27" t="s">
        <v>287</v>
      </c>
      <c r="B472" s="125" t="s">
        <v>599</v>
      </c>
      <c r="C472" s="29" t="s">
        <v>43</v>
      </c>
      <c r="D472" s="29" t="s">
        <v>242</v>
      </c>
      <c r="E472" s="32">
        <v>30.0</v>
      </c>
      <c r="F472" s="32">
        <v>18.0</v>
      </c>
      <c r="G472" s="32">
        <v>30.0</v>
      </c>
      <c r="H472" s="32">
        <v>37.0</v>
      </c>
    </row>
    <row r="473" ht="14.25" customHeight="1">
      <c r="A473" s="27" t="s">
        <v>596</v>
      </c>
      <c r="B473" s="125" t="s">
        <v>597</v>
      </c>
      <c r="C473" s="29" t="s">
        <v>43</v>
      </c>
      <c r="D473" s="29" t="s">
        <v>724</v>
      </c>
      <c r="E473" s="32">
        <v>45.0</v>
      </c>
      <c r="F473" s="32">
        <v>36.0</v>
      </c>
      <c r="G473" s="32">
        <v>45.0</v>
      </c>
      <c r="H473" s="32">
        <v>54.0</v>
      </c>
    </row>
    <row r="474" ht="14.25" customHeight="1">
      <c r="A474" s="27" t="s">
        <v>596</v>
      </c>
      <c r="B474" s="125" t="s">
        <v>598</v>
      </c>
      <c r="C474" s="29" t="s">
        <v>43</v>
      </c>
      <c r="D474" s="29" t="s">
        <v>724</v>
      </c>
      <c r="E474" s="32">
        <v>45.0</v>
      </c>
      <c r="F474" s="32">
        <v>36.0</v>
      </c>
      <c r="G474" s="32">
        <v>45.0</v>
      </c>
      <c r="H474" s="32">
        <v>54.0</v>
      </c>
    </row>
    <row r="475" ht="14.25" customHeight="1">
      <c r="A475" s="27" t="s">
        <v>593</v>
      </c>
      <c r="B475" s="125" t="s">
        <v>594</v>
      </c>
      <c r="C475" s="29" t="s">
        <v>43</v>
      </c>
      <c r="D475" s="29" t="s">
        <v>725</v>
      </c>
      <c r="E475" s="32">
        <v>48.0</v>
      </c>
      <c r="F475" s="32">
        <v>41.0</v>
      </c>
      <c r="G475" s="32">
        <v>48.0</v>
      </c>
      <c r="H475" s="32">
        <v>56.0</v>
      </c>
    </row>
    <row r="476" ht="14.25" customHeight="1">
      <c r="A476" s="27" t="s">
        <v>593</v>
      </c>
      <c r="B476" s="125" t="s">
        <v>595</v>
      </c>
      <c r="C476" s="29" t="s">
        <v>43</v>
      </c>
      <c r="D476" s="29" t="s">
        <v>725</v>
      </c>
      <c r="E476" s="32">
        <v>48.0</v>
      </c>
      <c r="F476" s="32">
        <v>41.0</v>
      </c>
      <c r="G476" s="32">
        <v>48.0</v>
      </c>
      <c r="H476" s="32">
        <v>56.0</v>
      </c>
    </row>
    <row r="477" ht="14.25" customHeight="1">
      <c r="A477" s="27" t="s">
        <v>623</v>
      </c>
      <c r="B477" s="125" t="s">
        <v>633</v>
      </c>
      <c r="C477" s="29" t="s">
        <v>43</v>
      </c>
      <c r="D477" s="29" t="s">
        <v>726</v>
      </c>
      <c r="E477" s="32">
        <v>70.0</v>
      </c>
      <c r="F477" s="32">
        <v>60.0</v>
      </c>
      <c r="G477" s="32">
        <v>70.0</v>
      </c>
      <c r="H477" s="32">
        <v>83.0</v>
      </c>
    </row>
    <row r="478" ht="14.25" customHeight="1">
      <c r="A478" s="27" t="s">
        <v>623</v>
      </c>
      <c r="B478" s="125" t="s">
        <v>634</v>
      </c>
      <c r="C478" s="29" t="s">
        <v>43</v>
      </c>
      <c r="D478" s="29" t="s">
        <v>727</v>
      </c>
      <c r="E478" s="32">
        <v>24.0</v>
      </c>
      <c r="F478" s="32">
        <v>20.0</v>
      </c>
      <c r="G478" s="32">
        <v>24.0</v>
      </c>
      <c r="H478" s="32">
        <v>28.0</v>
      </c>
    </row>
    <row r="479" ht="14.25" customHeight="1">
      <c r="A479" s="27" t="s">
        <v>623</v>
      </c>
      <c r="B479" s="125" t="s">
        <v>635</v>
      </c>
      <c r="C479" s="29" t="s">
        <v>43</v>
      </c>
      <c r="D479" s="29" t="s">
        <v>728</v>
      </c>
      <c r="E479" s="32">
        <v>33.0</v>
      </c>
      <c r="F479" s="32">
        <v>28.0</v>
      </c>
      <c r="G479" s="32">
        <v>33.0</v>
      </c>
      <c r="H479" s="32">
        <v>38.0</v>
      </c>
    </row>
    <row r="480" ht="14.25" customHeight="1">
      <c r="A480" s="27" t="s">
        <v>623</v>
      </c>
      <c r="B480" s="125" t="s">
        <v>636</v>
      </c>
      <c r="C480" s="29" t="s">
        <v>43</v>
      </c>
      <c r="D480" s="29" t="s">
        <v>725</v>
      </c>
      <c r="E480" s="32">
        <v>48.0</v>
      </c>
      <c r="F480" s="32">
        <v>41.0</v>
      </c>
      <c r="G480" s="32">
        <v>48.0</v>
      </c>
      <c r="H480" s="32">
        <v>56.0</v>
      </c>
    </row>
    <row r="481" ht="14.25" customHeight="1">
      <c r="A481" s="27" t="s">
        <v>377</v>
      </c>
      <c r="B481" s="125" t="s">
        <v>378</v>
      </c>
      <c r="C481" s="29" t="s">
        <v>43</v>
      </c>
      <c r="D481" s="29" t="s">
        <v>242</v>
      </c>
      <c r="E481" s="32">
        <v>30.0</v>
      </c>
      <c r="F481" s="32">
        <v>18.0</v>
      </c>
      <c r="G481" s="32">
        <v>30.0</v>
      </c>
      <c r="H481" s="32">
        <v>37.0</v>
      </c>
    </row>
    <row r="482" ht="14.25" customHeight="1">
      <c r="A482" s="27" t="s">
        <v>377</v>
      </c>
      <c r="B482" s="125" t="s">
        <v>380</v>
      </c>
      <c r="C482" s="29" t="s">
        <v>43</v>
      </c>
      <c r="D482" s="29" t="s">
        <v>239</v>
      </c>
      <c r="E482" s="32">
        <v>33.0</v>
      </c>
      <c r="F482" s="32">
        <v>17.0</v>
      </c>
      <c r="G482" s="32">
        <v>33.0</v>
      </c>
      <c r="H482" s="32">
        <v>40.0</v>
      </c>
    </row>
    <row r="483" ht="14.25" customHeight="1">
      <c r="A483" s="27" t="s">
        <v>388</v>
      </c>
      <c r="B483" s="125" t="s">
        <v>287</v>
      </c>
      <c r="C483" s="29" t="s">
        <v>43</v>
      </c>
      <c r="D483" s="29" t="s">
        <v>242</v>
      </c>
      <c r="E483" s="32">
        <v>30.0</v>
      </c>
      <c r="F483" s="32">
        <v>18.0</v>
      </c>
      <c r="G483" s="32">
        <v>30.0</v>
      </c>
      <c r="H483" s="32">
        <v>37.0</v>
      </c>
    </row>
    <row r="484" ht="14.25" customHeight="1">
      <c r="A484" s="27" t="s">
        <v>388</v>
      </c>
      <c r="B484" s="125" t="s">
        <v>380</v>
      </c>
      <c r="C484" s="29" t="s">
        <v>43</v>
      </c>
      <c r="D484" s="29" t="s">
        <v>239</v>
      </c>
      <c r="E484" s="32">
        <v>33.0</v>
      </c>
      <c r="F484" s="32">
        <v>17.0</v>
      </c>
      <c r="G484" s="32">
        <v>33.0</v>
      </c>
      <c r="H484" s="32">
        <v>40.0</v>
      </c>
    </row>
    <row r="485" ht="14.25" customHeight="1">
      <c r="A485" s="27" t="s">
        <v>377</v>
      </c>
      <c r="B485" s="125" t="s">
        <v>160</v>
      </c>
      <c r="C485" s="29" t="s">
        <v>43</v>
      </c>
      <c r="D485" s="29" t="s">
        <v>239</v>
      </c>
      <c r="E485" s="32">
        <v>29.0</v>
      </c>
      <c r="F485" s="32">
        <v>17.0</v>
      </c>
      <c r="G485" s="32">
        <v>29.0</v>
      </c>
      <c r="H485" s="32">
        <v>40.0</v>
      </c>
    </row>
    <row r="486" ht="14.25" customHeight="1">
      <c r="A486" s="27" t="s">
        <v>377</v>
      </c>
      <c r="B486" s="125" t="s">
        <v>163</v>
      </c>
      <c r="C486" s="29" t="s">
        <v>43</v>
      </c>
      <c r="D486" s="29" t="s">
        <v>239</v>
      </c>
      <c r="E486" s="32">
        <v>29.0</v>
      </c>
      <c r="F486" s="32">
        <v>17.0</v>
      </c>
      <c r="G486" s="32">
        <v>29.0</v>
      </c>
      <c r="H486" s="32">
        <v>40.0</v>
      </c>
    </row>
    <row r="487" ht="14.25" customHeight="1">
      <c r="A487" s="27" t="s">
        <v>377</v>
      </c>
      <c r="B487" s="125" t="s">
        <v>393</v>
      </c>
      <c r="C487" s="29" t="s">
        <v>43</v>
      </c>
      <c r="D487" s="29" t="s">
        <v>241</v>
      </c>
      <c r="E487" s="32">
        <v>64.0</v>
      </c>
      <c r="F487" s="32">
        <v>47.0</v>
      </c>
      <c r="G487" s="32">
        <v>64.0</v>
      </c>
      <c r="H487" s="32">
        <v>80.0</v>
      </c>
    </row>
    <row r="488" ht="14.25" customHeight="1">
      <c r="A488" s="27" t="s">
        <v>377</v>
      </c>
      <c r="B488" s="125" t="s">
        <v>158</v>
      </c>
      <c r="C488" s="29" t="s">
        <v>43</v>
      </c>
      <c r="D488" s="29" t="s">
        <v>239</v>
      </c>
      <c r="E488" s="32">
        <v>33.0</v>
      </c>
      <c r="F488" s="32">
        <v>17.0</v>
      </c>
      <c r="G488" s="32">
        <v>33.0</v>
      </c>
      <c r="H488" s="32">
        <v>40.0</v>
      </c>
    </row>
    <row r="489" ht="14.25" customHeight="1">
      <c r="A489" s="27" t="s">
        <v>377</v>
      </c>
      <c r="B489" s="125" t="s">
        <v>399</v>
      </c>
      <c r="C489" s="29" t="s">
        <v>43</v>
      </c>
      <c r="D489" s="29" t="s">
        <v>242</v>
      </c>
      <c r="E489" s="32">
        <v>25.0</v>
      </c>
      <c r="F489" s="32">
        <v>13.0</v>
      </c>
      <c r="G489" s="32">
        <v>25.0</v>
      </c>
      <c r="H489" s="32">
        <v>29.0</v>
      </c>
    </row>
    <row r="490" ht="14.25" customHeight="1">
      <c r="A490" s="27" t="s">
        <v>729</v>
      </c>
      <c r="B490" s="27" t="s">
        <v>633</v>
      </c>
      <c r="C490" s="29" t="s">
        <v>43</v>
      </c>
      <c r="D490" s="29" t="s">
        <v>726</v>
      </c>
      <c r="E490" s="32">
        <v>70.0</v>
      </c>
      <c r="F490" s="32">
        <v>60.0</v>
      </c>
      <c r="G490" s="32">
        <v>70.0</v>
      </c>
      <c r="H490" s="32">
        <v>83.0</v>
      </c>
    </row>
    <row r="491" ht="14.25" customHeight="1">
      <c r="A491" s="27" t="s">
        <v>729</v>
      </c>
      <c r="B491" s="27" t="s">
        <v>634</v>
      </c>
      <c r="C491" s="29" t="s">
        <v>43</v>
      </c>
      <c r="D491" s="29" t="s">
        <v>727</v>
      </c>
      <c r="E491" s="32">
        <v>24.0</v>
      </c>
      <c r="F491" s="32">
        <v>20.0</v>
      </c>
      <c r="G491" s="32">
        <v>24.0</v>
      </c>
      <c r="H491" s="32">
        <v>28.0</v>
      </c>
    </row>
    <row r="492" ht="14.25" customHeight="1">
      <c r="A492" s="27" t="s">
        <v>729</v>
      </c>
      <c r="B492" s="27" t="s">
        <v>635</v>
      </c>
      <c r="C492" s="29" t="s">
        <v>43</v>
      </c>
      <c r="D492" s="29" t="s">
        <v>728</v>
      </c>
      <c r="E492" s="32">
        <v>33.0</v>
      </c>
      <c r="F492" s="32">
        <v>28.0</v>
      </c>
      <c r="G492" s="32">
        <v>33.0</v>
      </c>
      <c r="H492" s="32">
        <v>38.0</v>
      </c>
    </row>
    <row r="493" ht="14.25" customHeight="1">
      <c r="A493" s="27" t="s">
        <v>729</v>
      </c>
      <c r="B493" s="27" t="s">
        <v>636</v>
      </c>
      <c r="C493" s="29" t="s">
        <v>43</v>
      </c>
      <c r="D493" s="29" t="s">
        <v>725</v>
      </c>
      <c r="E493" s="32">
        <v>48.0</v>
      </c>
      <c r="F493" s="32">
        <v>41.0</v>
      </c>
      <c r="G493" s="32">
        <v>48.0</v>
      </c>
      <c r="H493" s="32">
        <v>56.0</v>
      </c>
    </row>
    <row r="494" ht="14.25" customHeight="1">
      <c r="A494" s="27" t="s">
        <v>730</v>
      </c>
      <c r="B494" s="27" t="s">
        <v>613</v>
      </c>
      <c r="C494" s="29" t="s">
        <v>43</v>
      </c>
      <c r="D494" s="29" t="s">
        <v>723</v>
      </c>
      <c r="E494" s="32">
        <v>40.0</v>
      </c>
      <c r="F494" s="32">
        <v>32.0</v>
      </c>
      <c r="G494" s="32">
        <v>40.0</v>
      </c>
      <c r="H494" s="32">
        <v>48.0</v>
      </c>
    </row>
    <row r="495" ht="14.25" customHeight="1">
      <c r="A495" s="27" t="s">
        <v>377</v>
      </c>
      <c r="B495" s="27" t="s">
        <v>602</v>
      </c>
      <c r="C495" s="29" t="s">
        <v>43</v>
      </c>
      <c r="D495" s="29" t="s">
        <v>239</v>
      </c>
      <c r="E495" s="32">
        <v>33.0</v>
      </c>
      <c r="F495" s="32">
        <v>17.0</v>
      </c>
      <c r="G495" s="32">
        <v>33.0</v>
      </c>
      <c r="H495" s="32">
        <v>40.0</v>
      </c>
    </row>
    <row r="496" ht="14.25" customHeight="1">
      <c r="A496" s="27" t="s">
        <v>377</v>
      </c>
      <c r="B496" s="27" t="s">
        <v>599</v>
      </c>
      <c r="C496" s="29" t="s">
        <v>43</v>
      </c>
      <c r="D496" s="29" t="s">
        <v>242</v>
      </c>
      <c r="E496" s="32">
        <v>30.0</v>
      </c>
      <c r="F496" s="32">
        <v>18.0</v>
      </c>
      <c r="G496" s="32">
        <v>30.0</v>
      </c>
      <c r="H496" s="32">
        <v>37.0</v>
      </c>
    </row>
    <row r="497" ht="14.25" customHeight="1">
      <c r="A497" s="27" t="s">
        <v>729</v>
      </c>
      <c r="B497" s="27" t="s">
        <v>597</v>
      </c>
      <c r="C497" s="29" t="s">
        <v>43</v>
      </c>
      <c r="D497" s="29" t="s">
        <v>724</v>
      </c>
      <c r="E497" s="32">
        <v>45.0</v>
      </c>
      <c r="F497" s="32">
        <v>36.0</v>
      </c>
      <c r="G497" s="32">
        <v>45.0</v>
      </c>
      <c r="H497" s="32">
        <v>54.0</v>
      </c>
    </row>
    <row r="498" ht="14.25" customHeight="1">
      <c r="A498" s="27" t="s">
        <v>729</v>
      </c>
      <c r="B498" s="27" t="s">
        <v>598</v>
      </c>
      <c r="C498" s="29" t="s">
        <v>43</v>
      </c>
      <c r="D498" s="29" t="s">
        <v>724</v>
      </c>
      <c r="E498" s="32">
        <v>45.0</v>
      </c>
      <c r="F498" s="32">
        <v>36.0</v>
      </c>
      <c r="G498" s="32">
        <v>45.0</v>
      </c>
      <c r="H498" s="32">
        <v>54.0</v>
      </c>
    </row>
    <row r="499" ht="14.25" customHeight="1">
      <c r="A499" s="27" t="s">
        <v>729</v>
      </c>
      <c r="B499" s="27" t="s">
        <v>594</v>
      </c>
      <c r="C499" s="29" t="s">
        <v>43</v>
      </c>
      <c r="D499" s="29" t="s">
        <v>725</v>
      </c>
      <c r="E499" s="32">
        <v>48.0</v>
      </c>
      <c r="F499" s="32">
        <v>41.0</v>
      </c>
      <c r="G499" s="32">
        <v>48.0</v>
      </c>
      <c r="H499" s="32">
        <v>56.0</v>
      </c>
    </row>
    <row r="500" ht="14.25" customHeight="1">
      <c r="A500" s="27" t="s">
        <v>729</v>
      </c>
      <c r="B500" s="27" t="s">
        <v>595</v>
      </c>
      <c r="C500" s="29" t="s">
        <v>43</v>
      </c>
      <c r="D500" s="29" t="s">
        <v>725</v>
      </c>
      <c r="E500" s="32">
        <v>48.0</v>
      </c>
      <c r="F500" s="32">
        <v>41.0</v>
      </c>
      <c r="G500" s="32">
        <v>48.0</v>
      </c>
      <c r="H500" s="32">
        <v>56.0</v>
      </c>
    </row>
    <row r="501" ht="14.25" customHeight="1">
      <c r="A501" s="27" t="s">
        <v>566</v>
      </c>
      <c r="B501" s="27" t="s">
        <v>567</v>
      </c>
      <c r="C501" s="29" t="s">
        <v>43</v>
      </c>
      <c r="D501" s="99" t="s">
        <v>731</v>
      </c>
      <c r="E501" s="32">
        <v>50.0</v>
      </c>
      <c r="F501" s="32">
        <v>40.0</v>
      </c>
      <c r="G501" s="32">
        <v>50.0</v>
      </c>
      <c r="H501" s="32">
        <v>60.0</v>
      </c>
    </row>
    <row r="502" ht="14.25" customHeight="1">
      <c r="A502" s="27" t="s">
        <v>377</v>
      </c>
      <c r="B502" s="27" t="s">
        <v>378</v>
      </c>
      <c r="C502" s="29" t="s">
        <v>43</v>
      </c>
      <c r="D502" s="29" t="s">
        <v>242</v>
      </c>
      <c r="E502" s="32">
        <v>30.0</v>
      </c>
      <c r="F502" s="32">
        <v>18.0</v>
      </c>
      <c r="G502" s="32">
        <v>30.0</v>
      </c>
      <c r="H502" s="32">
        <v>37.0</v>
      </c>
    </row>
    <row r="503" ht="14.25" customHeight="1">
      <c r="A503" s="27" t="s">
        <v>377</v>
      </c>
      <c r="B503" s="27" t="s">
        <v>380</v>
      </c>
      <c r="C503" s="29" t="s">
        <v>43</v>
      </c>
      <c r="D503" s="29" t="s">
        <v>239</v>
      </c>
      <c r="E503" s="32">
        <v>33.0</v>
      </c>
      <c r="F503" s="32">
        <v>17.0</v>
      </c>
      <c r="G503" s="32">
        <v>33.0</v>
      </c>
      <c r="H503" s="32">
        <v>40.0</v>
      </c>
    </row>
    <row r="504" ht="14.25" customHeight="1">
      <c r="A504" s="27" t="s">
        <v>388</v>
      </c>
      <c r="B504" s="27" t="s">
        <v>287</v>
      </c>
      <c r="C504" s="29" t="s">
        <v>43</v>
      </c>
      <c r="D504" s="29" t="s">
        <v>242</v>
      </c>
      <c r="E504" s="32">
        <v>30.0</v>
      </c>
      <c r="F504" s="32">
        <v>18.0</v>
      </c>
      <c r="G504" s="32">
        <v>30.0</v>
      </c>
      <c r="H504" s="32">
        <v>37.0</v>
      </c>
    </row>
    <row r="505" ht="14.25" customHeight="1">
      <c r="A505" s="27" t="s">
        <v>388</v>
      </c>
      <c r="B505" s="27" t="s">
        <v>380</v>
      </c>
      <c r="C505" s="29" t="s">
        <v>43</v>
      </c>
      <c r="D505" s="29" t="s">
        <v>239</v>
      </c>
      <c r="E505" s="32">
        <v>33.0</v>
      </c>
      <c r="F505" s="32">
        <v>17.0</v>
      </c>
      <c r="G505" s="32">
        <v>33.0</v>
      </c>
      <c r="H505" s="32">
        <v>40.0</v>
      </c>
    </row>
    <row r="506" ht="14.25" customHeight="1">
      <c r="A506" s="27" t="s">
        <v>377</v>
      </c>
      <c r="B506" s="27" t="s">
        <v>160</v>
      </c>
      <c r="C506" s="29" t="s">
        <v>732</v>
      </c>
      <c r="D506" s="99" t="s">
        <v>239</v>
      </c>
      <c r="E506" s="32">
        <v>29.0</v>
      </c>
      <c r="F506" s="32">
        <v>17.0</v>
      </c>
      <c r="G506" s="32">
        <v>29.0</v>
      </c>
      <c r="H506" s="32">
        <v>40.0</v>
      </c>
    </row>
    <row r="507" ht="14.25" customHeight="1">
      <c r="A507" s="27" t="s">
        <v>377</v>
      </c>
      <c r="B507" s="27" t="s">
        <v>163</v>
      </c>
      <c r="C507" s="29" t="s">
        <v>732</v>
      </c>
      <c r="D507" s="99" t="s">
        <v>239</v>
      </c>
      <c r="E507" s="32">
        <v>29.0</v>
      </c>
      <c r="F507" s="32">
        <v>17.0</v>
      </c>
      <c r="G507" s="32">
        <v>29.0</v>
      </c>
      <c r="H507" s="32">
        <v>40.0</v>
      </c>
    </row>
    <row r="508" ht="14.25" customHeight="1">
      <c r="A508" s="27" t="s">
        <v>377</v>
      </c>
      <c r="B508" s="27" t="s">
        <v>393</v>
      </c>
      <c r="C508" s="29" t="s">
        <v>732</v>
      </c>
      <c r="D508" s="110" t="s">
        <v>241</v>
      </c>
      <c r="E508" s="32">
        <v>67.0</v>
      </c>
      <c r="F508" s="32">
        <v>47.0</v>
      </c>
      <c r="G508" s="32">
        <v>67.0</v>
      </c>
      <c r="H508" s="32">
        <v>80.0</v>
      </c>
    </row>
    <row r="509" ht="14.25" customHeight="1">
      <c r="A509" s="27" t="s">
        <v>377</v>
      </c>
      <c r="B509" s="27" t="s">
        <v>158</v>
      </c>
      <c r="C509" s="29" t="s">
        <v>43</v>
      </c>
      <c r="D509" s="29" t="s">
        <v>239</v>
      </c>
      <c r="E509" s="32">
        <v>33.0</v>
      </c>
      <c r="F509" s="32">
        <v>17.0</v>
      </c>
      <c r="G509" s="32">
        <v>33.0</v>
      </c>
      <c r="H509" s="32">
        <v>40.0</v>
      </c>
    </row>
    <row r="510" ht="14.25" customHeight="1">
      <c r="A510" s="27" t="s">
        <v>377</v>
      </c>
      <c r="B510" s="27" t="s">
        <v>399</v>
      </c>
      <c r="C510" s="29" t="s">
        <v>43</v>
      </c>
      <c r="D510" s="29" t="s">
        <v>242</v>
      </c>
      <c r="E510" s="32">
        <v>25.0</v>
      </c>
      <c r="F510" s="32">
        <v>13.0</v>
      </c>
      <c r="G510" s="32">
        <v>25.0</v>
      </c>
      <c r="H510" s="32">
        <v>29.0</v>
      </c>
    </row>
    <row r="511" ht="14.25" customHeight="1">
      <c r="A511" s="27" t="s">
        <v>377</v>
      </c>
      <c r="B511" s="27" t="s">
        <v>715</v>
      </c>
      <c r="C511" s="29" t="s">
        <v>43</v>
      </c>
      <c r="D511" s="29" t="s">
        <v>242</v>
      </c>
      <c r="E511" s="32">
        <v>30.0</v>
      </c>
      <c r="F511" s="32">
        <v>18.0</v>
      </c>
      <c r="G511" s="32">
        <v>30.0</v>
      </c>
      <c r="H511" s="32">
        <v>37.0</v>
      </c>
    </row>
    <row r="512" ht="14.25" customHeight="1">
      <c r="A512" s="126" t="s">
        <v>388</v>
      </c>
      <c r="B512" s="126" t="s">
        <v>733</v>
      </c>
      <c r="C512" s="127" t="s">
        <v>43</v>
      </c>
      <c r="D512" s="29" t="s">
        <v>242</v>
      </c>
      <c r="E512" s="32">
        <v>30.0</v>
      </c>
      <c r="F512" s="32">
        <v>18.0</v>
      </c>
      <c r="G512" s="32">
        <v>30.0</v>
      </c>
      <c r="H512" s="32">
        <v>37.0</v>
      </c>
    </row>
    <row r="513" ht="14.25" customHeight="1">
      <c r="A513" s="126" t="s">
        <v>388</v>
      </c>
      <c r="B513" s="126" t="s">
        <v>734</v>
      </c>
      <c r="C513" s="127" t="s">
        <v>43</v>
      </c>
      <c r="D513" s="29" t="s">
        <v>242</v>
      </c>
      <c r="E513" s="32">
        <v>30.0</v>
      </c>
      <c r="F513" s="32">
        <v>18.0</v>
      </c>
      <c r="G513" s="32">
        <v>30.0</v>
      </c>
      <c r="H513" s="32">
        <v>37.0</v>
      </c>
    </row>
    <row r="514" ht="14.25" customHeight="1">
      <c r="A514" s="126" t="s">
        <v>388</v>
      </c>
      <c r="B514" s="126" t="s">
        <v>735</v>
      </c>
      <c r="C514" s="127" t="s">
        <v>43</v>
      </c>
      <c r="D514" s="29" t="s">
        <v>242</v>
      </c>
      <c r="E514" s="32">
        <v>30.0</v>
      </c>
      <c r="F514" s="32">
        <v>18.0</v>
      </c>
      <c r="G514" s="32">
        <v>30.0</v>
      </c>
      <c r="H514" s="32">
        <v>37.0</v>
      </c>
    </row>
    <row r="515" ht="14.25" customHeight="1">
      <c r="A515" s="126" t="s">
        <v>388</v>
      </c>
      <c r="B515" s="126" t="s">
        <v>736</v>
      </c>
      <c r="C515" s="127" t="s">
        <v>43</v>
      </c>
      <c r="D515" s="29" t="s">
        <v>242</v>
      </c>
      <c r="E515" s="32">
        <v>30.0</v>
      </c>
      <c r="F515" s="32">
        <v>18.0</v>
      </c>
      <c r="G515" s="32">
        <v>30.0</v>
      </c>
      <c r="H515" s="32">
        <v>37.0</v>
      </c>
    </row>
    <row r="516" ht="14.25" customHeight="1">
      <c r="A516" s="126" t="s">
        <v>377</v>
      </c>
      <c r="B516" s="126" t="s">
        <v>168</v>
      </c>
      <c r="C516" s="29" t="s">
        <v>43</v>
      </c>
      <c r="D516" s="29" t="s">
        <v>241</v>
      </c>
      <c r="E516" s="32">
        <v>67.0</v>
      </c>
      <c r="F516" s="32">
        <v>47.0</v>
      </c>
      <c r="G516" s="32">
        <v>67.0</v>
      </c>
      <c r="H516" s="32">
        <v>80.0</v>
      </c>
    </row>
    <row r="517" ht="14.25" customHeight="1">
      <c r="A517" s="27" t="s">
        <v>628</v>
      </c>
      <c r="B517" s="125" t="s">
        <v>701</v>
      </c>
      <c r="C517" s="29" t="s">
        <v>43</v>
      </c>
      <c r="D517" s="29" t="s">
        <v>737</v>
      </c>
      <c r="E517" s="32">
        <v>25.0</v>
      </c>
      <c r="F517" s="32">
        <v>18.0</v>
      </c>
      <c r="G517" s="32">
        <v>25.0</v>
      </c>
      <c r="H517" s="32">
        <v>33.0</v>
      </c>
    </row>
    <row r="518" ht="14.25" customHeight="1">
      <c r="A518" s="27" t="s">
        <v>628</v>
      </c>
      <c r="B518" s="125" t="s">
        <v>702</v>
      </c>
      <c r="C518" s="29" t="s">
        <v>43</v>
      </c>
      <c r="D518" s="29" t="s">
        <v>737</v>
      </c>
      <c r="E518" s="32">
        <v>25.0</v>
      </c>
      <c r="F518" s="32">
        <v>18.0</v>
      </c>
      <c r="G518" s="32">
        <v>25.0</v>
      </c>
      <c r="H518" s="32">
        <v>33.0</v>
      </c>
    </row>
    <row r="519" ht="14.25" customHeight="1">
      <c r="A519" s="27" t="s">
        <v>628</v>
      </c>
      <c r="B519" s="125" t="s">
        <v>703</v>
      </c>
      <c r="C519" s="29" t="s">
        <v>43</v>
      </c>
      <c r="D519" s="29" t="s">
        <v>737</v>
      </c>
      <c r="E519" s="32">
        <v>25.0</v>
      </c>
      <c r="F519" s="32">
        <v>18.0</v>
      </c>
      <c r="G519" s="32">
        <v>25.0</v>
      </c>
      <c r="H519" s="32">
        <v>33.0</v>
      </c>
    </row>
    <row r="520" ht="14.25" customHeight="1">
      <c r="A520" s="27" t="s">
        <v>699</v>
      </c>
      <c r="B520" s="125" t="s">
        <v>700</v>
      </c>
      <c r="C520" s="29" t="s">
        <v>43</v>
      </c>
      <c r="D520" s="29" t="s">
        <v>243</v>
      </c>
      <c r="E520" s="32">
        <v>31.0</v>
      </c>
      <c r="F520" s="32">
        <v>23.0</v>
      </c>
      <c r="G520" s="32">
        <v>31.0</v>
      </c>
      <c r="H520" s="32">
        <v>40.0</v>
      </c>
    </row>
    <row r="521" ht="14.25" customHeight="1">
      <c r="A521" s="27" t="s">
        <v>618</v>
      </c>
      <c r="B521" s="125" t="s">
        <v>619</v>
      </c>
      <c r="C521" s="29" t="s">
        <v>43</v>
      </c>
      <c r="D521" s="29" t="s">
        <v>738</v>
      </c>
      <c r="E521" s="32">
        <v>20.0</v>
      </c>
      <c r="F521" s="32">
        <v>16.0</v>
      </c>
      <c r="G521" s="32">
        <v>20.0</v>
      </c>
      <c r="H521" s="32">
        <v>24.0</v>
      </c>
    </row>
    <row r="522" ht="14.25" customHeight="1">
      <c r="A522" s="27" t="s">
        <v>616</v>
      </c>
      <c r="B522" s="125" t="s">
        <v>617</v>
      </c>
      <c r="C522" s="29" t="s">
        <v>43</v>
      </c>
      <c r="D522" s="29" t="s">
        <v>738</v>
      </c>
      <c r="E522" s="32">
        <v>20.0</v>
      </c>
      <c r="F522" s="32">
        <v>16.0</v>
      </c>
      <c r="G522" s="32">
        <v>20.0</v>
      </c>
      <c r="H522" s="32">
        <v>24.0</v>
      </c>
    </row>
    <row r="523" ht="14.25" customHeight="1">
      <c r="A523" s="27" t="s">
        <v>502</v>
      </c>
      <c r="B523" s="125" t="s">
        <v>503</v>
      </c>
      <c r="C523" s="29" t="s">
        <v>43</v>
      </c>
      <c r="D523" s="99" t="s">
        <v>248</v>
      </c>
      <c r="E523" s="32">
        <v>19.0</v>
      </c>
      <c r="F523" s="32">
        <v>14.0</v>
      </c>
      <c r="G523" s="32">
        <v>19.0</v>
      </c>
      <c r="H523" s="32">
        <v>31.0</v>
      </c>
    </row>
    <row r="524" ht="14.25" customHeight="1">
      <c r="A524" s="27" t="s">
        <v>623</v>
      </c>
      <c r="B524" s="125" t="s">
        <v>627</v>
      </c>
      <c r="C524" s="29" t="s">
        <v>43</v>
      </c>
      <c r="D524" s="29" t="s">
        <v>737</v>
      </c>
      <c r="E524" s="32">
        <v>25.0</v>
      </c>
      <c r="F524" s="32">
        <v>18.0</v>
      </c>
      <c r="G524" s="32">
        <v>25.0</v>
      </c>
      <c r="H524" s="32">
        <v>33.0</v>
      </c>
    </row>
    <row r="525" ht="14.25" customHeight="1">
      <c r="A525" s="27" t="s">
        <v>623</v>
      </c>
      <c r="B525" s="125" t="s">
        <v>628</v>
      </c>
      <c r="C525" s="29" t="s">
        <v>43</v>
      </c>
      <c r="D525" s="29" t="s">
        <v>737</v>
      </c>
      <c r="E525" s="32">
        <v>25.0</v>
      </c>
      <c r="F525" s="32">
        <v>18.0</v>
      </c>
      <c r="G525" s="32">
        <v>25.0</v>
      </c>
      <c r="H525" s="32">
        <v>33.0</v>
      </c>
    </row>
    <row r="526" ht="14.25" customHeight="1">
      <c r="A526" s="27" t="s">
        <v>623</v>
      </c>
      <c r="B526" s="125" t="s">
        <v>629</v>
      </c>
      <c r="C526" s="29" t="s">
        <v>43</v>
      </c>
      <c r="D526" s="29" t="s">
        <v>243</v>
      </c>
      <c r="E526" s="32">
        <v>31.0</v>
      </c>
      <c r="F526" s="32">
        <v>23.0</v>
      </c>
      <c r="G526" s="32">
        <v>31.0</v>
      </c>
      <c r="H526" s="32">
        <v>40.0</v>
      </c>
    </row>
    <row r="527" ht="14.25" customHeight="1">
      <c r="A527" s="27" t="s">
        <v>623</v>
      </c>
      <c r="B527" s="125" t="s">
        <v>630</v>
      </c>
      <c r="C527" s="29" t="s">
        <v>43</v>
      </c>
      <c r="D527" s="29" t="s">
        <v>243</v>
      </c>
      <c r="E527" s="32">
        <v>31.0</v>
      </c>
      <c r="F527" s="32">
        <v>23.0</v>
      </c>
      <c r="G527" s="32">
        <v>31.0</v>
      </c>
      <c r="H527" s="32">
        <v>40.0</v>
      </c>
    </row>
    <row r="528" ht="14.25" customHeight="1">
      <c r="A528" s="27" t="s">
        <v>377</v>
      </c>
      <c r="B528" s="125" t="s">
        <v>384</v>
      </c>
      <c r="C528" s="29" t="s">
        <v>43</v>
      </c>
      <c r="D528" s="29" t="s">
        <v>246</v>
      </c>
      <c r="E528" s="32">
        <v>14.0</v>
      </c>
      <c r="F528" s="32">
        <v>8.0</v>
      </c>
      <c r="G528" s="32">
        <v>14.0</v>
      </c>
      <c r="H528" s="32">
        <v>17.0</v>
      </c>
    </row>
    <row r="529" ht="14.25" customHeight="1">
      <c r="A529" s="27" t="s">
        <v>377</v>
      </c>
      <c r="B529" s="125" t="s">
        <v>386</v>
      </c>
      <c r="C529" s="29" t="s">
        <v>43</v>
      </c>
      <c r="D529" s="99" t="s">
        <v>739</v>
      </c>
      <c r="E529" s="32">
        <v>31.0</v>
      </c>
      <c r="F529" s="32">
        <v>23.0</v>
      </c>
      <c r="G529" s="32">
        <v>31.0</v>
      </c>
      <c r="H529" s="32">
        <v>40.0</v>
      </c>
    </row>
    <row r="530" ht="14.25" customHeight="1">
      <c r="A530" s="27" t="s">
        <v>265</v>
      </c>
      <c r="B530" s="125" t="s">
        <v>272</v>
      </c>
      <c r="C530" s="29" t="s">
        <v>43</v>
      </c>
      <c r="D530" s="29" t="s">
        <v>740</v>
      </c>
      <c r="E530" s="32">
        <v>10.0</v>
      </c>
      <c r="F530" s="32">
        <v>8.0</v>
      </c>
      <c r="G530" s="32">
        <v>10.0</v>
      </c>
      <c r="H530" s="32">
        <v>12.0</v>
      </c>
    </row>
    <row r="531" ht="14.25" customHeight="1">
      <c r="A531" s="27" t="s">
        <v>388</v>
      </c>
      <c r="B531" s="125" t="s">
        <v>389</v>
      </c>
      <c r="C531" s="29" t="s">
        <v>43</v>
      </c>
      <c r="D531" s="29" t="s">
        <v>246</v>
      </c>
      <c r="E531" s="32">
        <v>14.0</v>
      </c>
      <c r="F531" s="32">
        <v>8.0</v>
      </c>
      <c r="G531" s="32">
        <v>14.0</v>
      </c>
      <c r="H531" s="32">
        <v>17.0</v>
      </c>
    </row>
    <row r="532" ht="14.25" customHeight="1">
      <c r="A532" s="27" t="s">
        <v>377</v>
      </c>
      <c r="B532" s="125" t="s">
        <v>386</v>
      </c>
      <c r="C532" s="29" t="s">
        <v>43</v>
      </c>
      <c r="D532" s="99" t="s">
        <v>739</v>
      </c>
      <c r="E532" s="32">
        <v>27.0</v>
      </c>
      <c r="F532" s="32">
        <v>18.0</v>
      </c>
      <c r="G532" s="32">
        <v>27.0</v>
      </c>
      <c r="H532" s="32">
        <v>35.0</v>
      </c>
    </row>
    <row r="533" ht="14.25" customHeight="1">
      <c r="A533" s="27" t="s">
        <v>620</v>
      </c>
      <c r="B533" s="125" t="s">
        <v>152</v>
      </c>
      <c r="C533" s="29" t="s">
        <v>43</v>
      </c>
      <c r="D533" s="29" t="s">
        <v>737</v>
      </c>
      <c r="E533" s="32">
        <v>25.0</v>
      </c>
      <c r="F533" s="32">
        <v>18.0</v>
      </c>
      <c r="G533" s="32">
        <v>25.0</v>
      </c>
      <c r="H533" s="32">
        <v>33.0</v>
      </c>
    </row>
    <row r="534" ht="14.25" customHeight="1">
      <c r="A534" s="27" t="s">
        <v>729</v>
      </c>
      <c r="B534" s="27" t="s">
        <v>701</v>
      </c>
      <c r="C534" s="29" t="s">
        <v>43</v>
      </c>
      <c r="D534" s="29" t="s">
        <v>737</v>
      </c>
      <c r="E534" s="32">
        <v>25.0</v>
      </c>
      <c r="F534" s="32">
        <v>18.0</v>
      </c>
      <c r="G534" s="32">
        <v>25.0</v>
      </c>
      <c r="H534" s="32">
        <v>33.0</v>
      </c>
    </row>
    <row r="535" ht="14.25" customHeight="1">
      <c r="A535" s="27" t="s">
        <v>729</v>
      </c>
      <c r="B535" s="27" t="s">
        <v>702</v>
      </c>
      <c r="C535" s="29" t="s">
        <v>43</v>
      </c>
      <c r="D535" s="29" t="s">
        <v>737</v>
      </c>
      <c r="E535" s="32">
        <v>25.0</v>
      </c>
      <c r="F535" s="32">
        <v>18.0</v>
      </c>
      <c r="G535" s="32">
        <v>25.0</v>
      </c>
      <c r="H535" s="32">
        <v>33.0</v>
      </c>
    </row>
    <row r="536" ht="14.25" customHeight="1">
      <c r="A536" s="27" t="s">
        <v>729</v>
      </c>
      <c r="B536" s="27" t="s">
        <v>703</v>
      </c>
      <c r="C536" s="29" t="s">
        <v>43</v>
      </c>
      <c r="D536" s="29" t="s">
        <v>737</v>
      </c>
      <c r="E536" s="32">
        <v>25.0</v>
      </c>
      <c r="F536" s="32">
        <v>18.0</v>
      </c>
      <c r="G536" s="32">
        <v>25.0</v>
      </c>
      <c r="H536" s="32">
        <v>33.0</v>
      </c>
    </row>
    <row r="537" ht="14.25" customHeight="1">
      <c r="A537" s="27" t="s">
        <v>729</v>
      </c>
      <c r="B537" s="27" t="s">
        <v>700</v>
      </c>
      <c r="C537" s="29" t="s">
        <v>43</v>
      </c>
      <c r="D537" s="29" t="s">
        <v>243</v>
      </c>
      <c r="E537" s="32">
        <v>31.0</v>
      </c>
      <c r="F537" s="32">
        <v>23.0</v>
      </c>
      <c r="G537" s="32">
        <v>31.0</v>
      </c>
      <c r="H537" s="32">
        <v>40.0</v>
      </c>
    </row>
    <row r="538" ht="14.25" customHeight="1">
      <c r="A538" s="27" t="s">
        <v>729</v>
      </c>
      <c r="B538" s="27" t="s">
        <v>627</v>
      </c>
      <c r="C538" s="29" t="s">
        <v>43</v>
      </c>
      <c r="D538" s="29" t="s">
        <v>737</v>
      </c>
      <c r="E538" s="32">
        <v>25.0</v>
      </c>
      <c r="F538" s="32">
        <v>18.0</v>
      </c>
      <c r="G538" s="32">
        <v>25.0</v>
      </c>
      <c r="H538" s="32">
        <v>33.0</v>
      </c>
    </row>
    <row r="539" ht="14.25" customHeight="1">
      <c r="A539" s="27" t="s">
        <v>729</v>
      </c>
      <c r="B539" s="27" t="s">
        <v>628</v>
      </c>
      <c r="C539" s="29" t="s">
        <v>43</v>
      </c>
      <c r="D539" s="29" t="s">
        <v>737</v>
      </c>
      <c r="E539" s="32">
        <v>25.0</v>
      </c>
      <c r="F539" s="32">
        <v>18.0</v>
      </c>
      <c r="G539" s="32">
        <v>25.0</v>
      </c>
      <c r="H539" s="32">
        <v>33.0</v>
      </c>
    </row>
    <row r="540" ht="14.25" customHeight="1">
      <c r="A540" s="27" t="s">
        <v>729</v>
      </c>
      <c r="B540" s="27" t="s">
        <v>629</v>
      </c>
      <c r="C540" s="29" t="s">
        <v>43</v>
      </c>
      <c r="D540" s="29" t="s">
        <v>243</v>
      </c>
      <c r="E540" s="32">
        <v>31.0</v>
      </c>
      <c r="F540" s="32">
        <v>23.0</v>
      </c>
      <c r="G540" s="32">
        <v>31.0</v>
      </c>
      <c r="H540" s="32">
        <v>40.0</v>
      </c>
    </row>
    <row r="541" ht="14.25" customHeight="1">
      <c r="A541" s="27" t="s">
        <v>729</v>
      </c>
      <c r="B541" s="27" t="s">
        <v>630</v>
      </c>
      <c r="C541" s="29" t="s">
        <v>43</v>
      </c>
      <c r="D541" s="29" t="s">
        <v>243</v>
      </c>
      <c r="E541" s="32">
        <v>31.0</v>
      </c>
      <c r="F541" s="32">
        <v>23.0</v>
      </c>
      <c r="G541" s="32">
        <v>31.0</v>
      </c>
      <c r="H541" s="32">
        <v>40.0</v>
      </c>
    </row>
    <row r="542" ht="14.25" customHeight="1">
      <c r="A542" s="27" t="s">
        <v>729</v>
      </c>
      <c r="B542" s="27" t="s">
        <v>152</v>
      </c>
      <c r="C542" s="29" t="s">
        <v>43</v>
      </c>
      <c r="D542" s="29" t="s">
        <v>737</v>
      </c>
      <c r="E542" s="32">
        <v>25.0</v>
      </c>
      <c r="F542" s="32">
        <v>18.0</v>
      </c>
      <c r="G542" s="32">
        <v>25.0</v>
      </c>
      <c r="H542" s="32">
        <v>33.0</v>
      </c>
    </row>
    <row r="543" ht="14.25" customHeight="1">
      <c r="A543" s="27" t="s">
        <v>730</v>
      </c>
      <c r="B543" s="27" t="s">
        <v>619</v>
      </c>
      <c r="C543" s="29" t="s">
        <v>43</v>
      </c>
      <c r="D543" s="29" t="s">
        <v>738</v>
      </c>
      <c r="E543" s="32">
        <v>20.0</v>
      </c>
      <c r="F543" s="32">
        <v>16.0</v>
      </c>
      <c r="G543" s="32">
        <v>20.0</v>
      </c>
      <c r="H543" s="32">
        <v>24.0</v>
      </c>
    </row>
    <row r="544" ht="14.25" customHeight="1">
      <c r="A544" s="27" t="s">
        <v>730</v>
      </c>
      <c r="B544" s="27" t="s">
        <v>617</v>
      </c>
      <c r="C544" s="29" t="s">
        <v>43</v>
      </c>
      <c r="D544" s="29" t="s">
        <v>738</v>
      </c>
      <c r="E544" s="32">
        <v>20.0</v>
      </c>
      <c r="F544" s="32">
        <v>16.0</v>
      </c>
      <c r="G544" s="32">
        <v>20.0</v>
      </c>
      <c r="H544" s="32">
        <v>24.0</v>
      </c>
    </row>
    <row r="545" ht="14.25" customHeight="1">
      <c r="A545" s="27" t="s">
        <v>502</v>
      </c>
      <c r="B545" s="27" t="s">
        <v>503</v>
      </c>
      <c r="C545" s="29" t="s">
        <v>43</v>
      </c>
      <c r="D545" s="99" t="s">
        <v>248</v>
      </c>
      <c r="E545" s="32">
        <v>26.0</v>
      </c>
      <c r="F545" s="32">
        <v>14.0</v>
      </c>
      <c r="G545" s="32">
        <v>26.0</v>
      </c>
      <c r="H545" s="32">
        <v>31.0</v>
      </c>
    </row>
    <row r="546" ht="14.25" customHeight="1">
      <c r="A546" s="27" t="s">
        <v>377</v>
      </c>
      <c r="B546" s="27" t="s">
        <v>384</v>
      </c>
      <c r="C546" s="29" t="s">
        <v>43</v>
      </c>
      <c r="D546" s="29" t="s">
        <v>246</v>
      </c>
      <c r="E546" s="32">
        <v>14.0</v>
      </c>
      <c r="F546" s="32">
        <v>8.0</v>
      </c>
      <c r="G546" s="32">
        <v>14.0</v>
      </c>
      <c r="H546" s="32">
        <v>17.0</v>
      </c>
    </row>
    <row r="547" ht="14.25" customHeight="1">
      <c r="A547" s="27" t="s">
        <v>377</v>
      </c>
      <c r="B547" s="27" t="s">
        <v>386</v>
      </c>
      <c r="C547" s="29" t="s">
        <v>43</v>
      </c>
      <c r="D547" s="99" t="s">
        <v>739</v>
      </c>
      <c r="E547" s="32">
        <v>29.0</v>
      </c>
      <c r="F547" s="32">
        <v>18.0</v>
      </c>
      <c r="G547" s="32">
        <v>29.0</v>
      </c>
      <c r="H547" s="32">
        <v>35.0</v>
      </c>
    </row>
    <row r="548" ht="14.25" customHeight="1">
      <c r="A548" s="27" t="s">
        <v>388</v>
      </c>
      <c r="B548" s="27" t="s">
        <v>389</v>
      </c>
      <c r="C548" s="29" t="s">
        <v>43</v>
      </c>
      <c r="D548" s="29" t="s">
        <v>246</v>
      </c>
      <c r="E548" s="32">
        <v>14.0</v>
      </c>
      <c r="F548" s="32">
        <v>8.0</v>
      </c>
      <c r="G548" s="32">
        <v>14.0</v>
      </c>
      <c r="H548" s="32">
        <v>17.0</v>
      </c>
    </row>
    <row r="549" ht="14.25" customHeight="1">
      <c r="A549" s="27" t="s">
        <v>377</v>
      </c>
      <c r="B549" s="27" t="s">
        <v>386</v>
      </c>
      <c r="C549" s="29" t="s">
        <v>43</v>
      </c>
      <c r="D549" s="99" t="s">
        <v>739</v>
      </c>
      <c r="E549" s="32">
        <v>29.0</v>
      </c>
      <c r="F549" s="32">
        <v>18.0</v>
      </c>
      <c r="G549" s="32">
        <v>29.0</v>
      </c>
      <c r="H549" s="32">
        <v>35.0</v>
      </c>
    </row>
    <row r="550" ht="14.25" customHeight="1">
      <c r="A550" s="27" t="s">
        <v>377</v>
      </c>
      <c r="B550" s="27" t="s">
        <v>714</v>
      </c>
      <c r="C550" s="29" t="s">
        <v>43</v>
      </c>
      <c r="D550" s="99" t="s">
        <v>248</v>
      </c>
      <c r="E550" s="32">
        <v>21.0</v>
      </c>
      <c r="F550" s="32">
        <v>12.0</v>
      </c>
      <c r="G550" s="32">
        <v>21.0</v>
      </c>
      <c r="H550" s="32">
        <v>25.0</v>
      </c>
    </row>
    <row r="551" ht="14.25" customHeight="1">
      <c r="A551" s="126" t="s">
        <v>377</v>
      </c>
      <c r="B551" s="126" t="s">
        <v>172</v>
      </c>
      <c r="C551" s="29" t="s">
        <v>43</v>
      </c>
      <c r="D551" s="99" t="s">
        <v>739</v>
      </c>
      <c r="E551" s="32">
        <v>29.0</v>
      </c>
      <c r="F551" s="32">
        <v>18.0</v>
      </c>
      <c r="G551" s="32">
        <v>29.0</v>
      </c>
      <c r="H551" s="32">
        <v>35.0</v>
      </c>
    </row>
    <row r="552" ht="14.25" customHeight="1">
      <c r="A552" s="27" t="s">
        <v>475</v>
      </c>
      <c r="B552" s="125" t="s">
        <v>476</v>
      </c>
      <c r="C552" s="29" t="s">
        <v>43</v>
      </c>
      <c r="D552" s="29" t="s">
        <v>255</v>
      </c>
      <c r="E552" s="32">
        <v>15.0</v>
      </c>
      <c r="F552" s="32">
        <v>12.0</v>
      </c>
      <c r="G552" s="32">
        <v>15.0</v>
      </c>
      <c r="H552" s="32">
        <v>18.0</v>
      </c>
    </row>
    <row r="553" ht="14.25" customHeight="1">
      <c r="A553" s="27" t="s">
        <v>529</v>
      </c>
      <c r="B553" s="125" t="s">
        <v>530</v>
      </c>
      <c r="C553" s="29" t="s">
        <v>43</v>
      </c>
      <c r="D553" s="29" t="s">
        <v>269</v>
      </c>
      <c r="E553" s="32">
        <v>35.0</v>
      </c>
      <c r="F553" s="32">
        <v>28.0</v>
      </c>
      <c r="G553" s="32">
        <v>35.0</v>
      </c>
      <c r="H553" s="32">
        <v>42.0</v>
      </c>
    </row>
    <row r="554" ht="14.25" customHeight="1">
      <c r="A554" s="27" t="s">
        <v>527</v>
      </c>
      <c r="B554" s="125" t="s">
        <v>528</v>
      </c>
      <c r="C554" s="29" t="s">
        <v>43</v>
      </c>
      <c r="D554" s="29" t="s">
        <v>262</v>
      </c>
      <c r="E554" s="32">
        <v>35.0</v>
      </c>
      <c r="F554" s="32">
        <v>28.0</v>
      </c>
      <c r="G554" s="32">
        <v>35.0</v>
      </c>
      <c r="H554" s="32">
        <v>42.0</v>
      </c>
    </row>
    <row r="555" ht="14.25" customHeight="1">
      <c r="A555" s="27" t="s">
        <v>525</v>
      </c>
      <c r="B555" s="125" t="s">
        <v>526</v>
      </c>
      <c r="C555" s="29" t="s">
        <v>43</v>
      </c>
      <c r="D555" s="29" t="s">
        <v>253</v>
      </c>
      <c r="E555" s="32">
        <v>26.0</v>
      </c>
      <c r="F555" s="32">
        <v>21.0</v>
      </c>
      <c r="G555" s="32">
        <v>26.0</v>
      </c>
      <c r="H555" s="32">
        <v>31.0</v>
      </c>
    </row>
    <row r="556" ht="14.25" customHeight="1">
      <c r="A556" s="27" t="s">
        <v>523</v>
      </c>
      <c r="B556" s="125" t="s">
        <v>524</v>
      </c>
      <c r="C556" s="29" t="s">
        <v>43</v>
      </c>
      <c r="D556" s="29" t="s">
        <v>249</v>
      </c>
      <c r="E556" s="32">
        <v>1.0</v>
      </c>
      <c r="F556" s="32">
        <v>1.0</v>
      </c>
      <c r="G556" s="32">
        <v>1.0</v>
      </c>
      <c r="H556" s="32">
        <v>1.0</v>
      </c>
    </row>
    <row r="557" ht="14.25" customHeight="1">
      <c r="A557" s="27" t="s">
        <v>521</v>
      </c>
      <c r="B557" s="125" t="s">
        <v>522</v>
      </c>
      <c r="C557" s="29" t="s">
        <v>30</v>
      </c>
      <c r="D557" s="29" t="s">
        <v>741</v>
      </c>
      <c r="E557" s="32">
        <v>35.0</v>
      </c>
      <c r="F557" s="32">
        <v>30.0</v>
      </c>
      <c r="G557" s="32">
        <v>35.0</v>
      </c>
      <c r="H557" s="32">
        <v>40.0</v>
      </c>
    </row>
    <row r="558" ht="14.25" customHeight="1">
      <c r="A558" s="27" t="s">
        <v>105</v>
      </c>
      <c r="B558" s="125" t="s">
        <v>514</v>
      </c>
      <c r="C558" s="29" t="s">
        <v>43</v>
      </c>
      <c r="D558" s="29" t="s">
        <v>253</v>
      </c>
      <c r="E558" s="32">
        <v>26.0</v>
      </c>
      <c r="F558" s="32">
        <v>21.0</v>
      </c>
      <c r="G558" s="32">
        <v>26.0</v>
      </c>
      <c r="H558" s="32">
        <v>31.0</v>
      </c>
    </row>
    <row r="559" ht="14.25" customHeight="1">
      <c r="A559" s="27" t="s">
        <v>105</v>
      </c>
      <c r="B559" s="125" t="s">
        <v>515</v>
      </c>
      <c r="C559" s="29" t="s">
        <v>43</v>
      </c>
      <c r="D559" s="29" t="s">
        <v>258</v>
      </c>
      <c r="E559" s="32">
        <v>26.0</v>
      </c>
      <c r="F559" s="32">
        <v>21.0</v>
      </c>
      <c r="G559" s="32">
        <v>26.0</v>
      </c>
      <c r="H559" s="32">
        <v>31.0</v>
      </c>
    </row>
    <row r="560" ht="14.25" customHeight="1">
      <c r="A560" s="27" t="s">
        <v>105</v>
      </c>
      <c r="B560" s="125" t="s">
        <v>516</v>
      </c>
      <c r="C560" s="29" t="s">
        <v>43</v>
      </c>
      <c r="D560" s="29" t="s">
        <v>258</v>
      </c>
      <c r="E560" s="32">
        <v>26.0</v>
      </c>
      <c r="F560" s="32">
        <v>21.0</v>
      </c>
      <c r="G560" s="32">
        <v>26.0</v>
      </c>
      <c r="H560" s="32">
        <v>31.0</v>
      </c>
    </row>
    <row r="561" ht="14.25" customHeight="1">
      <c r="A561" s="27" t="s">
        <v>105</v>
      </c>
      <c r="B561" s="125" t="s">
        <v>517</v>
      </c>
      <c r="C561" s="29" t="s">
        <v>43</v>
      </c>
      <c r="D561" s="99" t="s">
        <v>254</v>
      </c>
      <c r="E561" s="32">
        <v>26.0</v>
      </c>
      <c r="F561" s="32">
        <v>21.0</v>
      </c>
      <c r="G561" s="32">
        <v>26.0</v>
      </c>
      <c r="H561" s="32">
        <v>31.0</v>
      </c>
    </row>
    <row r="562" ht="14.25" customHeight="1">
      <c r="A562" s="27" t="s">
        <v>105</v>
      </c>
      <c r="B562" s="125" t="s">
        <v>518</v>
      </c>
      <c r="C562" s="29" t="s">
        <v>43</v>
      </c>
      <c r="D562" s="99" t="s">
        <v>254</v>
      </c>
      <c r="E562" s="32">
        <v>26.0</v>
      </c>
      <c r="F562" s="32">
        <v>21.0</v>
      </c>
      <c r="G562" s="32">
        <v>26.0</v>
      </c>
      <c r="H562" s="32">
        <v>31.0</v>
      </c>
    </row>
    <row r="563" ht="14.25" customHeight="1">
      <c r="A563" s="27" t="s">
        <v>105</v>
      </c>
      <c r="B563" s="125" t="s">
        <v>519</v>
      </c>
      <c r="C563" s="29" t="s">
        <v>43</v>
      </c>
      <c r="D563" s="29" t="s">
        <v>255</v>
      </c>
      <c r="E563" s="32">
        <v>26.0</v>
      </c>
      <c r="F563" s="32">
        <v>21.0</v>
      </c>
      <c r="G563" s="32">
        <v>26.0</v>
      </c>
      <c r="H563" s="32">
        <v>31.0</v>
      </c>
    </row>
    <row r="564" ht="14.25" customHeight="1">
      <c r="A564" s="27" t="s">
        <v>105</v>
      </c>
      <c r="B564" s="125" t="s">
        <v>520</v>
      </c>
      <c r="C564" s="29" t="s">
        <v>43</v>
      </c>
      <c r="D564" s="29" t="s">
        <v>742</v>
      </c>
      <c r="E564" s="32">
        <v>26.0</v>
      </c>
      <c r="F564" s="32">
        <v>21.0</v>
      </c>
      <c r="G564" s="32">
        <v>26.0</v>
      </c>
      <c r="H564" s="32">
        <v>31.0</v>
      </c>
    </row>
    <row r="565" ht="14.25" customHeight="1">
      <c r="A565" s="27" t="s">
        <v>510</v>
      </c>
      <c r="B565" s="125" t="s">
        <v>511</v>
      </c>
      <c r="C565" s="29" t="s">
        <v>43</v>
      </c>
      <c r="D565" s="29" t="s">
        <v>743</v>
      </c>
      <c r="E565" s="32">
        <v>35.0</v>
      </c>
      <c r="F565" s="32">
        <v>28.0</v>
      </c>
      <c r="G565" s="32">
        <v>35.0</v>
      </c>
      <c r="H565" s="32">
        <v>42.0</v>
      </c>
    </row>
    <row r="566" ht="14.25" customHeight="1">
      <c r="A566" s="27" t="s">
        <v>406</v>
      </c>
      <c r="B566" s="125" t="s">
        <v>407</v>
      </c>
      <c r="C566" s="29" t="s">
        <v>43</v>
      </c>
      <c r="D566" s="29" t="s">
        <v>252</v>
      </c>
      <c r="E566" s="32">
        <v>13.0</v>
      </c>
      <c r="F566" s="32">
        <v>4.0</v>
      </c>
      <c r="G566" s="32">
        <v>13.0</v>
      </c>
      <c r="H566" s="32">
        <v>6.0</v>
      </c>
    </row>
    <row r="567" ht="14.25" customHeight="1">
      <c r="A567" s="27" t="s">
        <v>175</v>
      </c>
      <c r="B567" s="125" t="s">
        <v>190</v>
      </c>
      <c r="C567" s="29" t="s">
        <v>43</v>
      </c>
      <c r="D567" s="29" t="s">
        <v>264</v>
      </c>
      <c r="E567" s="32">
        <v>1.0</v>
      </c>
      <c r="F567" s="32">
        <v>1.0</v>
      </c>
      <c r="G567" s="32">
        <v>1.0</v>
      </c>
      <c r="H567" s="32">
        <v>1.0</v>
      </c>
    </row>
    <row r="568" ht="14.25" customHeight="1">
      <c r="A568" s="27" t="s">
        <v>98</v>
      </c>
      <c r="B568" s="125" t="s">
        <v>101</v>
      </c>
      <c r="C568" s="29" t="s">
        <v>43</v>
      </c>
      <c r="D568" s="29" t="s">
        <v>255</v>
      </c>
      <c r="E568" s="32">
        <v>25.0</v>
      </c>
      <c r="F568" s="32">
        <v>20.0</v>
      </c>
      <c r="G568" s="32">
        <v>25.0</v>
      </c>
      <c r="H568" s="32">
        <v>30.0</v>
      </c>
    </row>
    <row r="569" ht="14.25" customHeight="1">
      <c r="A569" s="27" t="s">
        <v>512</v>
      </c>
      <c r="B569" s="125" t="s">
        <v>513</v>
      </c>
      <c r="C569" s="29" t="s">
        <v>30</v>
      </c>
      <c r="D569" s="29" t="s">
        <v>741</v>
      </c>
      <c r="E569" s="32">
        <v>35.0</v>
      </c>
      <c r="F569" s="32">
        <v>30.0</v>
      </c>
      <c r="G569" s="32">
        <v>35.0</v>
      </c>
      <c r="H569" s="32">
        <v>40.0</v>
      </c>
    </row>
    <row r="570" ht="14.25" customHeight="1">
      <c r="A570" s="27" t="s">
        <v>92</v>
      </c>
      <c r="B570" s="125" t="s">
        <v>105</v>
      </c>
      <c r="C570" s="29" t="s">
        <v>30</v>
      </c>
      <c r="D570" s="29" t="s">
        <v>741</v>
      </c>
      <c r="E570" s="32">
        <v>35.0</v>
      </c>
      <c r="F570" s="32">
        <v>30.0</v>
      </c>
      <c r="G570" s="32">
        <v>35.0</v>
      </c>
      <c r="H570" s="32">
        <v>40.0</v>
      </c>
    </row>
    <row r="571" ht="14.25" customHeight="1">
      <c r="A571" s="110" t="s">
        <v>92</v>
      </c>
      <c r="B571" s="125" t="s">
        <v>73</v>
      </c>
      <c r="C571" s="29" t="s">
        <v>30</v>
      </c>
      <c r="D571" s="29" t="s">
        <v>741</v>
      </c>
      <c r="E571" s="32">
        <v>35.0</v>
      </c>
      <c r="F571" s="32">
        <v>30.0</v>
      </c>
      <c r="G571" s="32">
        <v>35.0</v>
      </c>
      <c r="H571" s="32">
        <v>40.0</v>
      </c>
    </row>
    <row r="572" ht="14.25" customHeight="1">
      <c r="A572" s="110" t="s">
        <v>92</v>
      </c>
      <c r="B572" s="125" t="s">
        <v>79</v>
      </c>
      <c r="C572" s="29" t="s">
        <v>30</v>
      </c>
      <c r="D572" s="29" t="s">
        <v>741</v>
      </c>
      <c r="E572" s="32">
        <v>35.0</v>
      </c>
      <c r="F572" s="32">
        <v>30.0</v>
      </c>
      <c r="G572" s="32">
        <v>35.0</v>
      </c>
      <c r="H572" s="32">
        <v>40.0</v>
      </c>
    </row>
    <row r="573" ht="14.25" customHeight="1">
      <c r="A573" s="110" t="s">
        <v>92</v>
      </c>
      <c r="B573" s="125" t="s">
        <v>81</v>
      </c>
      <c r="C573" s="29" t="s">
        <v>30</v>
      </c>
      <c r="D573" s="29" t="s">
        <v>741</v>
      </c>
      <c r="E573" s="32">
        <v>35.0</v>
      </c>
      <c r="F573" s="32">
        <v>30.0</v>
      </c>
      <c r="G573" s="32">
        <v>35.0</v>
      </c>
      <c r="H573" s="32">
        <v>40.0</v>
      </c>
    </row>
    <row r="574" ht="14.25" customHeight="1">
      <c r="A574" s="110" t="s">
        <v>92</v>
      </c>
      <c r="B574" s="125" t="s">
        <v>84</v>
      </c>
      <c r="C574" s="29" t="s">
        <v>30</v>
      </c>
      <c r="D574" s="29" t="s">
        <v>741</v>
      </c>
      <c r="E574" s="32">
        <v>35.0</v>
      </c>
      <c r="F574" s="32">
        <v>30.0</v>
      </c>
      <c r="G574" s="32">
        <v>35.0</v>
      </c>
      <c r="H574" s="32">
        <v>40.0</v>
      </c>
    </row>
    <row r="575" ht="14.25" customHeight="1">
      <c r="A575" s="110" t="s">
        <v>92</v>
      </c>
      <c r="B575" s="125" t="s">
        <v>86</v>
      </c>
      <c r="C575" s="29" t="s">
        <v>30</v>
      </c>
      <c r="D575" s="29" t="s">
        <v>741</v>
      </c>
      <c r="E575" s="32">
        <v>35.0</v>
      </c>
      <c r="F575" s="32">
        <v>30.0</v>
      </c>
      <c r="G575" s="32">
        <v>35.0</v>
      </c>
      <c r="H575" s="32">
        <v>40.0</v>
      </c>
    </row>
    <row r="576" ht="14.25" customHeight="1">
      <c r="A576" s="110" t="s">
        <v>92</v>
      </c>
      <c r="B576" s="125" t="s">
        <v>89</v>
      </c>
      <c r="C576" s="29" t="s">
        <v>30</v>
      </c>
      <c r="D576" s="29" t="s">
        <v>741</v>
      </c>
      <c r="E576" s="32">
        <v>35.0</v>
      </c>
      <c r="F576" s="32">
        <v>30.0</v>
      </c>
      <c r="G576" s="32">
        <v>35.0</v>
      </c>
      <c r="H576" s="32">
        <v>40.0</v>
      </c>
    </row>
    <row r="577" ht="14.25" customHeight="1">
      <c r="A577" s="27" t="s">
        <v>654</v>
      </c>
      <c r="B577" s="125" t="s">
        <v>665</v>
      </c>
      <c r="C577" s="29" t="s">
        <v>43</v>
      </c>
      <c r="D577" s="99" t="s">
        <v>252</v>
      </c>
      <c r="E577" s="32">
        <v>13.0</v>
      </c>
      <c r="F577" s="32">
        <v>24.0</v>
      </c>
      <c r="G577" s="32">
        <v>13.0</v>
      </c>
      <c r="H577" s="32">
        <v>36.0</v>
      </c>
    </row>
    <row r="578" ht="14.25" customHeight="1">
      <c r="A578" s="27" t="s">
        <v>654</v>
      </c>
      <c r="B578" s="125" t="s">
        <v>666</v>
      </c>
      <c r="C578" s="29" t="s">
        <v>43</v>
      </c>
      <c r="D578" s="99" t="s">
        <v>252</v>
      </c>
      <c r="E578" s="32">
        <v>13.0</v>
      </c>
      <c r="F578" s="32">
        <v>24.0</v>
      </c>
      <c r="G578" s="32">
        <v>13.0</v>
      </c>
      <c r="H578" s="32">
        <v>36.0</v>
      </c>
    </row>
    <row r="579" ht="14.25" customHeight="1">
      <c r="A579" s="27" t="s">
        <v>92</v>
      </c>
      <c r="B579" s="125" t="s">
        <v>109</v>
      </c>
      <c r="C579" s="29" t="s">
        <v>43</v>
      </c>
      <c r="D579" s="29" t="s">
        <v>744</v>
      </c>
      <c r="E579" s="32">
        <v>44.0</v>
      </c>
      <c r="F579" s="32">
        <v>35.0</v>
      </c>
      <c r="G579" s="32">
        <v>44.0</v>
      </c>
      <c r="H579" s="32">
        <v>53.0</v>
      </c>
    </row>
    <row r="580" ht="14.25" customHeight="1">
      <c r="A580" s="27" t="s">
        <v>92</v>
      </c>
      <c r="B580" s="125" t="s">
        <v>113</v>
      </c>
      <c r="C580" s="29" t="s">
        <v>43</v>
      </c>
      <c r="D580" s="29" t="s">
        <v>253</v>
      </c>
      <c r="E580" s="32">
        <v>24.0</v>
      </c>
      <c r="F580" s="32">
        <v>18.0</v>
      </c>
      <c r="G580" s="32">
        <v>27.0</v>
      </c>
      <c r="H580" s="32">
        <v>32.0</v>
      </c>
    </row>
    <row r="581" ht="14.25" customHeight="1">
      <c r="A581" s="27" t="s">
        <v>92</v>
      </c>
      <c r="B581" s="125" t="s">
        <v>117</v>
      </c>
      <c r="C581" s="29" t="s">
        <v>43</v>
      </c>
      <c r="D581" s="29" t="s">
        <v>744</v>
      </c>
      <c r="E581" s="32">
        <v>38.0</v>
      </c>
      <c r="F581" s="32">
        <v>35.0</v>
      </c>
      <c r="G581" s="32">
        <v>38.0</v>
      </c>
      <c r="H581" s="32">
        <v>45.0</v>
      </c>
    </row>
    <row r="582" ht="14.25" customHeight="1">
      <c r="A582" s="27" t="s">
        <v>98</v>
      </c>
      <c r="B582" s="125" t="s">
        <v>119</v>
      </c>
      <c r="C582" s="29" t="s">
        <v>43</v>
      </c>
      <c r="D582" s="29" t="s">
        <v>253</v>
      </c>
      <c r="E582" s="32">
        <v>42.0</v>
      </c>
      <c r="F582" s="32">
        <v>38.0</v>
      </c>
      <c r="G582" s="32">
        <v>42.0</v>
      </c>
      <c r="H582" s="32">
        <v>50.0</v>
      </c>
    </row>
    <row r="583" ht="14.25" customHeight="1">
      <c r="A583" s="27" t="s">
        <v>98</v>
      </c>
      <c r="B583" s="125" t="s">
        <v>105</v>
      </c>
      <c r="C583" s="29" t="s">
        <v>43</v>
      </c>
      <c r="D583" s="29" t="s">
        <v>744</v>
      </c>
      <c r="E583" s="32">
        <v>42.0</v>
      </c>
      <c r="F583" s="32">
        <v>38.0</v>
      </c>
      <c r="G583" s="32">
        <v>42.0</v>
      </c>
      <c r="H583" s="32">
        <v>50.0</v>
      </c>
    </row>
    <row r="584" ht="14.25" customHeight="1">
      <c r="A584" s="131" t="s">
        <v>92</v>
      </c>
      <c r="B584" s="132" t="s">
        <v>716</v>
      </c>
      <c r="C584" s="133" t="s">
        <v>30</v>
      </c>
      <c r="D584" s="99" t="s">
        <v>741</v>
      </c>
      <c r="E584" s="32">
        <v>33.0</v>
      </c>
      <c r="F584" s="32">
        <v>30.0</v>
      </c>
      <c r="G584" s="32">
        <v>33.0</v>
      </c>
      <c r="H584" s="32">
        <v>40.0</v>
      </c>
    </row>
    <row r="585" ht="14.25" customHeight="1">
      <c r="A585" s="27" t="s">
        <v>654</v>
      </c>
      <c r="B585" s="27" t="s">
        <v>665</v>
      </c>
      <c r="C585" s="29" t="s">
        <v>43</v>
      </c>
      <c r="D585" s="29" t="s">
        <v>252</v>
      </c>
      <c r="E585" s="32">
        <v>30.0</v>
      </c>
      <c r="F585" s="32">
        <v>24.0</v>
      </c>
      <c r="G585" s="32">
        <v>30.0</v>
      </c>
      <c r="H585" s="32">
        <v>36.0</v>
      </c>
    </row>
    <row r="586" ht="14.25" customHeight="1">
      <c r="A586" s="27" t="s">
        <v>654</v>
      </c>
      <c r="B586" s="27" t="s">
        <v>666</v>
      </c>
      <c r="C586" s="29" t="s">
        <v>43</v>
      </c>
      <c r="D586" s="29" t="s">
        <v>252</v>
      </c>
      <c r="E586" s="32">
        <v>30.0</v>
      </c>
      <c r="F586" s="32">
        <v>24.0</v>
      </c>
      <c r="G586" s="32">
        <v>30.0</v>
      </c>
      <c r="H586" s="32">
        <v>36.0</v>
      </c>
    </row>
    <row r="587" ht="14.25" customHeight="1">
      <c r="A587" s="13" t="s">
        <v>654</v>
      </c>
      <c r="B587" s="13" t="s">
        <v>745</v>
      </c>
      <c r="C587" s="127" t="s">
        <v>43</v>
      </c>
      <c r="D587" s="29" t="s">
        <v>252</v>
      </c>
      <c r="E587" s="32">
        <v>5.0</v>
      </c>
      <c r="F587" s="32">
        <v>4.0</v>
      </c>
      <c r="G587" s="32">
        <v>5.0</v>
      </c>
      <c r="H587" s="32">
        <v>6.0</v>
      </c>
    </row>
    <row r="588" ht="14.25" customHeight="1">
      <c r="A588" s="27" t="s">
        <v>529</v>
      </c>
      <c r="B588" s="27" t="s">
        <v>530</v>
      </c>
      <c r="C588" s="29" t="s">
        <v>43</v>
      </c>
      <c r="D588" s="99" t="s">
        <v>254</v>
      </c>
      <c r="E588" s="32">
        <v>35.0</v>
      </c>
      <c r="F588" s="32">
        <v>28.0</v>
      </c>
      <c r="G588" s="32">
        <v>35.0</v>
      </c>
      <c r="H588" s="32">
        <v>42.0</v>
      </c>
    </row>
    <row r="589" ht="14.25" customHeight="1">
      <c r="A589" s="27" t="s">
        <v>527</v>
      </c>
      <c r="B589" s="27" t="s">
        <v>528</v>
      </c>
      <c r="C589" s="29" t="s">
        <v>43</v>
      </c>
      <c r="D589" s="99" t="s">
        <v>262</v>
      </c>
      <c r="E589" s="32">
        <v>35.0</v>
      </c>
      <c r="F589" s="32">
        <v>28.0</v>
      </c>
      <c r="G589" s="32">
        <v>35.0</v>
      </c>
      <c r="H589" s="32">
        <v>42.0</v>
      </c>
    </row>
    <row r="590" ht="14.25" customHeight="1">
      <c r="A590" s="27" t="s">
        <v>525</v>
      </c>
      <c r="B590" s="27" t="s">
        <v>526</v>
      </c>
      <c r="C590" s="29" t="s">
        <v>43</v>
      </c>
      <c r="D590" s="99" t="s">
        <v>253</v>
      </c>
      <c r="E590" s="32">
        <v>26.0</v>
      </c>
      <c r="F590" s="32">
        <v>21.0</v>
      </c>
      <c r="G590" s="32">
        <v>26.0</v>
      </c>
      <c r="H590" s="32">
        <v>31.0</v>
      </c>
    </row>
    <row r="591" ht="14.25" customHeight="1">
      <c r="A591" s="27" t="s">
        <v>523</v>
      </c>
      <c r="B591" s="27" t="s">
        <v>524</v>
      </c>
      <c r="C591" s="29" t="s">
        <v>43</v>
      </c>
      <c r="D591" s="99" t="s">
        <v>249</v>
      </c>
      <c r="E591" s="32">
        <v>26.0</v>
      </c>
      <c r="F591" s="134">
        <v>21.0</v>
      </c>
      <c r="G591" s="32">
        <v>26.0</v>
      </c>
      <c r="H591" s="134">
        <v>31.0</v>
      </c>
    </row>
    <row r="592" ht="14.25" customHeight="1">
      <c r="A592" s="27" t="s">
        <v>521</v>
      </c>
      <c r="B592" s="27" t="s">
        <v>522</v>
      </c>
      <c r="C592" s="29" t="s">
        <v>30</v>
      </c>
      <c r="D592" s="110" t="e">
        <v>#N/A</v>
      </c>
      <c r="E592" s="32">
        <v>26.0</v>
      </c>
      <c r="F592" s="32">
        <v>21.0</v>
      </c>
      <c r="G592" s="32">
        <v>26.0</v>
      </c>
      <c r="H592" s="32">
        <v>31.0</v>
      </c>
    </row>
    <row r="593" ht="14.25" customHeight="1">
      <c r="A593" s="27" t="s">
        <v>105</v>
      </c>
      <c r="B593" s="27" t="s">
        <v>514</v>
      </c>
      <c r="C593" s="29" t="s">
        <v>43</v>
      </c>
      <c r="D593" s="99" t="s">
        <v>253</v>
      </c>
      <c r="E593" s="32">
        <v>26.0</v>
      </c>
      <c r="F593" s="32">
        <v>21.0</v>
      </c>
      <c r="G593" s="32">
        <v>26.0</v>
      </c>
      <c r="H593" s="32">
        <v>31.0</v>
      </c>
    </row>
    <row r="594" ht="14.25" customHeight="1">
      <c r="A594" s="27" t="s">
        <v>105</v>
      </c>
      <c r="B594" s="27" t="s">
        <v>515</v>
      </c>
      <c r="C594" s="29" t="s">
        <v>43</v>
      </c>
      <c r="D594" s="29" t="s">
        <v>746</v>
      </c>
      <c r="E594" s="32">
        <v>26.0</v>
      </c>
      <c r="F594" s="32">
        <v>21.0</v>
      </c>
      <c r="G594" s="32">
        <v>26.0</v>
      </c>
      <c r="H594" s="32">
        <v>31.0</v>
      </c>
    </row>
    <row r="595" ht="14.25" customHeight="1">
      <c r="A595" s="27" t="s">
        <v>105</v>
      </c>
      <c r="B595" s="27" t="s">
        <v>516</v>
      </c>
      <c r="C595" s="29" t="s">
        <v>43</v>
      </c>
      <c r="D595" s="29" t="s">
        <v>746</v>
      </c>
      <c r="E595" s="32">
        <v>26.0</v>
      </c>
      <c r="F595" s="32">
        <v>21.0</v>
      </c>
      <c r="G595" s="32">
        <v>26.0</v>
      </c>
      <c r="H595" s="32">
        <v>31.0</v>
      </c>
    </row>
    <row r="596" ht="14.25" customHeight="1">
      <c r="A596" s="27" t="s">
        <v>105</v>
      </c>
      <c r="B596" s="27" t="s">
        <v>517</v>
      </c>
      <c r="C596" s="29" t="s">
        <v>43</v>
      </c>
      <c r="D596" s="99" t="s">
        <v>254</v>
      </c>
      <c r="E596" s="32">
        <v>26.0</v>
      </c>
      <c r="F596" s="32">
        <v>21.0</v>
      </c>
      <c r="G596" s="32">
        <v>26.0</v>
      </c>
      <c r="H596" s="32">
        <v>31.0</v>
      </c>
    </row>
    <row r="597" ht="14.25" customHeight="1">
      <c r="A597" s="27" t="s">
        <v>105</v>
      </c>
      <c r="B597" s="27" t="s">
        <v>518</v>
      </c>
      <c r="C597" s="29" t="s">
        <v>43</v>
      </c>
      <c r="D597" s="99" t="s">
        <v>254</v>
      </c>
      <c r="E597" s="32">
        <v>26.0</v>
      </c>
      <c r="F597" s="135">
        <v>21.0</v>
      </c>
      <c r="G597" s="32">
        <v>26.0</v>
      </c>
      <c r="H597" s="135">
        <v>31.0</v>
      </c>
    </row>
    <row r="598" ht="14.25" customHeight="1">
      <c r="A598" s="27" t="s">
        <v>105</v>
      </c>
      <c r="B598" s="27" t="s">
        <v>519</v>
      </c>
      <c r="C598" s="29" t="s">
        <v>43</v>
      </c>
      <c r="D598" s="99" t="s">
        <v>273</v>
      </c>
      <c r="E598" s="32">
        <v>26.0</v>
      </c>
      <c r="F598" s="32">
        <v>21.0</v>
      </c>
      <c r="G598" s="32">
        <v>26.0</v>
      </c>
      <c r="H598" s="32">
        <v>31.0</v>
      </c>
    </row>
    <row r="599" ht="14.25" customHeight="1">
      <c r="A599" s="27" t="s">
        <v>105</v>
      </c>
      <c r="B599" s="27" t="s">
        <v>520</v>
      </c>
      <c r="C599" s="29" t="s">
        <v>43</v>
      </c>
      <c r="D599" s="99" t="s">
        <v>254</v>
      </c>
      <c r="E599" s="32">
        <v>26.0</v>
      </c>
      <c r="F599" s="32">
        <v>21.0</v>
      </c>
      <c r="G599" s="32">
        <v>26.0</v>
      </c>
      <c r="H599" s="32">
        <v>31.0</v>
      </c>
    </row>
    <row r="600" ht="14.25" customHeight="1">
      <c r="A600" s="27" t="s">
        <v>512</v>
      </c>
      <c r="B600" s="27" t="s">
        <v>513</v>
      </c>
      <c r="C600" s="29" t="s">
        <v>30</v>
      </c>
      <c r="D600" s="110" t="e">
        <v>#N/A</v>
      </c>
      <c r="E600" s="32">
        <v>30.0</v>
      </c>
      <c r="F600" s="32">
        <v>24.0</v>
      </c>
      <c r="G600" s="32">
        <v>30.0</v>
      </c>
      <c r="H600" s="32">
        <v>36.0</v>
      </c>
    </row>
    <row r="601" ht="14.25" customHeight="1">
      <c r="A601" s="27" t="s">
        <v>510</v>
      </c>
      <c r="B601" s="27" t="s">
        <v>511</v>
      </c>
      <c r="C601" s="29" t="s">
        <v>43</v>
      </c>
      <c r="D601" s="99" t="s">
        <v>743</v>
      </c>
      <c r="E601" s="32">
        <v>35.0</v>
      </c>
      <c r="F601" s="32">
        <v>28.0</v>
      </c>
      <c r="G601" s="32">
        <v>35.0</v>
      </c>
      <c r="H601" s="32">
        <v>42.0</v>
      </c>
    </row>
    <row r="602" ht="14.25" customHeight="1">
      <c r="A602" s="27" t="s">
        <v>475</v>
      </c>
      <c r="B602" s="27" t="s">
        <v>476</v>
      </c>
      <c r="C602" s="29" t="s">
        <v>43</v>
      </c>
      <c r="D602" s="99" t="s">
        <v>747</v>
      </c>
      <c r="E602" s="32">
        <v>15.0</v>
      </c>
      <c r="F602" s="32">
        <v>12.0</v>
      </c>
      <c r="G602" s="32">
        <v>15.0</v>
      </c>
      <c r="H602" s="32">
        <v>18.0</v>
      </c>
    </row>
    <row r="603" ht="14.25" customHeight="1">
      <c r="A603" s="27" t="s">
        <v>406</v>
      </c>
      <c r="B603" s="27" t="s">
        <v>407</v>
      </c>
      <c r="C603" s="29" t="s">
        <v>43</v>
      </c>
      <c r="D603" s="99" t="s">
        <v>252</v>
      </c>
      <c r="E603" s="32">
        <v>5.0</v>
      </c>
      <c r="F603" s="32">
        <v>4.0</v>
      </c>
      <c r="G603" s="32">
        <v>5.0</v>
      </c>
      <c r="H603" s="32">
        <v>6.0</v>
      </c>
    </row>
    <row r="604" ht="14.25" customHeight="1">
      <c r="A604" s="13" t="s">
        <v>98</v>
      </c>
      <c r="B604" s="126" t="s">
        <v>106</v>
      </c>
      <c r="C604" s="127" t="s">
        <v>43</v>
      </c>
      <c r="D604" s="99" t="s">
        <v>273</v>
      </c>
      <c r="E604" s="32">
        <v>23.0</v>
      </c>
      <c r="F604" s="32">
        <v>12.0</v>
      </c>
      <c r="G604" s="32">
        <v>23.0</v>
      </c>
      <c r="H604" s="32">
        <v>28.0</v>
      </c>
    </row>
    <row r="605" ht="14.25" customHeight="1">
      <c r="A605" s="129" t="s">
        <v>175</v>
      </c>
      <c r="B605" s="129" t="s">
        <v>190</v>
      </c>
      <c r="C605" s="7" t="s">
        <v>43</v>
      </c>
      <c r="D605" s="99" t="s">
        <v>264</v>
      </c>
      <c r="E605" s="32">
        <v>1.0</v>
      </c>
      <c r="F605" s="136">
        <v>1.0</v>
      </c>
      <c r="G605" s="32">
        <v>1.0</v>
      </c>
      <c r="H605" s="136">
        <v>1.0</v>
      </c>
    </row>
    <row r="606" ht="14.25" customHeight="1">
      <c r="A606" s="129" t="s">
        <v>98</v>
      </c>
      <c r="B606" s="129" t="s">
        <v>101</v>
      </c>
      <c r="C606" s="7" t="s">
        <v>43</v>
      </c>
      <c r="D606" s="99" t="s">
        <v>255</v>
      </c>
      <c r="E606" s="32">
        <v>25.0</v>
      </c>
      <c r="F606" s="130">
        <v>20.0</v>
      </c>
      <c r="G606" s="32">
        <v>25.0</v>
      </c>
      <c r="H606" s="130">
        <v>30.0</v>
      </c>
    </row>
    <row r="607" ht="14.25" customHeight="1">
      <c r="A607" s="129" t="s">
        <v>92</v>
      </c>
      <c r="B607" s="129" t="s">
        <v>105</v>
      </c>
      <c r="C607" s="7" t="s">
        <v>30</v>
      </c>
      <c r="D607" s="99" t="s">
        <v>748</v>
      </c>
      <c r="E607" s="32">
        <v>35.0</v>
      </c>
      <c r="F607" s="32">
        <v>30.0</v>
      </c>
      <c r="G607" s="32">
        <v>33.0</v>
      </c>
      <c r="H607" s="32">
        <v>40.0</v>
      </c>
    </row>
    <row r="608" ht="14.25" customHeight="1">
      <c r="A608" s="129" t="s">
        <v>92</v>
      </c>
      <c r="B608" s="129" t="s">
        <v>109</v>
      </c>
      <c r="C608" s="7" t="s">
        <v>43</v>
      </c>
      <c r="D608" s="99" t="s">
        <v>255</v>
      </c>
      <c r="E608" s="32">
        <v>44.0</v>
      </c>
      <c r="F608" s="32">
        <v>35.0</v>
      </c>
      <c r="G608" s="32">
        <v>44.0</v>
      </c>
      <c r="H608" s="32">
        <v>53.0</v>
      </c>
    </row>
    <row r="609" ht="14.25" customHeight="1">
      <c r="A609" s="129" t="s">
        <v>92</v>
      </c>
      <c r="B609" s="129" t="s">
        <v>113</v>
      </c>
      <c r="C609" s="7" t="s">
        <v>43</v>
      </c>
      <c r="D609" s="99" t="s">
        <v>255</v>
      </c>
      <c r="E609" s="32">
        <v>24.0</v>
      </c>
      <c r="F609" s="32">
        <v>18.0</v>
      </c>
      <c r="G609" s="32">
        <v>27.0</v>
      </c>
      <c r="H609" s="32">
        <v>32.0</v>
      </c>
    </row>
    <row r="610" ht="14.25" customHeight="1">
      <c r="A610" s="129" t="s">
        <v>92</v>
      </c>
      <c r="B610" s="129" t="s">
        <v>117</v>
      </c>
      <c r="C610" s="7" t="s">
        <v>43</v>
      </c>
      <c r="D610" s="99" t="s">
        <v>255</v>
      </c>
      <c r="E610" s="32">
        <v>40.0</v>
      </c>
      <c r="F610" s="32">
        <v>32.0</v>
      </c>
      <c r="G610" s="32">
        <v>40.0</v>
      </c>
      <c r="H610" s="32">
        <v>48.0</v>
      </c>
    </row>
    <row r="611" ht="14.25" customHeight="1">
      <c r="A611" s="129" t="s">
        <v>98</v>
      </c>
      <c r="B611" s="129" t="s">
        <v>119</v>
      </c>
      <c r="C611" s="7" t="s">
        <v>43</v>
      </c>
      <c r="D611" s="99" t="s">
        <v>255</v>
      </c>
      <c r="E611" s="32">
        <v>44.0</v>
      </c>
      <c r="F611" s="32">
        <v>35.0</v>
      </c>
      <c r="G611" s="32">
        <v>44.0</v>
      </c>
      <c r="H611" s="32">
        <v>53.0</v>
      </c>
    </row>
    <row r="612" ht="14.25" customHeight="1">
      <c r="A612" s="129" t="s">
        <v>98</v>
      </c>
      <c r="B612" s="129" t="s">
        <v>105</v>
      </c>
      <c r="C612" s="7" t="s">
        <v>43</v>
      </c>
      <c r="D612" s="99" t="s">
        <v>255</v>
      </c>
      <c r="E612" s="32">
        <v>44.0</v>
      </c>
      <c r="F612" s="32">
        <v>35.0</v>
      </c>
      <c r="G612" s="32">
        <v>44.0</v>
      </c>
      <c r="H612" s="32">
        <v>53.0</v>
      </c>
    </row>
    <row r="613" ht="14.25" customHeight="1">
      <c r="A613" s="129" t="s">
        <v>92</v>
      </c>
      <c r="B613" s="129" t="s">
        <v>716</v>
      </c>
      <c r="C613" s="7" t="s">
        <v>30</v>
      </c>
      <c r="D613" s="110" t="e">
        <v>#N/A</v>
      </c>
      <c r="E613" s="32">
        <v>17.0</v>
      </c>
      <c r="F613" s="32">
        <v>12.0</v>
      </c>
      <c r="G613" s="32">
        <v>17.0</v>
      </c>
      <c r="H613" s="32">
        <v>20.0</v>
      </c>
    </row>
    <row r="614" ht="14.25" customHeight="1">
      <c r="A614" s="110" t="s">
        <v>92</v>
      </c>
      <c r="B614" s="110" t="s">
        <v>749</v>
      </c>
      <c r="C614" s="99" t="s">
        <v>43</v>
      </c>
      <c r="D614" s="99" t="s">
        <v>255</v>
      </c>
      <c r="E614" s="32">
        <v>24.0</v>
      </c>
      <c r="F614" s="32">
        <v>18.0</v>
      </c>
      <c r="G614" s="32">
        <v>27.0</v>
      </c>
      <c r="H614" s="32">
        <v>32.0</v>
      </c>
    </row>
    <row r="615" ht="14.25" customHeight="1">
      <c r="A615" s="110" t="s">
        <v>92</v>
      </c>
      <c r="B615" s="124" t="s">
        <v>750</v>
      </c>
      <c r="C615" s="99"/>
      <c r="D615" s="99" t="s">
        <v>747</v>
      </c>
      <c r="E615" s="32">
        <v>40.0</v>
      </c>
      <c r="F615" s="32">
        <v>32.0</v>
      </c>
      <c r="G615" s="32">
        <v>40.0</v>
      </c>
      <c r="H615" s="32">
        <v>48.0</v>
      </c>
    </row>
    <row r="616" ht="14.25" customHeight="1">
      <c r="A616" s="110" t="s">
        <v>92</v>
      </c>
      <c r="B616" s="124" t="s">
        <v>751</v>
      </c>
      <c r="C616" s="99"/>
      <c r="D616" s="99" t="s">
        <v>747</v>
      </c>
      <c r="E616" s="32">
        <v>44.0</v>
      </c>
      <c r="F616" s="32">
        <v>35.0</v>
      </c>
      <c r="G616" s="32">
        <v>44.0</v>
      </c>
      <c r="H616" s="32">
        <v>53.0</v>
      </c>
    </row>
    <row r="617" ht="14.25" customHeight="1">
      <c r="A617" s="110" t="s">
        <v>92</v>
      </c>
      <c r="B617" s="124" t="s">
        <v>752</v>
      </c>
      <c r="C617" s="99"/>
      <c r="D617" s="99" t="s">
        <v>747</v>
      </c>
      <c r="E617" s="32">
        <v>24.0</v>
      </c>
      <c r="F617" s="32">
        <v>18.0</v>
      </c>
      <c r="G617" s="32">
        <v>27.0</v>
      </c>
      <c r="H617" s="32">
        <v>32.0</v>
      </c>
    </row>
    <row r="618" ht="14.25" customHeight="1">
      <c r="A618" s="110" t="s">
        <v>92</v>
      </c>
      <c r="B618" s="124" t="s">
        <v>116</v>
      </c>
      <c r="C618" s="99"/>
      <c r="D618" s="99" t="s">
        <v>747</v>
      </c>
      <c r="E618" s="32">
        <v>44.0</v>
      </c>
      <c r="F618" s="32">
        <v>35.0</v>
      </c>
      <c r="G618" s="32">
        <v>44.0</v>
      </c>
      <c r="H618" s="32">
        <v>53.0</v>
      </c>
    </row>
    <row r="619" ht="14.25" customHeight="1">
      <c r="A619" s="110" t="s">
        <v>92</v>
      </c>
      <c r="B619" s="124" t="s">
        <v>749</v>
      </c>
      <c r="C619" s="99"/>
      <c r="D619" s="99" t="s">
        <v>747</v>
      </c>
      <c r="E619" s="32">
        <v>24.0</v>
      </c>
      <c r="F619" s="32">
        <v>18.0</v>
      </c>
      <c r="G619" s="32">
        <v>27.0</v>
      </c>
      <c r="H619" s="32">
        <v>32.0</v>
      </c>
    </row>
    <row r="620" ht="14.25" customHeight="1">
      <c r="A620" s="110" t="s">
        <v>92</v>
      </c>
      <c r="B620" s="124" t="s">
        <v>749</v>
      </c>
      <c r="C620" s="99"/>
      <c r="D620" s="99" t="s">
        <v>747</v>
      </c>
      <c r="E620" s="32">
        <v>24.0</v>
      </c>
      <c r="F620" s="32">
        <v>18.0</v>
      </c>
      <c r="G620" s="32">
        <v>27.0</v>
      </c>
      <c r="H620" s="32">
        <v>32.0</v>
      </c>
    </row>
    <row r="621" ht="14.25" customHeight="1">
      <c r="A621" s="129" t="s">
        <v>712</v>
      </c>
      <c r="B621" s="129" t="s">
        <v>713</v>
      </c>
      <c r="C621" s="7" t="s">
        <v>30</v>
      </c>
      <c r="D621" s="110" t="e">
        <v>#N/A</v>
      </c>
      <c r="E621" s="32">
        <v>26.0</v>
      </c>
      <c r="F621" s="32">
        <v>21.0</v>
      </c>
      <c r="G621" s="32">
        <v>26.0</v>
      </c>
      <c r="H621" s="32">
        <v>31.0</v>
      </c>
    </row>
    <row r="622" ht="14.25" customHeight="1">
      <c r="A622" s="110" t="s">
        <v>92</v>
      </c>
      <c r="B622" s="129" t="s">
        <v>753</v>
      </c>
      <c r="C622" s="7" t="s">
        <v>30</v>
      </c>
      <c r="D622" s="110" t="e">
        <v>#N/A</v>
      </c>
      <c r="E622" s="32">
        <v>30.0</v>
      </c>
      <c r="F622" s="32">
        <v>24.0</v>
      </c>
      <c r="G622" s="32">
        <v>30.0</v>
      </c>
      <c r="H622" s="32">
        <v>36.0</v>
      </c>
    </row>
    <row r="623" ht="14.25" customHeight="1">
      <c r="A623" s="110" t="s">
        <v>92</v>
      </c>
      <c r="B623" s="129" t="s">
        <v>754</v>
      </c>
      <c r="C623" s="7" t="s">
        <v>30</v>
      </c>
      <c r="D623" s="110" t="e">
        <v>#N/A</v>
      </c>
      <c r="E623" s="32">
        <v>30.0</v>
      </c>
      <c r="F623" s="32">
        <v>24.0</v>
      </c>
      <c r="G623" s="32">
        <v>30.0</v>
      </c>
      <c r="H623" s="32">
        <v>36.0</v>
      </c>
    </row>
    <row r="624" ht="14.25" customHeight="1">
      <c r="A624" s="110" t="s">
        <v>92</v>
      </c>
      <c r="B624" s="129" t="s">
        <v>755</v>
      </c>
      <c r="C624" s="7" t="s">
        <v>30</v>
      </c>
      <c r="D624" s="110" t="e">
        <v>#N/A</v>
      </c>
      <c r="E624" s="32">
        <v>30.0</v>
      </c>
      <c r="F624" s="32">
        <v>24.0</v>
      </c>
      <c r="G624" s="32">
        <v>30.0</v>
      </c>
      <c r="H624" s="32">
        <v>36.0</v>
      </c>
    </row>
    <row r="625" ht="14.25" customHeight="1">
      <c r="A625" s="110" t="s">
        <v>92</v>
      </c>
      <c r="B625" s="129" t="s">
        <v>756</v>
      </c>
      <c r="C625" s="7" t="s">
        <v>30</v>
      </c>
      <c r="D625" s="110" t="e">
        <v>#N/A</v>
      </c>
      <c r="E625" s="32">
        <v>30.0</v>
      </c>
      <c r="F625" s="32">
        <v>24.0</v>
      </c>
      <c r="G625" s="32">
        <v>30.0</v>
      </c>
      <c r="H625" s="32">
        <v>36.0</v>
      </c>
    </row>
    <row r="626" ht="14.25" customHeight="1">
      <c r="A626" s="110" t="s">
        <v>92</v>
      </c>
      <c r="B626" s="129" t="s">
        <v>757</v>
      </c>
      <c r="C626" s="7" t="s">
        <v>30</v>
      </c>
      <c r="D626" s="110" t="e">
        <v>#N/A</v>
      </c>
      <c r="E626" s="32">
        <v>30.0</v>
      </c>
      <c r="F626" s="136">
        <v>24.0</v>
      </c>
      <c r="G626" s="32">
        <v>30.0</v>
      </c>
      <c r="H626" s="136">
        <v>36.0</v>
      </c>
    </row>
    <row r="627" ht="14.25" customHeight="1">
      <c r="A627" s="110" t="s">
        <v>92</v>
      </c>
      <c r="B627" s="129" t="s">
        <v>758</v>
      </c>
      <c r="C627" s="7" t="s">
        <v>30</v>
      </c>
      <c r="D627" s="110" t="e">
        <v>#N/A</v>
      </c>
      <c r="E627" s="32">
        <v>30.0</v>
      </c>
      <c r="F627" s="137">
        <v>24.0</v>
      </c>
      <c r="G627" s="32">
        <v>30.0</v>
      </c>
      <c r="H627" s="130">
        <v>36.0</v>
      </c>
    </row>
    <row r="628" ht="14.25" customHeight="1">
      <c r="A628" s="110" t="s">
        <v>92</v>
      </c>
      <c r="B628" s="110" t="s">
        <v>759</v>
      </c>
      <c r="C628" s="7" t="s">
        <v>30</v>
      </c>
      <c r="D628" s="99" t="s">
        <v>760</v>
      </c>
      <c r="E628" s="32">
        <v>35.0</v>
      </c>
      <c r="F628" s="32">
        <v>30.0</v>
      </c>
      <c r="G628" s="32">
        <v>33.0</v>
      </c>
      <c r="H628" s="32">
        <v>40.0</v>
      </c>
    </row>
    <row r="629" ht="14.25" customHeight="1">
      <c r="A629" s="138" t="s">
        <v>92</v>
      </c>
      <c r="B629" s="138" t="s">
        <v>761</v>
      </c>
      <c r="C629" s="7" t="s">
        <v>30</v>
      </c>
      <c r="D629" s="99" t="s">
        <v>760</v>
      </c>
      <c r="E629" s="32">
        <v>35.0</v>
      </c>
      <c r="F629" s="32">
        <v>30.0</v>
      </c>
      <c r="G629" s="32">
        <v>33.0</v>
      </c>
      <c r="H629" s="32">
        <v>40.0</v>
      </c>
    </row>
    <row r="630" ht="14.25" customHeight="1">
      <c r="A630" s="13" t="s">
        <v>762</v>
      </c>
      <c r="B630" s="126" t="s">
        <v>763</v>
      </c>
      <c r="C630" s="127"/>
      <c r="D630" s="110" t="s">
        <v>764</v>
      </c>
      <c r="E630" s="32">
        <v>1.0</v>
      </c>
      <c r="F630" s="128">
        <v>1.0</v>
      </c>
      <c r="G630" s="32">
        <v>1.0</v>
      </c>
      <c r="H630" s="128">
        <v>1.0</v>
      </c>
    </row>
    <row r="631" ht="14.25" customHeight="1">
      <c r="A631" s="13" t="s">
        <v>762</v>
      </c>
      <c r="B631" s="126" t="s">
        <v>765</v>
      </c>
      <c r="C631" s="127"/>
      <c r="D631" s="110" t="s">
        <v>764</v>
      </c>
      <c r="E631" s="32">
        <v>1.0</v>
      </c>
      <c r="F631" s="128">
        <v>1.0</v>
      </c>
      <c r="G631" s="32">
        <v>1.0</v>
      </c>
      <c r="H631" s="128">
        <v>1.0</v>
      </c>
    </row>
    <row r="632" ht="14.25" customHeight="1">
      <c r="A632" s="13" t="s">
        <v>762</v>
      </c>
      <c r="B632" s="126" t="s">
        <v>766</v>
      </c>
      <c r="C632" s="127"/>
      <c r="D632" s="110" t="s">
        <v>764</v>
      </c>
      <c r="E632" s="32">
        <v>1.0</v>
      </c>
      <c r="F632" s="128">
        <v>1.0</v>
      </c>
      <c r="G632" s="32">
        <v>1.0</v>
      </c>
      <c r="H632" s="128">
        <v>1.0</v>
      </c>
    </row>
    <row r="633" ht="14.25" customHeight="1">
      <c r="A633" s="13" t="s">
        <v>762</v>
      </c>
      <c r="B633" s="126" t="s">
        <v>767</v>
      </c>
      <c r="C633" s="127"/>
      <c r="D633" s="110" t="s">
        <v>764</v>
      </c>
      <c r="E633" s="32">
        <v>1.0</v>
      </c>
      <c r="F633" s="128">
        <v>1.0</v>
      </c>
      <c r="G633" s="32">
        <v>1.0</v>
      </c>
      <c r="H633" s="128">
        <v>1.0</v>
      </c>
    </row>
    <row r="634" ht="14.25" customHeight="1">
      <c r="A634" s="27" t="s">
        <v>669</v>
      </c>
      <c r="B634" s="125" t="s">
        <v>670</v>
      </c>
      <c r="C634" s="29" t="s">
        <v>43</v>
      </c>
      <c r="D634" s="29" t="s">
        <v>156</v>
      </c>
      <c r="E634" s="32">
        <v>1.0</v>
      </c>
      <c r="F634" s="32">
        <v>1.0</v>
      </c>
      <c r="G634" s="32">
        <v>1.0</v>
      </c>
      <c r="H634" s="32">
        <v>1.0</v>
      </c>
    </row>
    <row r="635" ht="14.25" customHeight="1">
      <c r="A635" s="27" t="s">
        <v>654</v>
      </c>
      <c r="B635" s="125" t="s">
        <v>667</v>
      </c>
      <c r="C635" s="29" t="s">
        <v>43</v>
      </c>
      <c r="D635" s="29" t="s">
        <v>156</v>
      </c>
      <c r="E635" s="32">
        <v>1.0</v>
      </c>
      <c r="F635" s="32">
        <v>1.0</v>
      </c>
      <c r="G635" s="32">
        <v>1.0</v>
      </c>
      <c r="H635" s="32">
        <v>1.0</v>
      </c>
    </row>
    <row r="636" ht="14.25" customHeight="1">
      <c r="A636" s="27" t="s">
        <v>669</v>
      </c>
      <c r="B636" s="125" t="s">
        <v>671</v>
      </c>
      <c r="C636" s="29" t="s">
        <v>43</v>
      </c>
      <c r="D636" s="29" t="s">
        <v>156</v>
      </c>
      <c r="E636" s="32">
        <v>1.0</v>
      </c>
      <c r="F636" s="32">
        <v>1.0</v>
      </c>
      <c r="G636" s="32">
        <v>1.0</v>
      </c>
      <c r="H636" s="32">
        <v>1.0</v>
      </c>
    </row>
    <row r="637" ht="14.25" customHeight="1">
      <c r="A637" s="27" t="s">
        <v>290</v>
      </c>
      <c r="B637" s="125" t="s">
        <v>291</v>
      </c>
      <c r="C637" s="29" t="s">
        <v>43</v>
      </c>
      <c r="D637" s="29" t="s">
        <v>156</v>
      </c>
      <c r="E637" s="32">
        <v>1.0</v>
      </c>
      <c r="F637" s="32">
        <v>1.0</v>
      </c>
      <c r="G637" s="32">
        <v>1.0</v>
      </c>
      <c r="H637" s="32">
        <v>1.0</v>
      </c>
    </row>
    <row r="638" ht="14.25" customHeight="1">
      <c r="A638" s="27" t="s">
        <v>417</v>
      </c>
      <c r="B638" s="125" t="s">
        <v>423</v>
      </c>
      <c r="C638" s="29" t="s">
        <v>43</v>
      </c>
      <c r="D638" s="29" t="s">
        <v>156</v>
      </c>
      <c r="E638" s="32">
        <v>18.0</v>
      </c>
      <c r="F638" s="32">
        <v>14.0</v>
      </c>
      <c r="G638" s="32">
        <v>18.0</v>
      </c>
      <c r="H638" s="32">
        <v>22.0</v>
      </c>
    </row>
    <row r="639" ht="14.25" customHeight="1">
      <c r="A639" s="27" t="s">
        <v>290</v>
      </c>
      <c r="B639" s="125" t="s">
        <v>291</v>
      </c>
      <c r="C639" s="29" t="s">
        <v>43</v>
      </c>
      <c r="D639" s="29" t="s">
        <v>156</v>
      </c>
      <c r="E639" s="32">
        <v>1.0</v>
      </c>
      <c r="F639" s="32">
        <v>1.0</v>
      </c>
      <c r="G639" s="32">
        <v>1.0</v>
      </c>
      <c r="H639" s="32">
        <v>1.0</v>
      </c>
    </row>
    <row r="640" ht="14.25" customHeight="1">
      <c r="A640" s="27" t="s">
        <v>308</v>
      </c>
      <c r="B640" s="125" t="s">
        <v>53</v>
      </c>
      <c r="C640" s="29" t="s">
        <v>43</v>
      </c>
      <c r="D640" s="29" t="s">
        <v>156</v>
      </c>
      <c r="E640" s="32">
        <v>2.0</v>
      </c>
      <c r="F640" s="32">
        <v>1.0</v>
      </c>
      <c r="G640" s="32">
        <v>2.0</v>
      </c>
      <c r="H640" s="32">
        <v>2.0</v>
      </c>
    </row>
    <row r="641" ht="14.25" customHeight="1">
      <c r="A641" s="27" t="s">
        <v>285</v>
      </c>
      <c r="B641" s="125" t="s">
        <v>286</v>
      </c>
      <c r="C641" s="29" t="s">
        <v>43</v>
      </c>
      <c r="D641" s="29" t="s">
        <v>156</v>
      </c>
      <c r="E641" s="32">
        <v>2.0</v>
      </c>
      <c r="F641" s="32">
        <v>1.0</v>
      </c>
      <c r="G641" s="32">
        <v>2.0</v>
      </c>
      <c r="H641" s="32">
        <v>2.0</v>
      </c>
    </row>
    <row r="642" ht="14.25" customHeight="1">
      <c r="A642" s="27" t="s">
        <v>290</v>
      </c>
      <c r="B642" s="125" t="s">
        <v>286</v>
      </c>
      <c r="C642" s="29" t="s">
        <v>43</v>
      </c>
      <c r="D642" s="29" t="s">
        <v>156</v>
      </c>
      <c r="E642" s="32">
        <v>2.0</v>
      </c>
      <c r="F642" s="32">
        <v>1.0</v>
      </c>
      <c r="G642" s="32">
        <v>2.0</v>
      </c>
      <c r="H642" s="32">
        <v>2.0</v>
      </c>
    </row>
    <row r="643" ht="14.25" customHeight="1">
      <c r="A643" s="27" t="s">
        <v>290</v>
      </c>
      <c r="B643" s="125" t="s">
        <v>292</v>
      </c>
      <c r="C643" s="29" t="s">
        <v>43</v>
      </c>
      <c r="D643" s="29" t="s">
        <v>156</v>
      </c>
      <c r="E643" s="32">
        <v>1.0</v>
      </c>
      <c r="F643" s="32">
        <v>1.0</v>
      </c>
      <c r="G643" s="32">
        <v>1.0</v>
      </c>
      <c r="H643" s="32">
        <v>1.0</v>
      </c>
    </row>
    <row r="644" ht="14.25" customHeight="1">
      <c r="A644" s="27" t="s">
        <v>375</v>
      </c>
      <c r="B644" s="125" t="s">
        <v>292</v>
      </c>
      <c r="C644" s="29" t="s">
        <v>43</v>
      </c>
      <c r="D644" s="29" t="s">
        <v>156</v>
      </c>
      <c r="E644" s="32">
        <v>1.0</v>
      </c>
      <c r="F644" s="32">
        <v>1.0</v>
      </c>
      <c r="G644" s="32">
        <v>1.0</v>
      </c>
      <c r="H644" s="32">
        <v>1.0</v>
      </c>
    </row>
    <row r="645" ht="14.25" customHeight="1">
      <c r="A645" s="27" t="s">
        <v>375</v>
      </c>
      <c r="B645" s="125" t="s">
        <v>376</v>
      </c>
      <c r="C645" s="29" t="s">
        <v>43</v>
      </c>
      <c r="D645" s="29" t="s">
        <v>156</v>
      </c>
      <c r="E645" s="32">
        <v>1.0</v>
      </c>
      <c r="F645" s="32">
        <v>1.0</v>
      </c>
      <c r="G645" s="32">
        <v>1.0</v>
      </c>
      <c r="H645" s="32">
        <v>1.0</v>
      </c>
    </row>
    <row r="646" ht="14.25" customHeight="1">
      <c r="A646" s="27" t="s">
        <v>669</v>
      </c>
      <c r="B646" s="27" t="s">
        <v>670</v>
      </c>
      <c r="C646" s="29" t="s">
        <v>43</v>
      </c>
      <c r="D646" s="99" t="s">
        <v>156</v>
      </c>
      <c r="E646" s="32">
        <v>1.0</v>
      </c>
      <c r="F646" s="32">
        <v>1.0</v>
      </c>
      <c r="G646" s="32">
        <v>1.0</v>
      </c>
      <c r="H646" s="32">
        <v>1.0</v>
      </c>
    </row>
    <row r="647" ht="14.25" customHeight="1">
      <c r="A647" s="27" t="s">
        <v>669</v>
      </c>
      <c r="B647" s="27" t="s">
        <v>671</v>
      </c>
      <c r="C647" s="29" t="s">
        <v>43</v>
      </c>
      <c r="D647" s="29" t="s">
        <v>156</v>
      </c>
      <c r="E647" s="32">
        <v>1.0</v>
      </c>
      <c r="F647" s="32">
        <v>1.0</v>
      </c>
      <c r="G647" s="32">
        <v>1.0</v>
      </c>
      <c r="H647" s="32">
        <v>1.0</v>
      </c>
    </row>
    <row r="648" ht="14.25" customHeight="1">
      <c r="A648" s="27" t="s">
        <v>654</v>
      </c>
      <c r="B648" s="27" t="s">
        <v>667</v>
      </c>
      <c r="C648" s="29" t="s">
        <v>43</v>
      </c>
      <c r="D648" s="99" t="s">
        <v>156</v>
      </c>
      <c r="E648" s="32">
        <v>1.0</v>
      </c>
      <c r="F648" s="32">
        <v>1.0</v>
      </c>
      <c r="G648" s="32">
        <v>1.0</v>
      </c>
      <c r="H648" s="32">
        <v>1.0</v>
      </c>
    </row>
    <row r="649" ht="14.25" customHeight="1">
      <c r="A649" s="27" t="s">
        <v>375</v>
      </c>
      <c r="B649" s="27" t="s">
        <v>292</v>
      </c>
      <c r="C649" s="29" t="s">
        <v>43</v>
      </c>
      <c r="D649" s="99" t="s">
        <v>768</v>
      </c>
      <c r="E649" s="32">
        <v>2.0</v>
      </c>
      <c r="F649" s="32">
        <v>2.0</v>
      </c>
      <c r="G649" s="32">
        <v>2.0</v>
      </c>
      <c r="H649" s="32">
        <v>2.0</v>
      </c>
    </row>
    <row r="650" ht="14.25" customHeight="1">
      <c r="A650" s="27" t="s">
        <v>375</v>
      </c>
      <c r="B650" s="27" t="s">
        <v>376</v>
      </c>
      <c r="C650" s="29" t="s">
        <v>43</v>
      </c>
      <c r="D650" s="99" t="s">
        <v>768</v>
      </c>
      <c r="E650" s="32">
        <v>1.0</v>
      </c>
      <c r="F650" s="32">
        <v>1.0</v>
      </c>
      <c r="G650" s="32">
        <v>1.0</v>
      </c>
      <c r="H650" s="32">
        <v>1.0</v>
      </c>
    </row>
    <row r="651" ht="14.25" customHeight="1">
      <c r="A651" s="27" t="s">
        <v>308</v>
      </c>
      <c r="B651" s="27" t="s">
        <v>286</v>
      </c>
      <c r="C651" s="29" t="s">
        <v>43</v>
      </c>
      <c r="D651" s="99" t="s">
        <v>768</v>
      </c>
      <c r="E651" s="32">
        <v>2.0</v>
      </c>
      <c r="F651" s="32">
        <v>1.0</v>
      </c>
      <c r="G651" s="32">
        <v>2.0</v>
      </c>
      <c r="H651" s="32">
        <v>2.0</v>
      </c>
    </row>
    <row r="652" ht="14.25" customHeight="1">
      <c r="A652" s="27" t="s">
        <v>290</v>
      </c>
      <c r="B652" s="27" t="s">
        <v>291</v>
      </c>
      <c r="C652" s="29" t="s">
        <v>43</v>
      </c>
      <c r="D652" s="99" t="s">
        <v>768</v>
      </c>
      <c r="E652" s="32">
        <v>14.0</v>
      </c>
      <c r="F652" s="32">
        <v>11.0</v>
      </c>
      <c r="G652" s="32">
        <v>14.0</v>
      </c>
      <c r="H652" s="32">
        <v>17.0</v>
      </c>
    </row>
    <row r="653" ht="14.25" customHeight="1">
      <c r="A653" s="27" t="s">
        <v>290</v>
      </c>
      <c r="B653" s="27" t="s">
        <v>291</v>
      </c>
      <c r="C653" s="29" t="s">
        <v>43</v>
      </c>
      <c r="D653" s="99" t="s">
        <v>768</v>
      </c>
      <c r="E653" s="32">
        <v>14.0</v>
      </c>
      <c r="F653" s="32">
        <v>11.0</v>
      </c>
      <c r="G653" s="32">
        <v>14.0</v>
      </c>
      <c r="H653" s="32">
        <v>17.0</v>
      </c>
    </row>
    <row r="654" ht="14.25" customHeight="1">
      <c r="A654" s="27" t="s">
        <v>290</v>
      </c>
      <c r="B654" s="27" t="s">
        <v>286</v>
      </c>
      <c r="C654" s="29" t="s">
        <v>43</v>
      </c>
      <c r="D654" s="99" t="s">
        <v>768</v>
      </c>
      <c r="E654" s="32">
        <v>2.0</v>
      </c>
      <c r="F654" s="32">
        <v>1.0</v>
      </c>
      <c r="G654" s="32">
        <v>2.0</v>
      </c>
      <c r="H654" s="32">
        <v>2.0</v>
      </c>
    </row>
    <row r="655" ht="14.25" customHeight="1">
      <c r="A655" s="27" t="s">
        <v>290</v>
      </c>
      <c r="B655" s="27" t="s">
        <v>292</v>
      </c>
      <c r="C655" s="29" t="s">
        <v>43</v>
      </c>
      <c r="D655" s="99" t="s">
        <v>768</v>
      </c>
      <c r="E655" s="32">
        <v>2.0</v>
      </c>
      <c r="F655" s="32">
        <v>2.0</v>
      </c>
      <c r="G655" s="32">
        <v>2.0</v>
      </c>
      <c r="H655" s="32">
        <v>2.0</v>
      </c>
    </row>
    <row r="656" ht="14.25" customHeight="1">
      <c r="A656" s="13" t="s">
        <v>290</v>
      </c>
      <c r="B656" s="126" t="s">
        <v>769</v>
      </c>
      <c r="C656" s="29" t="s">
        <v>43</v>
      </c>
      <c r="D656" s="99" t="s">
        <v>768</v>
      </c>
      <c r="E656" s="32">
        <v>2.0</v>
      </c>
      <c r="F656" s="32">
        <v>2.0</v>
      </c>
      <c r="G656" s="32">
        <v>2.0</v>
      </c>
      <c r="H656" s="32">
        <v>2.0</v>
      </c>
    </row>
    <row r="657" ht="14.25" customHeight="1">
      <c r="A657" s="13" t="s">
        <v>290</v>
      </c>
      <c r="B657" s="126" t="s">
        <v>770</v>
      </c>
      <c r="C657" s="29" t="s">
        <v>43</v>
      </c>
      <c r="D657" s="99" t="s">
        <v>768</v>
      </c>
      <c r="E657" s="32">
        <v>2.0</v>
      </c>
      <c r="F657" s="32">
        <v>2.0</v>
      </c>
      <c r="G657" s="32">
        <v>2.0</v>
      </c>
      <c r="H657" s="32">
        <v>2.0</v>
      </c>
    </row>
    <row r="658" ht="14.25" customHeight="1">
      <c r="A658" s="27" t="s">
        <v>285</v>
      </c>
      <c r="B658" s="27" t="s">
        <v>286</v>
      </c>
      <c r="C658" s="29" t="s">
        <v>43</v>
      </c>
      <c r="D658" s="99" t="s">
        <v>768</v>
      </c>
      <c r="E658" s="32">
        <v>2.0</v>
      </c>
      <c r="F658" s="32">
        <v>1.0</v>
      </c>
      <c r="G658" s="32">
        <v>2.0</v>
      </c>
      <c r="H658" s="32">
        <v>2.0</v>
      </c>
    </row>
    <row r="659" ht="14.25" customHeight="1">
      <c r="A659" s="13" t="s">
        <v>285</v>
      </c>
      <c r="B659" s="126" t="s">
        <v>769</v>
      </c>
      <c r="C659" s="29" t="s">
        <v>43</v>
      </c>
      <c r="D659" s="99" t="s">
        <v>768</v>
      </c>
      <c r="E659" s="32">
        <v>2.0</v>
      </c>
      <c r="F659" s="32">
        <v>2.0</v>
      </c>
      <c r="G659" s="32">
        <v>2.0</v>
      </c>
      <c r="H659" s="32">
        <v>2.0</v>
      </c>
    </row>
    <row r="660" ht="14.25" customHeight="1">
      <c r="A660" s="13" t="s">
        <v>285</v>
      </c>
      <c r="B660" s="126" t="s">
        <v>770</v>
      </c>
      <c r="C660" s="29" t="s">
        <v>43</v>
      </c>
      <c r="D660" s="99" t="s">
        <v>768</v>
      </c>
      <c r="E660" s="32">
        <v>2.0</v>
      </c>
      <c r="F660" s="32">
        <v>2.0</v>
      </c>
      <c r="G660" s="32">
        <v>2.0</v>
      </c>
      <c r="H660" s="32">
        <v>2.0</v>
      </c>
    </row>
    <row r="661" ht="14.25" customHeight="1">
      <c r="A661" s="129" t="s">
        <v>156</v>
      </c>
      <c r="B661" s="129" t="s">
        <v>157</v>
      </c>
      <c r="C661" s="7" t="s">
        <v>43</v>
      </c>
      <c r="D661" s="99" t="s">
        <v>156</v>
      </c>
      <c r="E661" s="32">
        <v>2.0</v>
      </c>
      <c r="F661" s="32">
        <v>1.0</v>
      </c>
      <c r="G661" s="32">
        <v>2.0</v>
      </c>
      <c r="H661" s="32">
        <v>2.0</v>
      </c>
    </row>
    <row r="662" ht="14.25" customHeight="1">
      <c r="A662" s="131" t="s">
        <v>771</v>
      </c>
      <c r="B662" s="139" t="s">
        <v>772</v>
      </c>
      <c r="C662" s="7" t="s">
        <v>43</v>
      </c>
      <c r="D662" s="99" t="s">
        <v>156</v>
      </c>
      <c r="E662" s="32">
        <v>2.0</v>
      </c>
      <c r="F662" s="32">
        <v>1.0</v>
      </c>
      <c r="G662" s="32">
        <v>2.0</v>
      </c>
      <c r="H662" s="32">
        <v>2.0</v>
      </c>
    </row>
    <row r="663" ht="14.25" customHeight="1">
      <c r="A663" s="131" t="s">
        <v>773</v>
      </c>
      <c r="B663" s="131" t="s">
        <v>774</v>
      </c>
      <c r="C663" s="7" t="s">
        <v>43</v>
      </c>
      <c r="D663" s="99" t="s">
        <v>156</v>
      </c>
      <c r="E663" s="32">
        <v>2.0</v>
      </c>
      <c r="F663" s="32">
        <v>1.0</v>
      </c>
      <c r="G663" s="32">
        <v>2.0</v>
      </c>
      <c r="H663" s="32">
        <v>2.0</v>
      </c>
    </row>
    <row r="664" ht="14.25" customHeight="1">
      <c r="A664" s="131" t="s">
        <v>775</v>
      </c>
      <c r="B664" s="131" t="s">
        <v>776</v>
      </c>
      <c r="C664" s="7" t="s">
        <v>43</v>
      </c>
      <c r="D664" s="99" t="s">
        <v>156</v>
      </c>
      <c r="E664" s="32">
        <v>2.0</v>
      </c>
      <c r="F664" s="32">
        <v>1.0</v>
      </c>
      <c r="G664" s="32">
        <v>2.0</v>
      </c>
      <c r="H664" s="32">
        <v>2.0</v>
      </c>
    </row>
    <row r="665" ht="14.25" customHeight="1">
      <c r="A665" s="131" t="s">
        <v>777</v>
      </c>
      <c r="B665" s="131" t="s">
        <v>778</v>
      </c>
      <c r="C665" s="7" t="s">
        <v>43</v>
      </c>
      <c r="D665" s="99" t="s">
        <v>156</v>
      </c>
      <c r="E665" s="32">
        <v>2.0</v>
      </c>
      <c r="F665" s="32">
        <v>1.0</v>
      </c>
      <c r="G665" s="32">
        <v>2.0</v>
      </c>
      <c r="H665" s="32">
        <v>2.0</v>
      </c>
    </row>
    <row r="666" ht="14.25" customHeight="1">
      <c r="A666" s="131" t="s">
        <v>779</v>
      </c>
      <c r="B666" s="131" t="s">
        <v>780</v>
      </c>
      <c r="C666" s="7" t="s">
        <v>43</v>
      </c>
      <c r="D666" s="99" t="s">
        <v>156</v>
      </c>
      <c r="E666" s="32">
        <v>2.0</v>
      </c>
      <c r="F666" s="32">
        <v>1.0</v>
      </c>
      <c r="G666" s="32">
        <v>2.0</v>
      </c>
      <c r="H666" s="32">
        <v>2.0</v>
      </c>
    </row>
    <row r="667" ht="14.25" customHeight="1">
      <c r="A667" s="131" t="s">
        <v>781</v>
      </c>
      <c r="B667" s="131" t="s">
        <v>782</v>
      </c>
      <c r="C667" s="7" t="s">
        <v>43</v>
      </c>
      <c r="D667" s="99" t="s">
        <v>156</v>
      </c>
      <c r="E667" s="32">
        <v>2.0</v>
      </c>
      <c r="F667" s="32">
        <v>1.0</v>
      </c>
      <c r="G667" s="32">
        <v>2.0</v>
      </c>
      <c r="H667" s="32">
        <v>2.0</v>
      </c>
    </row>
    <row r="668" ht="14.25" customHeight="1">
      <c r="A668" s="131" t="s">
        <v>783</v>
      </c>
      <c r="B668" s="131" t="s">
        <v>784</v>
      </c>
      <c r="C668" s="7" t="s">
        <v>43</v>
      </c>
      <c r="D668" s="99" t="s">
        <v>156</v>
      </c>
      <c r="E668" s="32">
        <v>2.0</v>
      </c>
      <c r="F668" s="32">
        <v>1.0</v>
      </c>
      <c r="G668" s="32">
        <v>2.0</v>
      </c>
      <c r="H668" s="32">
        <v>2.0</v>
      </c>
    </row>
    <row r="669" ht="14.25" customHeight="1">
      <c r="A669" s="131" t="s">
        <v>785</v>
      </c>
      <c r="B669" s="131" t="s">
        <v>786</v>
      </c>
      <c r="C669" s="7" t="s">
        <v>43</v>
      </c>
      <c r="D669" s="99" t="s">
        <v>156</v>
      </c>
      <c r="E669" s="32">
        <v>2.0</v>
      </c>
      <c r="F669" s="32">
        <v>1.0</v>
      </c>
      <c r="G669" s="32">
        <v>2.0</v>
      </c>
      <c r="H669" s="32">
        <v>2.0</v>
      </c>
    </row>
    <row r="670" ht="14.25" customHeight="1">
      <c r="A670" s="131" t="s">
        <v>779</v>
      </c>
      <c r="B670" s="131" t="s">
        <v>787</v>
      </c>
      <c r="C670" s="7" t="s">
        <v>43</v>
      </c>
      <c r="D670" s="99" t="s">
        <v>156</v>
      </c>
      <c r="E670" s="32">
        <v>2.0</v>
      </c>
      <c r="F670" s="32">
        <v>1.0</v>
      </c>
      <c r="G670" s="32">
        <v>2.0</v>
      </c>
      <c r="H670" s="32">
        <v>2.0</v>
      </c>
    </row>
    <row r="671" ht="14.25" customHeight="1">
      <c r="A671" s="27" t="s">
        <v>625</v>
      </c>
      <c r="B671" s="125" t="s">
        <v>691</v>
      </c>
      <c r="C671" s="29" t="s">
        <v>43</v>
      </c>
      <c r="D671" s="29" t="s">
        <v>274</v>
      </c>
      <c r="E671" s="32">
        <v>85.0</v>
      </c>
      <c r="F671" s="32">
        <v>68.0</v>
      </c>
      <c r="G671" s="32">
        <v>85.0</v>
      </c>
      <c r="H671" s="32">
        <v>102.0</v>
      </c>
    </row>
    <row r="672" ht="14.25" customHeight="1">
      <c r="A672" s="27" t="s">
        <v>674</v>
      </c>
      <c r="B672" s="125" t="s">
        <v>673</v>
      </c>
      <c r="C672" s="29" t="s">
        <v>43</v>
      </c>
      <c r="D672" s="29" t="s">
        <v>273</v>
      </c>
      <c r="E672" s="32">
        <v>24.0</v>
      </c>
      <c r="F672" s="32">
        <v>19.0</v>
      </c>
      <c r="G672" s="32">
        <v>24.0</v>
      </c>
      <c r="H672" s="32">
        <v>29.0</v>
      </c>
    </row>
    <row r="673" ht="14.25" customHeight="1">
      <c r="A673" s="27" t="s">
        <v>672</v>
      </c>
      <c r="B673" s="125" t="s">
        <v>673</v>
      </c>
      <c r="C673" s="29" t="s">
        <v>43</v>
      </c>
      <c r="D673" s="29" t="s">
        <v>273</v>
      </c>
      <c r="E673" s="32">
        <v>24.0</v>
      </c>
      <c r="F673" s="32">
        <v>19.0</v>
      </c>
      <c r="G673" s="32">
        <v>24.0</v>
      </c>
      <c r="H673" s="32">
        <v>29.0</v>
      </c>
    </row>
    <row r="674" ht="14.25" customHeight="1">
      <c r="A674" s="27" t="s">
        <v>603</v>
      </c>
      <c r="B674" s="125" t="s">
        <v>604</v>
      </c>
      <c r="C674" s="29" t="s">
        <v>43</v>
      </c>
      <c r="D674" s="29" t="s">
        <v>273</v>
      </c>
      <c r="E674" s="32">
        <v>24.0</v>
      </c>
      <c r="F674" s="32">
        <v>19.0</v>
      </c>
      <c r="G674" s="32">
        <v>24.0</v>
      </c>
      <c r="H674" s="32">
        <v>29.0</v>
      </c>
    </row>
    <row r="675" ht="14.25" customHeight="1">
      <c r="A675" s="27" t="s">
        <v>358</v>
      </c>
      <c r="B675" s="125" t="s">
        <v>359</v>
      </c>
      <c r="C675" s="29" t="s">
        <v>43</v>
      </c>
      <c r="D675" s="29" t="s">
        <v>273</v>
      </c>
      <c r="E675" s="32">
        <v>30.0</v>
      </c>
      <c r="F675" s="32">
        <v>24.0</v>
      </c>
      <c r="G675" s="32">
        <v>30.0</v>
      </c>
      <c r="H675" s="32">
        <v>36.0</v>
      </c>
    </row>
    <row r="676" ht="14.25" customHeight="1">
      <c r="A676" s="27" t="s">
        <v>414</v>
      </c>
      <c r="B676" s="125" t="s">
        <v>416</v>
      </c>
      <c r="C676" s="29" t="s">
        <v>43</v>
      </c>
      <c r="D676" s="29" t="s">
        <v>273</v>
      </c>
      <c r="E676" s="32">
        <v>10.0</v>
      </c>
      <c r="F676" s="32">
        <v>8.0</v>
      </c>
      <c r="G676" s="32">
        <v>10.0</v>
      </c>
      <c r="H676" s="32">
        <v>12.0</v>
      </c>
    </row>
    <row r="677" ht="14.25" customHeight="1">
      <c r="A677" s="27" t="s">
        <v>417</v>
      </c>
      <c r="B677" s="125" t="s">
        <v>419</v>
      </c>
      <c r="C677" s="29" t="s">
        <v>43</v>
      </c>
      <c r="D677" s="29" t="s">
        <v>273</v>
      </c>
      <c r="E677" s="32">
        <v>9.0</v>
      </c>
      <c r="F677" s="32">
        <v>6.0</v>
      </c>
      <c r="G677" s="32">
        <v>9.0</v>
      </c>
      <c r="H677" s="32">
        <v>13.0</v>
      </c>
    </row>
    <row r="678" ht="14.25" customHeight="1">
      <c r="A678" s="27" t="s">
        <v>377</v>
      </c>
      <c r="B678" s="125" t="s">
        <v>118</v>
      </c>
      <c r="C678" s="29" t="s">
        <v>43</v>
      </c>
      <c r="D678" s="29" t="s">
        <v>274</v>
      </c>
      <c r="E678" s="32">
        <v>68.0</v>
      </c>
      <c r="F678" s="32">
        <v>48.0</v>
      </c>
      <c r="G678" s="32">
        <v>68.0</v>
      </c>
      <c r="H678" s="32">
        <v>93.0</v>
      </c>
    </row>
    <row r="679" ht="14.25" customHeight="1">
      <c r="A679" s="27" t="s">
        <v>377</v>
      </c>
      <c r="B679" s="125" t="s">
        <v>247</v>
      </c>
      <c r="C679" s="29" t="s">
        <v>43</v>
      </c>
      <c r="D679" s="29" t="s">
        <v>274</v>
      </c>
      <c r="E679" s="32">
        <v>77.0</v>
      </c>
      <c r="F679" s="32">
        <v>48.0</v>
      </c>
      <c r="G679" s="32">
        <v>77.0</v>
      </c>
      <c r="H679" s="32">
        <v>93.0</v>
      </c>
    </row>
    <row r="680" ht="14.25" customHeight="1">
      <c r="A680" s="27" t="s">
        <v>235</v>
      </c>
      <c r="B680" s="125" t="s">
        <v>247</v>
      </c>
      <c r="C680" s="29" t="s">
        <v>43</v>
      </c>
      <c r="D680" s="29" t="s">
        <v>273</v>
      </c>
      <c r="E680" s="32">
        <v>28.0</v>
      </c>
      <c r="F680" s="32">
        <v>20.0</v>
      </c>
      <c r="G680" s="32">
        <v>28.0</v>
      </c>
      <c r="H680" s="32">
        <v>33.0</v>
      </c>
    </row>
    <row r="681" ht="14.25" customHeight="1">
      <c r="A681" s="27" t="s">
        <v>729</v>
      </c>
      <c r="B681" s="27" t="s">
        <v>691</v>
      </c>
      <c r="C681" s="29" t="s">
        <v>43</v>
      </c>
      <c r="D681" s="99" t="s">
        <v>274</v>
      </c>
      <c r="E681" s="32">
        <v>73.0</v>
      </c>
      <c r="F681" s="32">
        <v>45.0</v>
      </c>
      <c r="G681" s="32">
        <v>73.0</v>
      </c>
      <c r="H681" s="32">
        <v>88.0</v>
      </c>
    </row>
    <row r="682" ht="14.25" customHeight="1">
      <c r="A682" s="27" t="s">
        <v>674</v>
      </c>
      <c r="B682" s="27" t="s">
        <v>677</v>
      </c>
      <c r="C682" s="29" t="s">
        <v>43</v>
      </c>
      <c r="D682" s="99" t="s">
        <v>273</v>
      </c>
      <c r="E682" s="32">
        <v>24.0</v>
      </c>
      <c r="F682" s="32">
        <v>19.0</v>
      </c>
      <c r="G682" s="32">
        <v>24.0</v>
      </c>
      <c r="H682" s="32">
        <v>29.0</v>
      </c>
    </row>
    <row r="683" ht="14.25" customHeight="1">
      <c r="A683" s="27" t="s">
        <v>674</v>
      </c>
      <c r="B683" s="27" t="s">
        <v>673</v>
      </c>
      <c r="C683" s="29" t="s">
        <v>43</v>
      </c>
      <c r="D683" s="29" t="s">
        <v>273</v>
      </c>
      <c r="E683" s="32">
        <v>24.0</v>
      </c>
      <c r="F683" s="32">
        <v>19.0</v>
      </c>
      <c r="G683" s="32">
        <v>24.0</v>
      </c>
      <c r="H683" s="32">
        <v>29.0</v>
      </c>
    </row>
    <row r="684" ht="14.25" customHeight="1">
      <c r="A684" s="27" t="s">
        <v>672</v>
      </c>
      <c r="B684" s="27" t="s">
        <v>673</v>
      </c>
      <c r="C684" s="29" t="s">
        <v>43</v>
      </c>
      <c r="D684" s="29" t="s">
        <v>273</v>
      </c>
      <c r="E684" s="32">
        <v>24.0</v>
      </c>
      <c r="F684" s="32">
        <v>19.0</v>
      </c>
      <c r="G684" s="32">
        <v>24.0</v>
      </c>
      <c r="H684" s="32">
        <v>29.0</v>
      </c>
    </row>
    <row r="685" ht="14.25" customHeight="1">
      <c r="A685" s="27" t="s">
        <v>300</v>
      </c>
      <c r="B685" s="27" t="s">
        <v>604</v>
      </c>
      <c r="C685" s="29" t="s">
        <v>43</v>
      </c>
      <c r="D685" s="99" t="s">
        <v>273</v>
      </c>
      <c r="E685" s="32">
        <v>24.0</v>
      </c>
      <c r="F685" s="32">
        <v>19.0</v>
      </c>
      <c r="G685" s="32">
        <v>24.0</v>
      </c>
      <c r="H685" s="32">
        <v>29.0</v>
      </c>
    </row>
    <row r="686" ht="14.25" customHeight="1">
      <c r="A686" s="27" t="s">
        <v>105</v>
      </c>
      <c r="B686" s="27" t="s">
        <v>519</v>
      </c>
      <c r="C686" s="29" t="s">
        <v>43</v>
      </c>
      <c r="D686" s="99" t="s">
        <v>273</v>
      </c>
      <c r="E686" s="32">
        <v>26.0</v>
      </c>
      <c r="F686" s="32">
        <v>21.0</v>
      </c>
      <c r="G686" s="32">
        <v>26.0</v>
      </c>
      <c r="H686" s="32">
        <v>31.0</v>
      </c>
    </row>
    <row r="687" ht="14.25" customHeight="1">
      <c r="A687" s="27" t="s">
        <v>377</v>
      </c>
      <c r="B687" s="27" t="s">
        <v>118</v>
      </c>
      <c r="C687" s="29" t="s">
        <v>43</v>
      </c>
      <c r="D687" s="110" t="s">
        <v>274</v>
      </c>
      <c r="E687" s="32">
        <v>77.0</v>
      </c>
      <c r="F687" s="32">
        <v>58.0</v>
      </c>
      <c r="G687" s="32">
        <v>77.0</v>
      </c>
      <c r="H687" s="32">
        <v>93.0</v>
      </c>
    </row>
    <row r="688" ht="14.25" customHeight="1">
      <c r="A688" s="27" t="s">
        <v>377</v>
      </c>
      <c r="B688" s="27" t="s">
        <v>247</v>
      </c>
      <c r="C688" s="29" t="s">
        <v>43</v>
      </c>
      <c r="D688" s="99" t="s">
        <v>273</v>
      </c>
      <c r="E688" s="32">
        <v>77.0</v>
      </c>
      <c r="F688" s="32">
        <v>48.0</v>
      </c>
      <c r="G688" s="32">
        <v>77.0</v>
      </c>
      <c r="H688" s="32">
        <v>93.0</v>
      </c>
    </row>
    <row r="689" ht="14.25" customHeight="1">
      <c r="A689" s="27" t="s">
        <v>358</v>
      </c>
      <c r="B689" s="27" t="s">
        <v>359</v>
      </c>
      <c r="C689" s="29" t="s">
        <v>43</v>
      </c>
      <c r="D689" s="99" t="s">
        <v>273</v>
      </c>
      <c r="E689" s="32">
        <v>30.0</v>
      </c>
      <c r="F689" s="32">
        <v>24.0</v>
      </c>
      <c r="G689" s="32">
        <v>30.0</v>
      </c>
      <c r="H689" s="32">
        <v>36.0</v>
      </c>
    </row>
    <row r="690" ht="14.25" customHeight="1">
      <c r="A690" s="13" t="s">
        <v>98</v>
      </c>
      <c r="B690" s="126" t="s">
        <v>106</v>
      </c>
      <c r="C690" s="127" t="s">
        <v>43</v>
      </c>
      <c r="D690" s="99" t="s">
        <v>273</v>
      </c>
      <c r="E690" s="32">
        <v>23.0</v>
      </c>
      <c r="F690" s="32">
        <v>12.0</v>
      </c>
      <c r="G690" s="32">
        <v>23.0</v>
      </c>
      <c r="H690" s="32">
        <v>28.0</v>
      </c>
    </row>
    <row r="691" ht="14.25" customHeight="1">
      <c r="A691" s="129" t="s">
        <v>235</v>
      </c>
      <c r="B691" s="129" t="s">
        <v>247</v>
      </c>
      <c r="C691" s="7" t="s">
        <v>43</v>
      </c>
      <c r="D691" s="99" t="s">
        <v>273</v>
      </c>
      <c r="E691" s="32">
        <v>26.0</v>
      </c>
      <c r="F691" s="130">
        <v>20.0</v>
      </c>
      <c r="G691" s="32">
        <v>28.0</v>
      </c>
      <c r="H691" s="130">
        <v>33.0</v>
      </c>
    </row>
    <row r="692" ht="14.25" customHeight="1">
      <c r="A692" s="27" t="s">
        <v>298</v>
      </c>
      <c r="B692" s="125" t="s">
        <v>299</v>
      </c>
      <c r="C692" s="29" t="s">
        <v>43</v>
      </c>
      <c r="D692" s="29" t="s">
        <v>255</v>
      </c>
      <c r="E692" s="32">
        <v>30.0</v>
      </c>
      <c r="F692" s="32">
        <v>24.0</v>
      </c>
      <c r="G692" s="32">
        <v>30.0</v>
      </c>
      <c r="H692" s="32">
        <v>36.0</v>
      </c>
    </row>
    <row r="693" ht="14.25" customHeight="1">
      <c r="A693" s="27" t="s">
        <v>235</v>
      </c>
      <c r="B693" s="125" t="s">
        <v>238</v>
      </c>
      <c r="C693" s="29" t="s">
        <v>30</v>
      </c>
      <c r="D693" s="29" t="s">
        <v>744</v>
      </c>
      <c r="E693" s="32">
        <v>35.0</v>
      </c>
      <c r="F693" s="32">
        <v>30.0</v>
      </c>
      <c r="G693" s="32">
        <v>35.0</v>
      </c>
      <c r="H693" s="32">
        <v>40.0</v>
      </c>
    </row>
    <row r="694" ht="14.25" customHeight="1">
      <c r="A694" s="27" t="s">
        <v>98</v>
      </c>
      <c r="B694" s="125" t="s">
        <v>115</v>
      </c>
      <c r="C694" s="29" t="s">
        <v>43</v>
      </c>
      <c r="D694" s="29" t="s">
        <v>744</v>
      </c>
      <c r="E694" s="32">
        <v>46.0</v>
      </c>
      <c r="F694" s="32">
        <v>40.0</v>
      </c>
      <c r="G694" s="32">
        <v>46.0</v>
      </c>
      <c r="H694" s="32">
        <v>55.0</v>
      </c>
    </row>
    <row r="695" ht="14.25" customHeight="1">
      <c r="A695" s="27" t="s">
        <v>235</v>
      </c>
      <c r="B695" s="125" t="s">
        <v>263</v>
      </c>
      <c r="C695" s="29" t="s">
        <v>43</v>
      </c>
      <c r="D695" s="29" t="s">
        <v>744</v>
      </c>
      <c r="E695" s="32">
        <v>28.0</v>
      </c>
      <c r="F695" s="32">
        <v>20.0</v>
      </c>
      <c r="G695" s="32">
        <v>28.0</v>
      </c>
      <c r="H695" s="32">
        <v>33.0</v>
      </c>
    </row>
    <row r="696" ht="14.25" customHeight="1">
      <c r="A696" s="13" t="s">
        <v>300</v>
      </c>
      <c r="B696" s="126" t="s">
        <v>788</v>
      </c>
      <c r="C696" s="29" t="s">
        <v>43</v>
      </c>
      <c r="D696" s="99" t="s">
        <v>744</v>
      </c>
      <c r="E696" s="32">
        <v>32.0</v>
      </c>
      <c r="F696" s="32">
        <v>20.0</v>
      </c>
      <c r="G696" s="32">
        <v>32.0</v>
      </c>
      <c r="H696" s="32">
        <v>38.0</v>
      </c>
    </row>
    <row r="697" ht="14.25" customHeight="1">
      <c r="A697" s="13" t="s">
        <v>789</v>
      </c>
      <c r="B697" s="126" t="s">
        <v>123</v>
      </c>
      <c r="C697" s="29" t="s">
        <v>43</v>
      </c>
      <c r="D697" s="99" t="s">
        <v>744</v>
      </c>
      <c r="E697" s="32">
        <v>26.0</v>
      </c>
      <c r="F697" s="128">
        <v>16.0</v>
      </c>
      <c r="G697" s="32">
        <v>26.0</v>
      </c>
      <c r="H697" s="128">
        <v>32.0</v>
      </c>
    </row>
    <row r="698" ht="14.25" customHeight="1">
      <c r="A698" s="27" t="s">
        <v>298</v>
      </c>
      <c r="B698" s="27" t="s">
        <v>299</v>
      </c>
      <c r="C698" s="29" t="s">
        <v>43</v>
      </c>
      <c r="D698" s="99" t="s">
        <v>744</v>
      </c>
      <c r="E698" s="32">
        <v>30.0</v>
      </c>
      <c r="F698" s="32">
        <v>24.0</v>
      </c>
      <c r="G698" s="32">
        <v>30.0</v>
      </c>
      <c r="H698" s="32">
        <v>36.0</v>
      </c>
    </row>
    <row r="699" ht="14.25" customHeight="1">
      <c r="A699" s="129" t="s">
        <v>235</v>
      </c>
      <c r="B699" s="129" t="s">
        <v>238</v>
      </c>
      <c r="C699" s="7" t="s">
        <v>30</v>
      </c>
      <c r="D699" s="110" t="e">
        <v>#N/A</v>
      </c>
      <c r="E699" s="32">
        <v>24.0</v>
      </c>
      <c r="F699" s="130">
        <v>18.0</v>
      </c>
      <c r="G699" s="32">
        <v>25.0</v>
      </c>
      <c r="H699" s="130">
        <v>30.0</v>
      </c>
    </row>
    <row r="700" ht="14.25" customHeight="1">
      <c r="A700" s="129" t="s">
        <v>235</v>
      </c>
      <c r="B700" s="129" t="s">
        <v>263</v>
      </c>
      <c r="C700" s="7" t="s">
        <v>43</v>
      </c>
      <c r="D700" s="99" t="s">
        <v>744</v>
      </c>
      <c r="E700" s="32">
        <v>26.0</v>
      </c>
      <c r="F700" s="32">
        <v>20.0</v>
      </c>
      <c r="G700" s="32">
        <v>28.0</v>
      </c>
      <c r="H700" s="32">
        <v>33.0</v>
      </c>
    </row>
    <row r="701" ht="14.25" customHeight="1">
      <c r="A701" s="110" t="s">
        <v>235</v>
      </c>
      <c r="B701" s="124" t="s">
        <v>790</v>
      </c>
      <c r="C701" s="99" t="s">
        <v>43</v>
      </c>
      <c r="D701" s="99" t="s">
        <v>744</v>
      </c>
      <c r="E701" s="32">
        <v>24.0</v>
      </c>
      <c r="F701" s="130">
        <v>18.0</v>
      </c>
      <c r="G701" s="32">
        <v>25.0</v>
      </c>
      <c r="H701" s="130">
        <v>30.0</v>
      </c>
    </row>
    <row r="702" ht="14.25" customHeight="1">
      <c r="A702" s="110" t="s">
        <v>235</v>
      </c>
      <c r="B702" s="124" t="s">
        <v>790</v>
      </c>
      <c r="C702" s="99" t="s">
        <v>43</v>
      </c>
      <c r="D702" s="99" t="s">
        <v>744</v>
      </c>
      <c r="E702" s="32">
        <v>24.0</v>
      </c>
      <c r="F702" s="32">
        <v>18.0</v>
      </c>
      <c r="G702" s="32">
        <v>25.0</v>
      </c>
      <c r="H702" s="32">
        <v>30.0</v>
      </c>
    </row>
    <row r="703" ht="14.25" customHeight="1">
      <c r="A703" s="110" t="s">
        <v>235</v>
      </c>
      <c r="B703" s="124" t="s">
        <v>791</v>
      </c>
      <c r="C703" s="99" t="s">
        <v>43</v>
      </c>
      <c r="D703" s="99" t="s">
        <v>744</v>
      </c>
      <c r="E703" s="32">
        <v>24.0</v>
      </c>
      <c r="F703" s="32">
        <v>18.0</v>
      </c>
      <c r="G703" s="32">
        <v>25.0</v>
      </c>
      <c r="H703" s="32">
        <v>30.0</v>
      </c>
    </row>
    <row r="704" ht="14.25" customHeight="1">
      <c r="A704" s="110" t="s">
        <v>235</v>
      </c>
      <c r="B704" s="124" t="s">
        <v>792</v>
      </c>
      <c r="C704" s="99" t="s">
        <v>43</v>
      </c>
      <c r="D704" s="99" t="s">
        <v>744</v>
      </c>
      <c r="E704" s="32">
        <v>26.0</v>
      </c>
      <c r="F704" s="32">
        <v>20.0</v>
      </c>
      <c r="G704" s="32">
        <v>28.0</v>
      </c>
      <c r="H704" s="32">
        <v>33.0</v>
      </c>
    </row>
    <row r="705" ht="14.25" customHeight="1">
      <c r="A705" s="129" t="s">
        <v>98</v>
      </c>
      <c r="B705" s="129" t="s">
        <v>115</v>
      </c>
      <c r="C705" s="7" t="s">
        <v>43</v>
      </c>
      <c r="D705" s="99" t="s">
        <v>255</v>
      </c>
      <c r="E705" s="32">
        <v>48.0</v>
      </c>
      <c r="F705" s="32">
        <v>38.0</v>
      </c>
      <c r="G705" s="32">
        <v>48.0</v>
      </c>
      <c r="H705" s="32">
        <v>57.0</v>
      </c>
    </row>
    <row r="706" ht="14.25" customHeight="1">
      <c r="A706" s="27" t="s">
        <v>706</v>
      </c>
      <c r="B706" s="125" t="s">
        <v>707</v>
      </c>
      <c r="C706" s="29" t="s">
        <v>43</v>
      </c>
      <c r="D706" s="29" t="s">
        <v>53</v>
      </c>
      <c r="E706" s="32">
        <v>40.0</v>
      </c>
      <c r="F706" s="32">
        <v>23.0</v>
      </c>
      <c r="G706" s="32">
        <v>40.0</v>
      </c>
      <c r="H706" s="32">
        <v>63.0</v>
      </c>
    </row>
    <row r="707" ht="14.25" customHeight="1">
      <c r="A707" s="27" t="s">
        <v>704</v>
      </c>
      <c r="B707" s="125" t="s">
        <v>705</v>
      </c>
      <c r="C707" s="29" t="s">
        <v>43</v>
      </c>
      <c r="D707" s="29" t="s">
        <v>53</v>
      </c>
      <c r="E707" s="32">
        <v>40.0</v>
      </c>
      <c r="F707" s="32">
        <v>23.0</v>
      </c>
      <c r="G707" s="32">
        <v>40.0</v>
      </c>
      <c r="H707" s="32">
        <v>63.0</v>
      </c>
    </row>
    <row r="708" ht="14.25" customHeight="1">
      <c r="A708" s="27" t="s">
        <v>576</v>
      </c>
      <c r="B708" s="125" t="s">
        <v>577</v>
      </c>
      <c r="C708" s="29" t="s">
        <v>43</v>
      </c>
      <c r="D708" s="29" t="s">
        <v>228</v>
      </c>
      <c r="E708" s="32">
        <v>50.0</v>
      </c>
      <c r="F708" s="32">
        <v>33.0</v>
      </c>
      <c r="G708" s="32">
        <v>50.0</v>
      </c>
      <c r="H708" s="32">
        <v>73.0</v>
      </c>
    </row>
    <row r="709" ht="14.25" customHeight="1">
      <c r="A709" s="27" t="s">
        <v>576</v>
      </c>
      <c r="B709" s="125" t="s">
        <v>578</v>
      </c>
      <c r="C709" s="29" t="s">
        <v>43</v>
      </c>
      <c r="D709" s="29" t="s">
        <v>228</v>
      </c>
      <c r="E709" s="32">
        <v>50.0</v>
      </c>
      <c r="F709" s="32">
        <v>33.0</v>
      </c>
      <c r="G709" s="32">
        <v>50.0</v>
      </c>
      <c r="H709" s="32">
        <v>73.0</v>
      </c>
    </row>
    <row r="710" ht="14.25" customHeight="1">
      <c r="A710" s="27" t="s">
        <v>576</v>
      </c>
      <c r="B710" s="125" t="s">
        <v>579</v>
      </c>
      <c r="C710" s="29" t="s">
        <v>43</v>
      </c>
      <c r="D710" s="29" t="s">
        <v>228</v>
      </c>
      <c r="E710" s="32">
        <v>50.0</v>
      </c>
      <c r="F710" s="32">
        <v>33.0</v>
      </c>
      <c r="G710" s="32">
        <v>50.0</v>
      </c>
      <c r="H710" s="32">
        <v>73.0</v>
      </c>
    </row>
    <row r="711" ht="14.25" customHeight="1">
      <c r="A711" s="27" t="s">
        <v>572</v>
      </c>
      <c r="B711" s="125" t="s">
        <v>573</v>
      </c>
      <c r="C711" s="29" t="s">
        <v>43</v>
      </c>
      <c r="D711" s="29" t="s">
        <v>237</v>
      </c>
      <c r="E711" s="32">
        <v>13.0</v>
      </c>
      <c r="F711" s="32">
        <v>8.0</v>
      </c>
      <c r="G711" s="32">
        <v>13.0</v>
      </c>
      <c r="H711" s="32">
        <v>20.0</v>
      </c>
    </row>
    <row r="712" ht="14.25" customHeight="1">
      <c r="A712" s="27" t="s">
        <v>572</v>
      </c>
      <c r="B712" s="125" t="s">
        <v>574</v>
      </c>
      <c r="C712" s="29" t="s">
        <v>43</v>
      </c>
      <c r="D712" s="29" t="s">
        <v>237</v>
      </c>
      <c r="E712" s="32">
        <v>13.0</v>
      </c>
      <c r="F712" s="32">
        <v>8.0</v>
      </c>
      <c r="G712" s="32">
        <v>13.0</v>
      </c>
      <c r="H712" s="32">
        <v>20.0</v>
      </c>
    </row>
    <row r="713" ht="14.25" customHeight="1">
      <c r="A713" s="27" t="s">
        <v>572</v>
      </c>
      <c r="B713" s="125" t="s">
        <v>575</v>
      </c>
      <c r="C713" s="29" t="s">
        <v>43</v>
      </c>
      <c r="D713" s="29" t="s">
        <v>237</v>
      </c>
      <c r="E713" s="32">
        <v>13.0</v>
      </c>
      <c r="F713" s="32">
        <v>8.0</v>
      </c>
      <c r="G713" s="32">
        <v>13.0</v>
      </c>
      <c r="H713" s="32">
        <v>20.0</v>
      </c>
    </row>
    <row r="714" ht="14.25" customHeight="1">
      <c r="A714" s="27" t="s">
        <v>570</v>
      </c>
      <c r="B714" s="125" t="s">
        <v>571</v>
      </c>
      <c r="C714" s="29" t="s">
        <v>43</v>
      </c>
      <c r="D714" s="29" t="s">
        <v>237</v>
      </c>
      <c r="E714" s="32">
        <v>13.0</v>
      </c>
      <c r="F714" s="32">
        <v>8.0</v>
      </c>
      <c r="G714" s="32">
        <v>13.0</v>
      </c>
      <c r="H714" s="32">
        <v>20.0</v>
      </c>
    </row>
    <row r="715" ht="14.25" customHeight="1">
      <c r="A715" s="27" t="s">
        <v>537</v>
      </c>
      <c r="B715" s="125" t="s">
        <v>538</v>
      </c>
      <c r="C715" s="29" t="s">
        <v>43</v>
      </c>
      <c r="D715" s="29" t="s">
        <v>53</v>
      </c>
      <c r="E715" s="32">
        <v>40.0</v>
      </c>
      <c r="F715" s="32">
        <v>23.0</v>
      </c>
      <c r="G715" s="32">
        <v>40.0</v>
      </c>
      <c r="H715" s="32">
        <v>63.0</v>
      </c>
    </row>
    <row r="716" ht="14.25" customHeight="1">
      <c r="A716" s="27" t="s">
        <v>373</v>
      </c>
      <c r="B716" s="125" t="s">
        <v>374</v>
      </c>
      <c r="C716" s="29" t="s">
        <v>43</v>
      </c>
      <c r="D716" s="29" t="s">
        <v>53</v>
      </c>
      <c r="E716" s="32">
        <v>40.0</v>
      </c>
      <c r="F716" s="32">
        <v>23.0</v>
      </c>
      <c r="G716" s="32">
        <v>40.0</v>
      </c>
      <c r="H716" s="32">
        <v>63.0</v>
      </c>
    </row>
    <row r="717" ht="14.25" customHeight="1">
      <c r="A717" s="27" t="s">
        <v>369</v>
      </c>
      <c r="B717" s="125" t="s">
        <v>185</v>
      </c>
      <c r="C717" s="29" t="s">
        <v>43</v>
      </c>
      <c r="D717" s="29" t="s">
        <v>53</v>
      </c>
      <c r="E717" s="32">
        <v>40.0</v>
      </c>
      <c r="F717" s="32">
        <v>23.0</v>
      </c>
      <c r="G717" s="32">
        <v>40.0</v>
      </c>
      <c r="H717" s="32">
        <v>63.0</v>
      </c>
    </row>
    <row r="718" ht="14.25" customHeight="1">
      <c r="A718" s="27" t="s">
        <v>369</v>
      </c>
      <c r="B718" s="125" t="s">
        <v>370</v>
      </c>
      <c r="C718" s="29" t="s">
        <v>43</v>
      </c>
      <c r="D718" s="29" t="s">
        <v>53</v>
      </c>
      <c r="E718" s="32">
        <v>40.0</v>
      </c>
      <c r="F718" s="32">
        <v>23.0</v>
      </c>
      <c r="G718" s="32">
        <v>40.0</v>
      </c>
      <c r="H718" s="32">
        <v>63.0</v>
      </c>
    </row>
    <row r="719" ht="14.25" customHeight="1">
      <c r="A719" s="27" t="s">
        <v>340</v>
      </c>
      <c r="B719" s="125" t="s">
        <v>341</v>
      </c>
      <c r="C719" s="29" t="s">
        <v>43</v>
      </c>
      <c r="D719" s="29" t="s">
        <v>237</v>
      </c>
      <c r="E719" s="32">
        <v>13.0</v>
      </c>
      <c r="F719" s="32">
        <v>8.0</v>
      </c>
      <c r="G719" s="32">
        <v>13.0</v>
      </c>
      <c r="H719" s="32">
        <v>20.0</v>
      </c>
    </row>
    <row r="720" ht="14.25" customHeight="1">
      <c r="A720" s="27" t="s">
        <v>338</v>
      </c>
      <c r="B720" s="125" t="s">
        <v>339</v>
      </c>
      <c r="C720" s="29" t="s">
        <v>43</v>
      </c>
      <c r="D720" s="29" t="s">
        <v>237</v>
      </c>
      <c r="E720" s="32">
        <v>13.0</v>
      </c>
      <c r="F720" s="32">
        <v>8.0</v>
      </c>
      <c r="G720" s="32">
        <v>13.0</v>
      </c>
      <c r="H720" s="32">
        <v>20.0</v>
      </c>
    </row>
    <row r="721" ht="14.25" customHeight="1">
      <c r="A721" s="27" t="s">
        <v>336</v>
      </c>
      <c r="B721" s="125" t="s">
        <v>337</v>
      </c>
      <c r="C721" s="29" t="s">
        <v>43</v>
      </c>
      <c r="D721" s="29" t="s">
        <v>53</v>
      </c>
      <c r="E721" s="32">
        <v>40.0</v>
      </c>
      <c r="F721" s="32">
        <v>23.0</v>
      </c>
      <c r="G721" s="32">
        <v>40.0</v>
      </c>
      <c r="H721" s="32">
        <v>63.0</v>
      </c>
    </row>
    <row r="722" ht="14.25" customHeight="1">
      <c r="A722" s="27" t="s">
        <v>334</v>
      </c>
      <c r="B722" s="125" t="s">
        <v>335</v>
      </c>
      <c r="C722" s="29" t="s">
        <v>43</v>
      </c>
      <c r="D722" s="29" t="s">
        <v>53</v>
      </c>
      <c r="E722" s="32">
        <v>40.0</v>
      </c>
      <c r="F722" s="32">
        <v>23.0</v>
      </c>
      <c r="G722" s="32">
        <v>40.0</v>
      </c>
      <c r="H722" s="32">
        <v>63.0</v>
      </c>
    </row>
    <row r="723" ht="14.25" customHeight="1">
      <c r="A723" s="27" t="s">
        <v>94</v>
      </c>
      <c r="B723" s="125" t="s">
        <v>333</v>
      </c>
      <c r="C723" s="29" t="s">
        <v>43</v>
      </c>
      <c r="D723" s="29" t="s">
        <v>53</v>
      </c>
      <c r="E723" s="32">
        <v>40.0</v>
      </c>
      <c r="F723" s="32">
        <v>23.0</v>
      </c>
      <c r="G723" s="32">
        <v>40.0</v>
      </c>
      <c r="H723" s="32">
        <v>63.0</v>
      </c>
    </row>
    <row r="724" ht="14.25" customHeight="1">
      <c r="A724" s="27" t="s">
        <v>623</v>
      </c>
      <c r="B724" s="125" t="s">
        <v>632</v>
      </c>
      <c r="C724" s="29" t="s">
        <v>43</v>
      </c>
      <c r="D724" s="29" t="s">
        <v>237</v>
      </c>
      <c r="E724" s="32">
        <v>13.0</v>
      </c>
      <c r="F724" s="32">
        <v>8.0</v>
      </c>
      <c r="G724" s="32">
        <v>13.0</v>
      </c>
      <c r="H724" s="32">
        <v>20.0</v>
      </c>
    </row>
    <row r="725" ht="14.25" customHeight="1">
      <c r="A725" s="27" t="s">
        <v>621</v>
      </c>
      <c r="B725" s="125" t="s">
        <v>622</v>
      </c>
      <c r="C725" s="29" t="s">
        <v>43</v>
      </c>
      <c r="D725" s="29" t="s">
        <v>53</v>
      </c>
      <c r="E725" s="32">
        <v>40.0</v>
      </c>
      <c r="F725" s="32">
        <v>23.0</v>
      </c>
      <c r="G725" s="32">
        <v>40.0</v>
      </c>
      <c r="H725" s="32">
        <v>63.0</v>
      </c>
    </row>
    <row r="726" ht="14.25" customHeight="1">
      <c r="A726" s="27" t="s">
        <v>226</v>
      </c>
      <c r="B726" s="125" t="s">
        <v>68</v>
      </c>
      <c r="C726" s="29" t="s">
        <v>43</v>
      </c>
      <c r="D726" s="29" t="s">
        <v>53</v>
      </c>
      <c r="E726" s="32">
        <v>40.0</v>
      </c>
      <c r="F726" s="32">
        <v>23.0</v>
      </c>
      <c r="G726" s="32">
        <v>40.0</v>
      </c>
      <c r="H726" s="32">
        <v>63.0</v>
      </c>
    </row>
    <row r="727" ht="14.25" customHeight="1">
      <c r="A727" s="27" t="s">
        <v>224</v>
      </c>
      <c r="B727" s="125" t="s">
        <v>57</v>
      </c>
      <c r="C727" s="29" t="s">
        <v>43</v>
      </c>
      <c r="D727" s="29" t="s">
        <v>53</v>
      </c>
      <c r="E727" s="32">
        <v>40.0</v>
      </c>
      <c r="F727" s="32">
        <v>23.0</v>
      </c>
      <c r="G727" s="32">
        <v>40.0</v>
      </c>
      <c r="H727" s="32">
        <v>63.0</v>
      </c>
    </row>
    <row r="728" ht="14.25" customHeight="1">
      <c r="A728" s="27" t="s">
        <v>222</v>
      </c>
      <c r="B728" s="125" t="s">
        <v>68</v>
      </c>
      <c r="C728" s="29" t="s">
        <v>43</v>
      </c>
      <c r="D728" s="29" t="s">
        <v>53</v>
      </c>
      <c r="E728" s="32">
        <v>40.0</v>
      </c>
      <c r="F728" s="32">
        <v>23.0</v>
      </c>
      <c r="G728" s="32">
        <v>40.0</v>
      </c>
      <c r="H728" s="32">
        <v>63.0</v>
      </c>
    </row>
    <row r="729" ht="14.25" customHeight="1">
      <c r="A729" s="27" t="s">
        <v>220</v>
      </c>
      <c r="B729" s="125" t="s">
        <v>68</v>
      </c>
      <c r="C729" s="29" t="s">
        <v>43</v>
      </c>
      <c r="D729" s="29" t="s">
        <v>53</v>
      </c>
      <c r="E729" s="32">
        <v>40.0</v>
      </c>
      <c r="F729" s="32">
        <v>23.0</v>
      </c>
      <c r="G729" s="32">
        <v>40.0</v>
      </c>
      <c r="H729" s="32">
        <v>63.0</v>
      </c>
    </row>
    <row r="730" ht="14.25" customHeight="1">
      <c r="A730" s="27" t="s">
        <v>67</v>
      </c>
      <c r="B730" s="125" t="s">
        <v>68</v>
      </c>
      <c r="C730" s="29" t="s">
        <v>43</v>
      </c>
      <c r="D730" s="29" t="s">
        <v>53</v>
      </c>
      <c r="E730" s="32">
        <v>40.0</v>
      </c>
      <c r="F730" s="32">
        <v>23.0</v>
      </c>
      <c r="G730" s="32">
        <v>40.0</v>
      </c>
      <c r="H730" s="32">
        <v>63.0</v>
      </c>
    </row>
    <row r="731" ht="14.25" customHeight="1">
      <c r="A731" s="27" t="s">
        <v>64</v>
      </c>
      <c r="B731" s="125" t="s">
        <v>57</v>
      </c>
      <c r="C731" s="29" t="s">
        <v>43</v>
      </c>
      <c r="D731" s="29" t="s">
        <v>53</v>
      </c>
      <c r="E731" s="32">
        <v>40.0</v>
      </c>
      <c r="F731" s="32">
        <v>23.0</v>
      </c>
      <c r="G731" s="32">
        <v>40.0</v>
      </c>
      <c r="H731" s="32">
        <v>63.0</v>
      </c>
    </row>
    <row r="732" ht="14.25" customHeight="1">
      <c r="A732" s="27" t="s">
        <v>61</v>
      </c>
      <c r="B732" s="125" t="s">
        <v>57</v>
      </c>
      <c r="C732" s="29" t="s">
        <v>43</v>
      </c>
      <c r="D732" s="29" t="s">
        <v>53</v>
      </c>
      <c r="E732" s="32">
        <v>40.0</v>
      </c>
      <c r="F732" s="32">
        <v>23.0</v>
      </c>
      <c r="G732" s="32">
        <v>40.0</v>
      </c>
      <c r="H732" s="32">
        <v>63.0</v>
      </c>
    </row>
    <row r="733" ht="14.25" customHeight="1">
      <c r="A733" s="27" t="s">
        <v>56</v>
      </c>
      <c r="B733" s="125" t="s">
        <v>57</v>
      </c>
      <c r="C733" s="29" t="s">
        <v>43</v>
      </c>
      <c r="D733" s="29" t="s">
        <v>53</v>
      </c>
      <c r="E733" s="32">
        <v>40.0</v>
      </c>
      <c r="F733" s="32">
        <v>23.0</v>
      </c>
      <c r="G733" s="32">
        <v>40.0</v>
      </c>
      <c r="H733" s="32">
        <v>63.0</v>
      </c>
    </row>
    <row r="734" ht="14.25" customHeight="1">
      <c r="A734" s="27" t="s">
        <v>56</v>
      </c>
      <c r="B734" s="125" t="s">
        <v>56</v>
      </c>
      <c r="C734" s="29" t="s">
        <v>43</v>
      </c>
      <c r="D734" s="29" t="s">
        <v>53</v>
      </c>
      <c r="E734" s="32">
        <v>40.0</v>
      </c>
      <c r="F734" s="32">
        <v>23.0</v>
      </c>
      <c r="G734" s="32">
        <v>40.0</v>
      </c>
      <c r="H734" s="32">
        <v>63.0</v>
      </c>
    </row>
    <row r="735" ht="14.25" customHeight="1">
      <c r="A735" s="27" t="s">
        <v>173</v>
      </c>
      <c r="B735" s="125" t="s">
        <v>174</v>
      </c>
      <c r="C735" s="29" t="s">
        <v>43</v>
      </c>
      <c r="D735" s="29" t="s">
        <v>53</v>
      </c>
      <c r="E735" s="32">
        <v>40.0</v>
      </c>
      <c r="F735" s="32">
        <v>23.0</v>
      </c>
      <c r="G735" s="32">
        <v>40.0</v>
      </c>
      <c r="H735" s="32">
        <v>63.0</v>
      </c>
    </row>
    <row r="736" ht="14.25" customHeight="1">
      <c r="A736" s="27" t="s">
        <v>80</v>
      </c>
      <c r="B736" s="125" t="s">
        <v>53</v>
      </c>
      <c r="C736" s="29" t="s">
        <v>43</v>
      </c>
      <c r="D736" s="29" t="s">
        <v>237</v>
      </c>
      <c r="E736" s="32">
        <v>13.0</v>
      </c>
      <c r="F736" s="32">
        <v>8.0</v>
      </c>
      <c r="G736" s="32">
        <v>13.0</v>
      </c>
      <c r="H736" s="32">
        <v>20.0</v>
      </c>
    </row>
    <row r="737" ht="14.25" customHeight="1">
      <c r="A737" s="27" t="s">
        <v>308</v>
      </c>
      <c r="B737" s="125" t="s">
        <v>53</v>
      </c>
      <c r="C737" s="29" t="s">
        <v>43</v>
      </c>
      <c r="D737" s="29" t="s">
        <v>53</v>
      </c>
      <c r="E737" s="32">
        <v>40.0</v>
      </c>
      <c r="F737" s="32">
        <v>23.0</v>
      </c>
      <c r="G737" s="32">
        <v>40.0</v>
      </c>
      <c r="H737" s="32">
        <v>63.0</v>
      </c>
    </row>
    <row r="738" ht="14.25" customHeight="1">
      <c r="A738" s="27" t="s">
        <v>324</v>
      </c>
      <c r="B738" s="125" t="s">
        <v>332</v>
      </c>
      <c r="C738" s="29" t="s">
        <v>43</v>
      </c>
      <c r="D738" s="29" t="s">
        <v>237</v>
      </c>
      <c r="E738" s="32">
        <v>13.0</v>
      </c>
      <c r="F738" s="32">
        <v>8.0</v>
      </c>
      <c r="G738" s="32">
        <v>13.0</v>
      </c>
      <c r="H738" s="32">
        <v>20.0</v>
      </c>
    </row>
    <row r="739" ht="14.25" customHeight="1">
      <c r="A739" s="27" t="s">
        <v>729</v>
      </c>
      <c r="B739" s="27" t="s">
        <v>622</v>
      </c>
      <c r="C739" s="29" t="s">
        <v>43</v>
      </c>
      <c r="D739" s="29" t="s">
        <v>53</v>
      </c>
      <c r="E739" s="32">
        <v>40.0</v>
      </c>
      <c r="F739" s="32">
        <v>23.0</v>
      </c>
      <c r="G739" s="32">
        <v>40.0</v>
      </c>
      <c r="H739" s="32">
        <v>63.0</v>
      </c>
    </row>
    <row r="740" ht="14.25" customHeight="1">
      <c r="A740" s="27" t="s">
        <v>576</v>
      </c>
      <c r="B740" s="27" t="s">
        <v>577</v>
      </c>
      <c r="C740" s="29" t="s">
        <v>43</v>
      </c>
      <c r="D740" s="29" t="s">
        <v>228</v>
      </c>
      <c r="E740" s="32">
        <v>50.0</v>
      </c>
      <c r="F740" s="32">
        <v>33.0</v>
      </c>
      <c r="G740" s="32">
        <v>50.0</v>
      </c>
      <c r="H740" s="32">
        <v>73.0</v>
      </c>
    </row>
    <row r="741" ht="14.25" customHeight="1">
      <c r="A741" s="27" t="s">
        <v>576</v>
      </c>
      <c r="B741" s="27" t="s">
        <v>578</v>
      </c>
      <c r="C741" s="29" t="s">
        <v>43</v>
      </c>
      <c r="D741" s="29" t="s">
        <v>228</v>
      </c>
      <c r="E741" s="32">
        <v>50.0</v>
      </c>
      <c r="F741" s="32">
        <v>33.0</v>
      </c>
      <c r="G741" s="32">
        <v>50.0</v>
      </c>
      <c r="H741" s="32">
        <v>73.0</v>
      </c>
    </row>
    <row r="742" ht="14.25" customHeight="1">
      <c r="A742" s="27" t="s">
        <v>576</v>
      </c>
      <c r="B742" s="27" t="s">
        <v>579</v>
      </c>
      <c r="C742" s="29" t="s">
        <v>43</v>
      </c>
      <c r="D742" s="29" t="s">
        <v>228</v>
      </c>
      <c r="E742" s="32">
        <v>50.0</v>
      </c>
      <c r="F742" s="32">
        <v>33.0</v>
      </c>
      <c r="G742" s="32">
        <v>50.0</v>
      </c>
      <c r="H742" s="32">
        <v>73.0</v>
      </c>
    </row>
    <row r="743" ht="14.25" customHeight="1">
      <c r="A743" s="27" t="s">
        <v>572</v>
      </c>
      <c r="B743" s="27" t="s">
        <v>573</v>
      </c>
      <c r="C743" s="29" t="s">
        <v>43</v>
      </c>
      <c r="D743" s="29" t="s">
        <v>228</v>
      </c>
      <c r="E743" s="32">
        <v>50.0</v>
      </c>
      <c r="F743" s="32">
        <v>33.0</v>
      </c>
      <c r="G743" s="32">
        <v>50.0</v>
      </c>
      <c r="H743" s="32">
        <v>73.0</v>
      </c>
    </row>
    <row r="744" ht="14.25" customHeight="1">
      <c r="A744" s="27" t="s">
        <v>572</v>
      </c>
      <c r="B744" s="27" t="s">
        <v>574</v>
      </c>
      <c r="C744" s="29" t="s">
        <v>43</v>
      </c>
      <c r="D744" s="29" t="s">
        <v>237</v>
      </c>
      <c r="E744" s="32">
        <v>13.0</v>
      </c>
      <c r="F744" s="32">
        <v>8.0</v>
      </c>
      <c r="G744" s="32">
        <v>13.0</v>
      </c>
      <c r="H744" s="32">
        <v>20.0</v>
      </c>
    </row>
    <row r="745" ht="14.25" customHeight="1">
      <c r="A745" s="27" t="s">
        <v>572</v>
      </c>
      <c r="B745" s="27" t="s">
        <v>575</v>
      </c>
      <c r="C745" s="29" t="s">
        <v>43</v>
      </c>
      <c r="D745" s="29" t="s">
        <v>237</v>
      </c>
      <c r="E745" s="32">
        <v>13.0</v>
      </c>
      <c r="F745" s="32">
        <v>8.0</v>
      </c>
      <c r="G745" s="32">
        <v>13.0</v>
      </c>
      <c r="H745" s="32">
        <v>20.0</v>
      </c>
    </row>
    <row r="746" ht="14.25" customHeight="1">
      <c r="A746" s="27" t="s">
        <v>570</v>
      </c>
      <c r="B746" s="27" t="s">
        <v>571</v>
      </c>
      <c r="C746" s="29" t="s">
        <v>43</v>
      </c>
      <c r="D746" s="29" t="s">
        <v>228</v>
      </c>
      <c r="E746" s="32">
        <v>50.0</v>
      </c>
      <c r="F746" s="32">
        <v>33.0</v>
      </c>
      <c r="G746" s="32">
        <v>50.0</v>
      </c>
      <c r="H746" s="32">
        <v>73.0</v>
      </c>
    </row>
    <row r="747" ht="14.25" customHeight="1">
      <c r="A747" s="27" t="s">
        <v>537</v>
      </c>
      <c r="B747" s="27" t="s">
        <v>538</v>
      </c>
      <c r="C747" s="29" t="s">
        <v>43</v>
      </c>
      <c r="D747" s="29" t="s">
        <v>53</v>
      </c>
      <c r="E747" s="32">
        <v>40.0</v>
      </c>
      <c r="F747" s="32">
        <v>23.0</v>
      </c>
      <c r="G747" s="32">
        <v>40.0</v>
      </c>
      <c r="H747" s="32">
        <v>63.0</v>
      </c>
    </row>
    <row r="748" ht="14.25" customHeight="1">
      <c r="A748" s="13" t="s">
        <v>80</v>
      </c>
      <c r="B748" s="126" t="s">
        <v>793</v>
      </c>
      <c r="C748" s="29" t="s">
        <v>43</v>
      </c>
      <c r="D748" s="29" t="s">
        <v>53</v>
      </c>
      <c r="E748" s="32">
        <v>40.0</v>
      </c>
      <c r="F748" s="32">
        <v>23.0</v>
      </c>
      <c r="G748" s="32">
        <v>40.0</v>
      </c>
      <c r="H748" s="32">
        <v>63.0</v>
      </c>
    </row>
    <row r="749" ht="14.25" customHeight="1">
      <c r="A749" s="13" t="s">
        <v>80</v>
      </c>
      <c r="B749" s="126" t="s">
        <v>794</v>
      </c>
      <c r="C749" s="29" t="s">
        <v>43</v>
      </c>
      <c r="D749" s="29" t="s">
        <v>53</v>
      </c>
      <c r="E749" s="32">
        <v>40.0</v>
      </c>
      <c r="F749" s="32">
        <v>23.0</v>
      </c>
      <c r="G749" s="32">
        <v>40.0</v>
      </c>
      <c r="H749" s="32">
        <v>63.0</v>
      </c>
    </row>
    <row r="750" ht="14.25" customHeight="1">
      <c r="A750" s="27" t="s">
        <v>373</v>
      </c>
      <c r="B750" s="27" t="s">
        <v>374</v>
      </c>
      <c r="C750" s="29" t="s">
        <v>43</v>
      </c>
      <c r="D750" s="29" t="s">
        <v>228</v>
      </c>
      <c r="E750" s="32">
        <v>50.0</v>
      </c>
      <c r="F750" s="32">
        <v>33.0</v>
      </c>
      <c r="G750" s="32">
        <v>50.0</v>
      </c>
      <c r="H750" s="32">
        <v>73.0</v>
      </c>
    </row>
    <row r="751" ht="14.25" customHeight="1">
      <c r="A751" s="27" t="s">
        <v>369</v>
      </c>
      <c r="B751" s="27" t="s">
        <v>185</v>
      </c>
      <c r="C751" s="29" t="s">
        <v>43</v>
      </c>
      <c r="D751" s="29" t="s">
        <v>53</v>
      </c>
      <c r="E751" s="32">
        <v>40.0</v>
      </c>
      <c r="F751" s="32">
        <v>23.0</v>
      </c>
      <c r="G751" s="32">
        <v>40.0</v>
      </c>
      <c r="H751" s="32">
        <v>63.0</v>
      </c>
    </row>
    <row r="752" ht="14.25" customHeight="1">
      <c r="A752" s="27" t="s">
        <v>369</v>
      </c>
      <c r="B752" s="27" t="s">
        <v>370</v>
      </c>
      <c r="C752" s="29" t="s">
        <v>43</v>
      </c>
      <c r="D752" s="29" t="s">
        <v>53</v>
      </c>
      <c r="E752" s="32">
        <v>40.0</v>
      </c>
      <c r="F752" s="32">
        <v>23.0</v>
      </c>
      <c r="G752" s="32">
        <v>40.0</v>
      </c>
      <c r="H752" s="32">
        <v>63.0</v>
      </c>
    </row>
    <row r="753" ht="14.25" customHeight="1">
      <c r="A753" s="27" t="s">
        <v>369</v>
      </c>
      <c r="B753" s="27" t="s">
        <v>185</v>
      </c>
      <c r="C753" s="29" t="s">
        <v>43</v>
      </c>
      <c r="D753" s="29" t="s">
        <v>53</v>
      </c>
      <c r="E753" s="32">
        <v>40.0</v>
      </c>
      <c r="F753" s="32">
        <v>23.0</v>
      </c>
      <c r="G753" s="32">
        <v>40.0</v>
      </c>
      <c r="H753" s="32">
        <v>63.0</v>
      </c>
    </row>
    <row r="754" ht="14.25" customHeight="1">
      <c r="A754" s="27" t="s">
        <v>340</v>
      </c>
      <c r="B754" s="27" t="s">
        <v>341</v>
      </c>
      <c r="C754" s="29" t="s">
        <v>43</v>
      </c>
      <c r="D754" s="29" t="s">
        <v>237</v>
      </c>
      <c r="E754" s="32">
        <v>13.0</v>
      </c>
      <c r="F754" s="32">
        <v>8.0</v>
      </c>
      <c r="G754" s="32">
        <v>13.0</v>
      </c>
      <c r="H754" s="32">
        <v>20.0</v>
      </c>
    </row>
    <row r="755" ht="14.25" customHeight="1">
      <c r="A755" s="27" t="s">
        <v>338</v>
      </c>
      <c r="B755" s="27" t="s">
        <v>339</v>
      </c>
      <c r="C755" s="29" t="s">
        <v>43</v>
      </c>
      <c r="D755" s="29" t="s">
        <v>237</v>
      </c>
      <c r="E755" s="32">
        <v>13.0</v>
      </c>
      <c r="F755" s="32">
        <v>8.0</v>
      </c>
      <c r="G755" s="32">
        <v>13.0</v>
      </c>
      <c r="H755" s="32">
        <v>20.0</v>
      </c>
    </row>
    <row r="756" ht="14.25" customHeight="1">
      <c r="A756" s="27" t="s">
        <v>336</v>
      </c>
      <c r="B756" s="27" t="s">
        <v>337</v>
      </c>
      <c r="C756" s="29" t="s">
        <v>43</v>
      </c>
      <c r="D756" s="29" t="s">
        <v>53</v>
      </c>
      <c r="E756" s="32">
        <v>40.0</v>
      </c>
      <c r="F756" s="32">
        <v>23.0</v>
      </c>
      <c r="G756" s="32">
        <v>40.0</v>
      </c>
      <c r="H756" s="32">
        <v>63.0</v>
      </c>
    </row>
    <row r="757" ht="14.25" customHeight="1">
      <c r="A757" s="27" t="s">
        <v>334</v>
      </c>
      <c r="B757" s="27" t="s">
        <v>335</v>
      </c>
      <c r="C757" s="29" t="s">
        <v>43</v>
      </c>
      <c r="D757" s="29" t="s">
        <v>53</v>
      </c>
      <c r="E757" s="32">
        <v>40.0</v>
      </c>
      <c r="F757" s="32">
        <v>23.0</v>
      </c>
      <c r="G757" s="32">
        <v>40.0</v>
      </c>
      <c r="H757" s="32">
        <v>63.0</v>
      </c>
    </row>
    <row r="758" ht="14.25" customHeight="1">
      <c r="A758" s="27" t="s">
        <v>94</v>
      </c>
      <c r="B758" s="27" t="s">
        <v>333</v>
      </c>
      <c r="C758" s="29" t="s">
        <v>43</v>
      </c>
      <c r="D758" s="29" t="s">
        <v>53</v>
      </c>
      <c r="E758" s="32">
        <v>40.0</v>
      </c>
      <c r="F758" s="32">
        <v>23.0</v>
      </c>
      <c r="G758" s="32">
        <v>40.0</v>
      </c>
      <c r="H758" s="32">
        <v>63.0</v>
      </c>
    </row>
    <row r="759" ht="14.25" customHeight="1">
      <c r="A759" s="27" t="s">
        <v>324</v>
      </c>
      <c r="B759" s="27" t="s">
        <v>330</v>
      </c>
      <c r="C759" s="29" t="s">
        <v>43</v>
      </c>
      <c r="D759" s="29" t="s">
        <v>53</v>
      </c>
      <c r="E759" s="32">
        <v>40.0</v>
      </c>
      <c r="F759" s="32">
        <v>23.0</v>
      </c>
      <c r="G759" s="32">
        <v>40.0</v>
      </c>
      <c r="H759" s="32">
        <v>63.0</v>
      </c>
    </row>
    <row r="760" ht="14.25" customHeight="1">
      <c r="A760" s="27" t="s">
        <v>324</v>
      </c>
      <c r="B760" s="27" t="s">
        <v>332</v>
      </c>
      <c r="C760" s="29" t="s">
        <v>43</v>
      </c>
      <c r="D760" s="29" t="s">
        <v>53</v>
      </c>
      <c r="E760" s="32">
        <v>40.0</v>
      </c>
      <c r="F760" s="32">
        <v>23.0</v>
      </c>
      <c r="G760" s="32">
        <v>40.0</v>
      </c>
      <c r="H760" s="32">
        <v>63.0</v>
      </c>
    </row>
    <row r="761" ht="14.25" customHeight="1">
      <c r="A761" s="27" t="s">
        <v>308</v>
      </c>
      <c r="B761" s="27" t="s">
        <v>53</v>
      </c>
      <c r="C761" s="29" t="s">
        <v>43</v>
      </c>
      <c r="D761" s="29" t="s">
        <v>53</v>
      </c>
      <c r="E761" s="32">
        <v>40.0</v>
      </c>
      <c r="F761" s="32">
        <v>23.0</v>
      </c>
      <c r="G761" s="32">
        <v>40.0</v>
      </c>
      <c r="H761" s="32">
        <v>63.0</v>
      </c>
    </row>
    <row r="762" ht="14.25" customHeight="1">
      <c r="A762" s="27" t="s">
        <v>308</v>
      </c>
      <c r="B762" s="27" t="s">
        <v>53</v>
      </c>
      <c r="C762" s="29" t="s">
        <v>43</v>
      </c>
      <c r="D762" s="29" t="s">
        <v>53</v>
      </c>
      <c r="E762" s="32">
        <v>40.0</v>
      </c>
      <c r="F762" s="32">
        <v>23.0</v>
      </c>
      <c r="G762" s="32">
        <v>40.0</v>
      </c>
      <c r="H762" s="32">
        <v>63.0</v>
      </c>
    </row>
    <row r="763" ht="14.25" customHeight="1">
      <c r="A763" s="13" t="s">
        <v>308</v>
      </c>
      <c r="B763" s="13" t="s">
        <v>795</v>
      </c>
      <c r="C763" s="127" t="s">
        <v>43</v>
      </c>
      <c r="D763" s="29" t="s">
        <v>53</v>
      </c>
      <c r="E763" s="32">
        <v>40.0</v>
      </c>
      <c r="F763" s="32">
        <v>23.0</v>
      </c>
      <c r="G763" s="32">
        <v>40.0</v>
      </c>
      <c r="H763" s="32">
        <v>63.0</v>
      </c>
    </row>
    <row r="764" ht="14.25" customHeight="1">
      <c r="A764" s="13" t="s">
        <v>308</v>
      </c>
      <c r="B764" s="13" t="s">
        <v>94</v>
      </c>
      <c r="C764" s="127" t="s">
        <v>43</v>
      </c>
      <c r="D764" s="29" t="s">
        <v>53</v>
      </c>
      <c r="E764" s="32">
        <v>40.0</v>
      </c>
      <c r="F764" s="32">
        <v>23.0</v>
      </c>
      <c r="G764" s="32">
        <v>40.0</v>
      </c>
      <c r="H764" s="32">
        <v>63.0</v>
      </c>
    </row>
    <row r="765" ht="14.25" customHeight="1">
      <c r="A765" s="13" t="s">
        <v>308</v>
      </c>
      <c r="B765" s="13" t="s">
        <v>97</v>
      </c>
      <c r="C765" s="127" t="s">
        <v>43</v>
      </c>
      <c r="D765" s="29" t="s">
        <v>237</v>
      </c>
      <c r="E765" s="32">
        <v>13.0</v>
      </c>
      <c r="F765" s="32">
        <v>8.0</v>
      </c>
      <c r="G765" s="32">
        <v>13.0</v>
      </c>
      <c r="H765" s="32">
        <v>20.0</v>
      </c>
    </row>
    <row r="766" ht="14.25" customHeight="1">
      <c r="A766" s="13" t="s">
        <v>308</v>
      </c>
      <c r="B766" s="126" t="s">
        <v>794</v>
      </c>
      <c r="C766" s="127" t="s">
        <v>43</v>
      </c>
      <c r="D766" s="29" t="s">
        <v>53</v>
      </c>
      <c r="E766" s="32">
        <v>40.0</v>
      </c>
      <c r="F766" s="32">
        <v>23.0</v>
      </c>
      <c r="G766" s="32">
        <v>40.0</v>
      </c>
      <c r="H766" s="32">
        <v>63.0</v>
      </c>
    </row>
    <row r="767" ht="14.25" customHeight="1">
      <c r="A767" s="13" t="s">
        <v>308</v>
      </c>
      <c r="B767" s="126" t="s">
        <v>796</v>
      </c>
      <c r="C767" s="29" t="s">
        <v>43</v>
      </c>
      <c r="D767" s="29" t="s">
        <v>53</v>
      </c>
      <c r="E767" s="32">
        <v>40.0</v>
      </c>
      <c r="F767" s="32">
        <v>23.0</v>
      </c>
      <c r="G767" s="32">
        <v>40.0</v>
      </c>
      <c r="H767" s="32">
        <v>63.0</v>
      </c>
    </row>
    <row r="768" ht="14.25" customHeight="1">
      <c r="A768" s="13" t="s">
        <v>308</v>
      </c>
      <c r="B768" s="126" t="s">
        <v>104</v>
      </c>
      <c r="C768" s="29" t="s">
        <v>43</v>
      </c>
      <c r="D768" s="29" t="s">
        <v>228</v>
      </c>
      <c r="E768" s="32">
        <v>50.0</v>
      </c>
      <c r="F768" s="32">
        <v>33.0</v>
      </c>
      <c r="G768" s="32">
        <v>50.0</v>
      </c>
      <c r="H768" s="32">
        <v>73.0</v>
      </c>
    </row>
    <row r="769" ht="14.25" customHeight="1">
      <c r="A769" s="13" t="s">
        <v>308</v>
      </c>
      <c r="B769" s="126" t="s">
        <v>104</v>
      </c>
      <c r="C769" s="29" t="s">
        <v>43</v>
      </c>
      <c r="D769" s="29" t="s">
        <v>228</v>
      </c>
      <c r="E769" s="32">
        <v>50.0</v>
      </c>
      <c r="F769" s="32">
        <v>33.0</v>
      </c>
      <c r="G769" s="32">
        <v>50.0</v>
      </c>
      <c r="H769" s="32">
        <v>73.0</v>
      </c>
    </row>
    <row r="770" ht="14.25" customHeight="1">
      <c r="A770" s="13" t="s">
        <v>308</v>
      </c>
      <c r="B770" s="126" t="s">
        <v>100</v>
      </c>
      <c r="C770" s="127" t="s">
        <v>43</v>
      </c>
      <c r="D770" s="29" t="s">
        <v>53</v>
      </c>
      <c r="E770" s="32">
        <v>40.0</v>
      </c>
      <c r="F770" s="32">
        <v>23.0</v>
      </c>
      <c r="G770" s="32">
        <v>40.0</v>
      </c>
      <c r="H770" s="32">
        <v>63.0</v>
      </c>
    </row>
    <row r="771" ht="14.25" customHeight="1">
      <c r="A771" s="13" t="s">
        <v>308</v>
      </c>
      <c r="B771" s="126" t="s">
        <v>797</v>
      </c>
      <c r="C771" s="29" t="s">
        <v>43</v>
      </c>
      <c r="D771" s="29" t="s">
        <v>228</v>
      </c>
      <c r="E771" s="32">
        <v>50.0</v>
      </c>
      <c r="F771" s="32">
        <v>33.0</v>
      </c>
      <c r="G771" s="32">
        <v>50.0</v>
      </c>
      <c r="H771" s="32">
        <v>73.0</v>
      </c>
    </row>
    <row r="772" ht="14.25" customHeight="1">
      <c r="A772" s="13" t="s">
        <v>308</v>
      </c>
      <c r="B772" s="126" t="s">
        <v>798</v>
      </c>
      <c r="C772" s="127" t="s">
        <v>43</v>
      </c>
      <c r="D772" s="29" t="s">
        <v>53</v>
      </c>
      <c r="E772" s="32">
        <v>40.0</v>
      </c>
      <c r="F772" s="32">
        <v>23.0</v>
      </c>
      <c r="G772" s="32">
        <v>40.0</v>
      </c>
      <c r="H772" s="32">
        <v>63.0</v>
      </c>
    </row>
    <row r="773" ht="14.25" customHeight="1">
      <c r="A773" s="13" t="s">
        <v>308</v>
      </c>
      <c r="B773" s="126" t="s">
        <v>87</v>
      </c>
      <c r="C773" s="127" t="s">
        <v>43</v>
      </c>
      <c r="D773" s="29" t="s">
        <v>53</v>
      </c>
      <c r="E773" s="32">
        <v>40.0</v>
      </c>
      <c r="F773" s="32">
        <v>23.0</v>
      </c>
      <c r="G773" s="32">
        <v>40.0</v>
      </c>
      <c r="H773" s="32">
        <v>63.0</v>
      </c>
    </row>
    <row r="774" ht="14.25" customHeight="1">
      <c r="A774" s="13" t="s">
        <v>308</v>
      </c>
      <c r="B774" s="126" t="s">
        <v>94</v>
      </c>
      <c r="C774" s="127" t="s">
        <v>43</v>
      </c>
      <c r="D774" s="29" t="s">
        <v>53</v>
      </c>
      <c r="E774" s="32">
        <v>40.0</v>
      </c>
      <c r="F774" s="32">
        <v>23.0</v>
      </c>
      <c r="G774" s="32">
        <v>40.0</v>
      </c>
      <c r="H774" s="32">
        <v>63.0</v>
      </c>
    </row>
    <row r="775" ht="14.25" customHeight="1">
      <c r="A775" s="13" t="s">
        <v>308</v>
      </c>
      <c r="B775" s="126" t="s">
        <v>795</v>
      </c>
      <c r="C775" s="127" t="s">
        <v>43</v>
      </c>
      <c r="D775" s="29" t="s">
        <v>53</v>
      </c>
      <c r="E775" s="32">
        <v>40.0</v>
      </c>
      <c r="F775" s="32">
        <v>23.0</v>
      </c>
      <c r="G775" s="32">
        <v>40.0</v>
      </c>
      <c r="H775" s="32">
        <v>63.0</v>
      </c>
    </row>
    <row r="776" ht="14.25" customHeight="1">
      <c r="A776" s="13" t="s">
        <v>308</v>
      </c>
      <c r="B776" s="126" t="s">
        <v>795</v>
      </c>
      <c r="C776" s="127" t="s">
        <v>43</v>
      </c>
      <c r="D776" s="29" t="s">
        <v>53</v>
      </c>
      <c r="E776" s="32">
        <v>40.0</v>
      </c>
      <c r="F776" s="32">
        <v>23.0</v>
      </c>
      <c r="G776" s="32">
        <v>40.0</v>
      </c>
      <c r="H776" s="32">
        <v>63.0</v>
      </c>
    </row>
    <row r="777" ht="14.25" customHeight="1">
      <c r="A777" s="13" t="s">
        <v>308</v>
      </c>
      <c r="B777" s="126" t="s">
        <v>97</v>
      </c>
      <c r="C777" s="127" t="s">
        <v>43</v>
      </c>
      <c r="D777" s="29" t="s">
        <v>237</v>
      </c>
      <c r="E777" s="32">
        <v>13.0</v>
      </c>
      <c r="F777" s="32">
        <v>8.0</v>
      </c>
      <c r="G777" s="32">
        <v>13.0</v>
      </c>
      <c r="H777" s="32">
        <v>20.0</v>
      </c>
    </row>
    <row r="778" ht="14.25" customHeight="1">
      <c r="A778" s="129" t="s">
        <v>226</v>
      </c>
      <c r="B778" s="129" t="s">
        <v>68</v>
      </c>
      <c r="C778" s="7" t="s">
        <v>43</v>
      </c>
      <c r="D778" s="29" t="s">
        <v>53</v>
      </c>
      <c r="E778" s="32">
        <v>40.0</v>
      </c>
      <c r="F778" s="32">
        <v>23.0</v>
      </c>
      <c r="G778" s="32">
        <v>40.0</v>
      </c>
      <c r="H778" s="32">
        <v>63.0</v>
      </c>
    </row>
    <row r="779" ht="14.25" customHeight="1">
      <c r="A779" s="129" t="s">
        <v>224</v>
      </c>
      <c r="B779" s="129" t="s">
        <v>57</v>
      </c>
      <c r="C779" s="7" t="s">
        <v>43</v>
      </c>
      <c r="D779" s="29" t="s">
        <v>53</v>
      </c>
      <c r="E779" s="32">
        <v>40.0</v>
      </c>
      <c r="F779" s="32">
        <v>23.0</v>
      </c>
      <c r="G779" s="32">
        <v>40.0</v>
      </c>
      <c r="H779" s="32">
        <v>63.0</v>
      </c>
    </row>
    <row r="780" ht="14.25" customHeight="1">
      <c r="A780" s="129" t="s">
        <v>222</v>
      </c>
      <c r="B780" s="129" t="s">
        <v>68</v>
      </c>
      <c r="C780" s="7" t="s">
        <v>43</v>
      </c>
      <c r="D780" s="29" t="s">
        <v>53</v>
      </c>
      <c r="E780" s="32">
        <v>40.0</v>
      </c>
      <c r="F780" s="32">
        <v>23.0</v>
      </c>
      <c r="G780" s="32">
        <v>40.0</v>
      </c>
      <c r="H780" s="32">
        <v>63.0</v>
      </c>
    </row>
    <row r="781" ht="14.25" customHeight="1">
      <c r="A781" s="129" t="s">
        <v>220</v>
      </c>
      <c r="B781" s="129" t="s">
        <v>68</v>
      </c>
      <c r="C781" s="7" t="s">
        <v>43</v>
      </c>
      <c r="D781" s="29" t="s">
        <v>53</v>
      </c>
      <c r="E781" s="32">
        <v>40.0</v>
      </c>
      <c r="F781" s="32">
        <v>23.0</v>
      </c>
      <c r="G781" s="32">
        <v>40.0</v>
      </c>
      <c r="H781" s="32">
        <v>63.0</v>
      </c>
    </row>
    <row r="782" ht="14.25" customHeight="1">
      <c r="A782" s="129" t="s">
        <v>173</v>
      </c>
      <c r="B782" s="129" t="s">
        <v>174</v>
      </c>
      <c r="C782" s="7" t="s">
        <v>43</v>
      </c>
      <c r="D782" s="29" t="s">
        <v>53</v>
      </c>
      <c r="E782" s="32">
        <v>40.0</v>
      </c>
      <c r="F782" s="32">
        <v>23.0</v>
      </c>
      <c r="G782" s="32">
        <v>40.0</v>
      </c>
      <c r="H782" s="32">
        <v>63.0</v>
      </c>
    </row>
    <row r="783" ht="14.25" customHeight="1">
      <c r="A783" s="129" t="s">
        <v>706</v>
      </c>
      <c r="B783" s="129" t="s">
        <v>707</v>
      </c>
      <c r="C783" s="7" t="s">
        <v>43</v>
      </c>
      <c r="D783" s="29" t="s">
        <v>53</v>
      </c>
      <c r="E783" s="32">
        <v>40.0</v>
      </c>
      <c r="F783" s="32">
        <v>23.0</v>
      </c>
      <c r="G783" s="32">
        <v>40.0</v>
      </c>
      <c r="H783" s="32">
        <v>63.0</v>
      </c>
    </row>
    <row r="784" ht="14.25" customHeight="1">
      <c r="A784" s="129" t="s">
        <v>67</v>
      </c>
      <c r="B784" s="129" t="s">
        <v>68</v>
      </c>
      <c r="C784" s="7" t="s">
        <v>43</v>
      </c>
      <c r="D784" s="29" t="s">
        <v>53</v>
      </c>
      <c r="E784" s="32">
        <v>40.0</v>
      </c>
      <c r="F784" s="32">
        <v>23.0</v>
      </c>
      <c r="G784" s="32">
        <v>40.0</v>
      </c>
      <c r="H784" s="32">
        <v>63.0</v>
      </c>
    </row>
    <row r="785" ht="14.25" customHeight="1">
      <c r="A785" s="129" t="s">
        <v>64</v>
      </c>
      <c r="B785" s="129" t="s">
        <v>57</v>
      </c>
      <c r="C785" s="7" t="s">
        <v>43</v>
      </c>
      <c r="D785" s="29" t="s">
        <v>53</v>
      </c>
      <c r="E785" s="32">
        <v>40.0</v>
      </c>
      <c r="F785" s="32">
        <v>23.0</v>
      </c>
      <c r="G785" s="32">
        <v>40.0</v>
      </c>
      <c r="H785" s="32">
        <v>63.0</v>
      </c>
    </row>
    <row r="786" ht="14.25" customHeight="1">
      <c r="A786" s="129" t="s">
        <v>61</v>
      </c>
      <c r="B786" s="129" t="s">
        <v>57</v>
      </c>
      <c r="C786" s="7" t="s">
        <v>43</v>
      </c>
      <c r="D786" s="29" t="s">
        <v>53</v>
      </c>
      <c r="E786" s="32">
        <v>40.0</v>
      </c>
      <c r="F786" s="32">
        <v>23.0</v>
      </c>
      <c r="G786" s="32">
        <v>40.0</v>
      </c>
      <c r="H786" s="32">
        <v>63.0</v>
      </c>
    </row>
    <row r="787" ht="14.25" customHeight="1">
      <c r="A787" s="129" t="s">
        <v>56</v>
      </c>
      <c r="B787" s="129" t="s">
        <v>57</v>
      </c>
      <c r="C787" s="7" t="s">
        <v>43</v>
      </c>
      <c r="D787" s="29" t="s">
        <v>53</v>
      </c>
      <c r="E787" s="32">
        <v>40.0</v>
      </c>
      <c r="F787" s="32">
        <v>23.0</v>
      </c>
      <c r="G787" s="32">
        <v>40.0</v>
      </c>
      <c r="H787" s="32">
        <v>63.0</v>
      </c>
    </row>
    <row r="788" ht="14.25" customHeight="1">
      <c r="A788" s="129" t="s">
        <v>51</v>
      </c>
      <c r="B788" s="129" t="s">
        <v>53</v>
      </c>
      <c r="C788" s="7" t="s">
        <v>43</v>
      </c>
      <c r="D788" s="29" t="s">
        <v>237</v>
      </c>
      <c r="E788" s="32">
        <v>13.0</v>
      </c>
      <c r="F788" s="32">
        <v>8.0</v>
      </c>
      <c r="G788" s="32">
        <v>13.0</v>
      </c>
      <c r="H788" s="32">
        <v>20.0</v>
      </c>
    </row>
    <row r="789" ht="14.25" customHeight="1">
      <c r="A789" s="129" t="s">
        <v>51</v>
      </c>
      <c r="B789" s="129" t="s">
        <v>55</v>
      </c>
      <c r="C789" s="7" t="s">
        <v>43</v>
      </c>
      <c r="D789" s="29" t="s">
        <v>237</v>
      </c>
      <c r="E789" s="32">
        <v>13.0</v>
      </c>
      <c r="F789" s="32">
        <v>8.0</v>
      </c>
      <c r="G789" s="32">
        <v>13.0</v>
      </c>
      <c r="H789" s="32">
        <v>20.0</v>
      </c>
    </row>
    <row r="790" ht="14.25" customHeight="1">
      <c r="A790" s="110" t="s">
        <v>51</v>
      </c>
      <c r="B790" s="110" t="s">
        <v>78</v>
      </c>
      <c r="C790" s="99" t="s">
        <v>43</v>
      </c>
      <c r="D790" s="29" t="s">
        <v>53</v>
      </c>
      <c r="E790" s="32">
        <v>40.0</v>
      </c>
      <c r="F790" s="32">
        <v>23.0</v>
      </c>
      <c r="G790" s="32">
        <v>40.0</v>
      </c>
      <c r="H790" s="32">
        <v>63.0</v>
      </c>
    </row>
    <row r="791" ht="14.25" customHeight="1">
      <c r="A791" s="110" t="s">
        <v>51</v>
      </c>
      <c r="B791" s="124" t="s">
        <v>87</v>
      </c>
      <c r="C791" s="99" t="s">
        <v>43</v>
      </c>
      <c r="D791" s="29" t="s">
        <v>53</v>
      </c>
      <c r="E791" s="32">
        <v>40.0</v>
      </c>
      <c r="F791" s="32">
        <v>23.0</v>
      </c>
      <c r="G791" s="32">
        <v>40.0</v>
      </c>
      <c r="H791" s="32">
        <v>63.0</v>
      </c>
    </row>
    <row r="792" ht="14.25" customHeight="1">
      <c r="A792" s="110" t="s">
        <v>51</v>
      </c>
      <c r="B792" s="124" t="s">
        <v>87</v>
      </c>
      <c r="C792" s="99" t="s">
        <v>43</v>
      </c>
      <c r="D792" s="29" t="s">
        <v>53</v>
      </c>
      <c r="E792" s="32">
        <v>40.0</v>
      </c>
      <c r="F792" s="32">
        <v>23.0</v>
      </c>
      <c r="G792" s="32">
        <v>40.0</v>
      </c>
      <c r="H792" s="32">
        <v>63.0</v>
      </c>
    </row>
    <row r="793" ht="14.25" customHeight="1">
      <c r="A793" s="110" t="s">
        <v>51</v>
      </c>
      <c r="B793" s="124" t="s">
        <v>90</v>
      </c>
      <c r="C793" s="99" t="s">
        <v>43</v>
      </c>
      <c r="D793" s="29" t="s">
        <v>53</v>
      </c>
      <c r="E793" s="32">
        <v>40.0</v>
      </c>
      <c r="F793" s="32">
        <v>23.0</v>
      </c>
      <c r="G793" s="32">
        <v>40.0</v>
      </c>
      <c r="H793" s="32">
        <v>63.0</v>
      </c>
    </row>
    <row r="794" ht="14.25" customHeight="1">
      <c r="A794" s="110" t="s">
        <v>51</v>
      </c>
      <c r="B794" s="124" t="s">
        <v>78</v>
      </c>
      <c r="C794" s="99" t="s">
        <v>43</v>
      </c>
      <c r="D794" s="29" t="s">
        <v>53</v>
      </c>
      <c r="E794" s="32">
        <v>40.0</v>
      </c>
      <c r="F794" s="32">
        <v>23.0</v>
      </c>
      <c r="G794" s="32">
        <v>40.0</v>
      </c>
      <c r="H794" s="32">
        <v>63.0</v>
      </c>
    </row>
    <row r="795" ht="14.25" customHeight="1">
      <c r="A795" s="129" t="s">
        <v>704</v>
      </c>
      <c r="B795" s="129" t="s">
        <v>705</v>
      </c>
      <c r="C795" s="7" t="s">
        <v>43</v>
      </c>
      <c r="D795" s="29" t="s">
        <v>237</v>
      </c>
      <c r="E795" s="32">
        <v>13.0</v>
      </c>
      <c r="F795" s="32">
        <v>8.0</v>
      </c>
      <c r="G795" s="32">
        <v>13.0</v>
      </c>
      <c r="H795" s="32">
        <v>20.0</v>
      </c>
    </row>
    <row r="796" ht="14.25" customHeight="1">
      <c r="A796" s="110" t="s">
        <v>377</v>
      </c>
      <c r="B796" s="110" t="s">
        <v>94</v>
      </c>
      <c r="C796" s="7" t="s">
        <v>43</v>
      </c>
      <c r="D796" s="99" t="s">
        <v>53</v>
      </c>
      <c r="E796" s="32">
        <v>40.0</v>
      </c>
      <c r="F796" s="32">
        <v>23.0</v>
      </c>
      <c r="G796" s="32">
        <v>40.0</v>
      </c>
      <c r="H796" s="32">
        <v>63.0</v>
      </c>
    </row>
    <row r="797" ht="14.25" customHeight="1">
      <c r="A797" s="110" t="s">
        <v>51</v>
      </c>
      <c r="B797" s="110" t="s">
        <v>90</v>
      </c>
      <c r="C797" s="7" t="s">
        <v>43</v>
      </c>
      <c r="D797" s="99" t="s">
        <v>53</v>
      </c>
      <c r="E797" s="32">
        <v>40.0</v>
      </c>
      <c r="F797" s="32">
        <v>23.0</v>
      </c>
      <c r="G797" s="32">
        <v>40.0</v>
      </c>
      <c r="H797" s="32">
        <v>63.0</v>
      </c>
    </row>
    <row r="798" ht="14.25" customHeight="1">
      <c r="A798" s="110" t="s">
        <v>51</v>
      </c>
      <c r="B798" s="110" t="s">
        <v>87</v>
      </c>
      <c r="C798" s="7" t="s">
        <v>43</v>
      </c>
      <c r="D798" s="99" t="s">
        <v>53</v>
      </c>
      <c r="E798" s="32">
        <v>40.0</v>
      </c>
      <c r="F798" s="32">
        <v>23.0</v>
      </c>
      <c r="G798" s="32">
        <v>40.0</v>
      </c>
      <c r="H798" s="32">
        <v>63.0</v>
      </c>
    </row>
    <row r="799" ht="14.25" customHeight="1">
      <c r="A799" s="110" t="s">
        <v>308</v>
      </c>
      <c r="B799" s="110" t="s">
        <v>100</v>
      </c>
      <c r="C799" s="7" t="s">
        <v>43</v>
      </c>
      <c r="D799" s="99" t="s">
        <v>53</v>
      </c>
      <c r="E799" s="32">
        <v>40.0</v>
      </c>
      <c r="F799" s="32">
        <v>23.0</v>
      </c>
      <c r="G799" s="32">
        <v>40.0</v>
      </c>
      <c r="H799" s="32">
        <v>63.0</v>
      </c>
    </row>
    <row r="800" ht="14.25" customHeight="1">
      <c r="A800" s="110" t="s">
        <v>308</v>
      </c>
      <c r="B800" s="110" t="s">
        <v>798</v>
      </c>
      <c r="C800" s="7" t="s">
        <v>43</v>
      </c>
      <c r="D800" s="99" t="s">
        <v>53</v>
      </c>
      <c r="E800" s="32">
        <v>40.0</v>
      </c>
      <c r="F800" s="32">
        <v>23.0</v>
      </c>
      <c r="G800" s="32">
        <v>40.0</v>
      </c>
      <c r="H800" s="32">
        <v>63.0</v>
      </c>
    </row>
    <row r="801" ht="14.25" customHeight="1">
      <c r="A801" s="110" t="s">
        <v>51</v>
      </c>
      <c r="B801" s="110" t="s">
        <v>97</v>
      </c>
      <c r="C801" s="7" t="s">
        <v>43</v>
      </c>
      <c r="D801" s="99" t="s">
        <v>237</v>
      </c>
      <c r="E801" s="32">
        <v>13.0</v>
      </c>
      <c r="F801" s="32">
        <v>8.0</v>
      </c>
      <c r="G801" s="32">
        <v>13.0</v>
      </c>
      <c r="H801" s="32">
        <v>20.0</v>
      </c>
    </row>
    <row r="802" ht="14.25" customHeight="1">
      <c r="A802" s="110" t="s">
        <v>308</v>
      </c>
      <c r="B802" s="110" t="s">
        <v>795</v>
      </c>
      <c r="C802" s="7" t="s">
        <v>43</v>
      </c>
      <c r="D802" s="99" t="s">
        <v>228</v>
      </c>
      <c r="E802" s="32">
        <v>50.0</v>
      </c>
      <c r="F802" s="32">
        <v>33.0</v>
      </c>
      <c r="G802" s="32">
        <v>50.0</v>
      </c>
      <c r="H802" s="32">
        <v>73.0</v>
      </c>
    </row>
    <row r="803" ht="14.25" customHeight="1">
      <c r="A803" s="110" t="s">
        <v>308</v>
      </c>
      <c r="B803" s="110" t="s">
        <v>78</v>
      </c>
      <c r="C803" s="7" t="s">
        <v>43</v>
      </c>
      <c r="D803" s="99" t="s">
        <v>237</v>
      </c>
      <c r="E803" s="32">
        <v>13.0</v>
      </c>
      <c r="F803" s="32">
        <v>8.0</v>
      </c>
      <c r="G803" s="32">
        <v>13.0</v>
      </c>
      <c r="H803" s="32">
        <v>20.0</v>
      </c>
    </row>
    <row r="804" ht="14.25" customHeight="1">
      <c r="A804" s="110" t="s">
        <v>308</v>
      </c>
      <c r="B804" s="110" t="s">
        <v>796</v>
      </c>
      <c r="C804" s="7" t="s">
        <v>43</v>
      </c>
      <c r="D804" s="29" t="s">
        <v>53</v>
      </c>
      <c r="E804" s="32">
        <v>40.0</v>
      </c>
      <c r="F804" s="32">
        <v>23.0</v>
      </c>
      <c r="G804" s="32">
        <v>40.0</v>
      </c>
      <c r="H804" s="32">
        <v>63.0</v>
      </c>
    </row>
    <row r="805" ht="14.25" customHeight="1">
      <c r="A805" s="110" t="s">
        <v>308</v>
      </c>
      <c r="B805" s="110" t="s">
        <v>104</v>
      </c>
      <c r="C805" s="29" t="s">
        <v>43</v>
      </c>
      <c r="D805" s="29" t="s">
        <v>228</v>
      </c>
      <c r="E805" s="32">
        <v>50.0</v>
      </c>
      <c r="F805" s="32">
        <v>33.0</v>
      </c>
      <c r="G805" s="32">
        <v>50.0</v>
      </c>
      <c r="H805" s="32">
        <v>73.0</v>
      </c>
    </row>
    <row r="806" ht="14.25" customHeight="1">
      <c r="A806" s="110" t="s">
        <v>308</v>
      </c>
      <c r="B806" s="110" t="s">
        <v>797</v>
      </c>
      <c r="C806" s="7" t="s">
        <v>43</v>
      </c>
      <c r="D806" s="99" t="s">
        <v>237</v>
      </c>
      <c r="E806" s="32">
        <v>13.0</v>
      </c>
      <c r="F806" s="32">
        <v>8.0</v>
      </c>
      <c r="G806" s="32">
        <v>13.0</v>
      </c>
      <c r="H806" s="32">
        <v>20.0</v>
      </c>
    </row>
    <row r="807" ht="14.25" customHeight="1">
      <c r="A807" s="13" t="s">
        <v>308</v>
      </c>
      <c r="B807" s="126" t="s">
        <v>245</v>
      </c>
      <c r="C807" s="29" t="s">
        <v>43</v>
      </c>
      <c r="D807" s="29" t="s">
        <v>230</v>
      </c>
      <c r="E807" s="32">
        <v>45.0</v>
      </c>
      <c r="F807" s="32">
        <v>28.0</v>
      </c>
      <c r="G807" s="32">
        <v>45.0</v>
      </c>
      <c r="H807" s="32">
        <v>68.0</v>
      </c>
    </row>
    <row r="808" ht="14.25" customHeight="1">
      <c r="A808" s="13" t="s">
        <v>308</v>
      </c>
      <c r="B808" s="126" t="s">
        <v>245</v>
      </c>
      <c r="C808" s="29" t="s">
        <v>43</v>
      </c>
      <c r="D808" s="29" t="s">
        <v>230</v>
      </c>
      <c r="E808" s="32">
        <v>45.0</v>
      </c>
      <c r="F808" s="32">
        <v>28.0</v>
      </c>
      <c r="G808" s="32">
        <v>45.0</v>
      </c>
      <c r="H808" s="32">
        <v>68.0</v>
      </c>
    </row>
    <row r="809" ht="14.25" customHeight="1">
      <c r="A809" s="110" t="s">
        <v>308</v>
      </c>
      <c r="B809" s="110" t="s">
        <v>245</v>
      </c>
      <c r="C809" s="7" t="s">
        <v>43</v>
      </c>
      <c r="D809" s="99" t="s">
        <v>230</v>
      </c>
      <c r="E809" s="32">
        <v>45.0</v>
      </c>
      <c r="F809" s="32">
        <v>28.0</v>
      </c>
      <c r="G809" s="32">
        <v>45.0</v>
      </c>
      <c r="H809" s="32">
        <v>68.0</v>
      </c>
    </row>
    <row r="810" ht="14.25" customHeight="1">
      <c r="A810" s="13" t="s">
        <v>80</v>
      </c>
      <c r="B810" s="126" t="s">
        <v>799</v>
      </c>
      <c r="C810" s="29" t="s">
        <v>43</v>
      </c>
      <c r="D810" s="29" t="s">
        <v>800</v>
      </c>
      <c r="E810" s="32">
        <v>28.0</v>
      </c>
      <c r="F810" s="32">
        <v>18.0</v>
      </c>
      <c r="G810" s="32">
        <v>46.0</v>
      </c>
      <c r="H810" s="32">
        <v>76.0</v>
      </c>
    </row>
    <row r="811" ht="14.25" customHeight="1">
      <c r="A811" s="13" t="s">
        <v>801</v>
      </c>
      <c r="B811" s="126" t="s">
        <v>802</v>
      </c>
      <c r="C811" s="29" t="s">
        <v>43</v>
      </c>
      <c r="D811" s="99" t="s">
        <v>234</v>
      </c>
      <c r="E811" s="32">
        <v>75.0</v>
      </c>
      <c r="F811" s="32">
        <v>50.0</v>
      </c>
      <c r="G811" s="32">
        <v>75.0</v>
      </c>
      <c r="H811" s="32">
        <v>110.0</v>
      </c>
    </row>
    <row r="812" ht="14.25" customHeight="1">
      <c r="A812" s="13" t="s">
        <v>308</v>
      </c>
      <c r="B812" s="126" t="s">
        <v>201</v>
      </c>
      <c r="C812" s="29" t="s">
        <v>43</v>
      </c>
      <c r="D812" s="29" t="s">
        <v>234</v>
      </c>
      <c r="E812" s="32">
        <v>75.0</v>
      </c>
      <c r="F812" s="32">
        <v>50.0</v>
      </c>
      <c r="G812" s="32">
        <v>75.0</v>
      </c>
      <c r="H812" s="32">
        <v>110.0</v>
      </c>
    </row>
    <row r="813" ht="14.25" customHeight="1">
      <c r="A813" s="110" t="s">
        <v>51</v>
      </c>
      <c r="B813" s="124" t="s">
        <v>201</v>
      </c>
      <c r="C813" s="29" t="s">
        <v>43</v>
      </c>
      <c r="D813" s="29" t="s">
        <v>234</v>
      </c>
      <c r="E813" s="32">
        <v>75.0</v>
      </c>
      <c r="F813" s="32">
        <v>50.0</v>
      </c>
      <c r="G813" s="32">
        <v>75.0</v>
      </c>
      <c r="H813" s="32">
        <v>110.0</v>
      </c>
    </row>
    <row r="814" ht="14.25" customHeight="1">
      <c r="A814" s="110" t="s">
        <v>51</v>
      </c>
      <c r="B814" s="124" t="s">
        <v>201</v>
      </c>
      <c r="C814" s="29" t="s">
        <v>43</v>
      </c>
      <c r="D814" s="29" t="s">
        <v>234</v>
      </c>
      <c r="E814" s="32">
        <v>75.0</v>
      </c>
      <c r="F814" s="32">
        <v>50.0</v>
      </c>
      <c r="G814" s="32">
        <v>75.0</v>
      </c>
      <c r="H814" s="32">
        <v>110.0</v>
      </c>
    </row>
    <row r="815" ht="14.25" customHeight="1">
      <c r="A815" s="110" t="s">
        <v>51</v>
      </c>
      <c r="B815" s="110" t="s">
        <v>201</v>
      </c>
      <c r="C815" s="7" t="s">
        <v>43</v>
      </c>
      <c r="D815" s="99" t="s">
        <v>234</v>
      </c>
      <c r="E815" s="32">
        <v>75.0</v>
      </c>
      <c r="F815" s="32">
        <v>50.0</v>
      </c>
      <c r="G815" s="32">
        <v>75.0</v>
      </c>
      <c r="H815" s="32">
        <v>110.0</v>
      </c>
    </row>
    <row r="816" ht="14.25" customHeight="1">
      <c r="A816" s="110" t="s">
        <v>801</v>
      </c>
      <c r="B816" s="110" t="s">
        <v>802</v>
      </c>
      <c r="C816" s="7" t="s">
        <v>43</v>
      </c>
      <c r="D816" s="99" t="s">
        <v>234</v>
      </c>
      <c r="E816" s="32">
        <v>75.0</v>
      </c>
      <c r="F816" s="32">
        <v>50.0</v>
      </c>
      <c r="G816" s="32">
        <v>75.0</v>
      </c>
      <c r="H816" s="32">
        <v>110.0</v>
      </c>
    </row>
    <row r="817" ht="14.25" customHeight="1">
      <c r="A817" s="27" t="s">
        <v>654</v>
      </c>
      <c r="B817" s="125" t="s">
        <v>655</v>
      </c>
      <c r="C817" s="29" t="s">
        <v>43</v>
      </c>
      <c r="D817" s="29" t="s">
        <v>252</v>
      </c>
      <c r="E817" s="32">
        <v>13.0</v>
      </c>
      <c r="F817" s="32">
        <v>1.0</v>
      </c>
      <c r="G817" s="32">
        <v>13.0</v>
      </c>
      <c r="H817" s="32">
        <v>1.0</v>
      </c>
    </row>
    <row r="818" ht="14.25" customHeight="1">
      <c r="A818" s="27" t="s">
        <v>654</v>
      </c>
      <c r="B818" s="125" t="s">
        <v>656</v>
      </c>
      <c r="C818" s="29" t="s">
        <v>43</v>
      </c>
      <c r="D818" s="29" t="s">
        <v>252</v>
      </c>
      <c r="E818" s="32">
        <v>13.0</v>
      </c>
      <c r="F818" s="32">
        <v>1.0</v>
      </c>
      <c r="G818" s="32">
        <v>13.0</v>
      </c>
      <c r="H818" s="32">
        <v>1.0</v>
      </c>
    </row>
    <row r="819" ht="14.25" customHeight="1">
      <c r="A819" s="27" t="s">
        <v>654</v>
      </c>
      <c r="B819" s="125" t="s">
        <v>657</v>
      </c>
      <c r="C819" s="29" t="s">
        <v>43</v>
      </c>
      <c r="D819" s="29" t="s">
        <v>252</v>
      </c>
      <c r="E819" s="32">
        <v>13.0</v>
      </c>
      <c r="F819" s="32">
        <v>1.0</v>
      </c>
      <c r="G819" s="32">
        <v>13.0</v>
      </c>
      <c r="H819" s="32">
        <v>1.0</v>
      </c>
    </row>
    <row r="820" ht="14.25" customHeight="1">
      <c r="A820" s="27" t="s">
        <v>654</v>
      </c>
      <c r="B820" s="125" t="s">
        <v>658</v>
      </c>
      <c r="C820" s="29" t="s">
        <v>43</v>
      </c>
      <c r="D820" s="29" t="s">
        <v>252</v>
      </c>
      <c r="E820" s="32">
        <v>13.0</v>
      </c>
      <c r="F820" s="32">
        <v>1.0</v>
      </c>
      <c r="G820" s="32">
        <v>13.0</v>
      </c>
      <c r="H820" s="32">
        <v>1.0</v>
      </c>
    </row>
    <row r="821" ht="14.25" customHeight="1">
      <c r="A821" s="27" t="s">
        <v>654</v>
      </c>
      <c r="B821" s="125" t="s">
        <v>659</v>
      </c>
      <c r="C821" s="29" t="s">
        <v>43</v>
      </c>
      <c r="D821" s="29" t="s">
        <v>252</v>
      </c>
      <c r="E821" s="32">
        <v>13.0</v>
      </c>
      <c r="F821" s="32">
        <v>1.0</v>
      </c>
      <c r="G821" s="32">
        <v>13.0</v>
      </c>
      <c r="H821" s="32">
        <v>1.0</v>
      </c>
    </row>
    <row r="822" ht="14.25" customHeight="1">
      <c r="A822" s="27" t="s">
        <v>654</v>
      </c>
      <c r="B822" s="125" t="s">
        <v>660</v>
      </c>
      <c r="C822" s="29" t="s">
        <v>43</v>
      </c>
      <c r="D822" s="29" t="s">
        <v>252</v>
      </c>
      <c r="E822" s="32">
        <v>13.0</v>
      </c>
      <c r="F822" s="32">
        <v>1.0</v>
      </c>
      <c r="G822" s="32">
        <v>13.0</v>
      </c>
      <c r="H822" s="32">
        <v>1.0</v>
      </c>
    </row>
    <row r="823" ht="14.25" customHeight="1">
      <c r="A823" s="27" t="s">
        <v>654</v>
      </c>
      <c r="B823" s="125" t="s">
        <v>661</v>
      </c>
      <c r="C823" s="29" t="s">
        <v>43</v>
      </c>
      <c r="D823" s="29" t="s">
        <v>252</v>
      </c>
      <c r="E823" s="32">
        <v>13.0</v>
      </c>
      <c r="F823" s="32">
        <v>1.0</v>
      </c>
      <c r="G823" s="32">
        <v>13.0</v>
      </c>
      <c r="H823" s="32">
        <v>1.0</v>
      </c>
    </row>
    <row r="824" ht="14.25" customHeight="1">
      <c r="A824" s="27" t="s">
        <v>654</v>
      </c>
      <c r="B824" s="125" t="s">
        <v>662</v>
      </c>
      <c r="C824" s="29" t="s">
        <v>43</v>
      </c>
      <c r="D824" s="29" t="s">
        <v>252</v>
      </c>
      <c r="E824" s="32">
        <v>13.0</v>
      </c>
      <c r="F824" s="32">
        <v>1.0</v>
      </c>
      <c r="G824" s="32">
        <v>13.0</v>
      </c>
      <c r="H824" s="32">
        <v>1.0</v>
      </c>
    </row>
    <row r="825" ht="14.25" customHeight="1">
      <c r="A825" s="27" t="s">
        <v>654</v>
      </c>
      <c r="B825" s="125" t="s">
        <v>663</v>
      </c>
      <c r="C825" s="29" t="s">
        <v>43</v>
      </c>
      <c r="D825" s="29" t="s">
        <v>252</v>
      </c>
      <c r="E825" s="32">
        <v>13.0</v>
      </c>
      <c r="F825" s="32">
        <v>1.0</v>
      </c>
      <c r="G825" s="32">
        <v>13.0</v>
      </c>
      <c r="H825" s="32">
        <v>1.0</v>
      </c>
    </row>
    <row r="826" ht="14.25" customHeight="1">
      <c r="A826" s="27" t="s">
        <v>654</v>
      </c>
      <c r="B826" s="125" t="s">
        <v>664</v>
      </c>
      <c r="C826" s="29" t="s">
        <v>43</v>
      </c>
      <c r="D826" s="29" t="s">
        <v>252</v>
      </c>
      <c r="E826" s="32">
        <v>13.0</v>
      </c>
      <c r="F826" s="32">
        <v>1.0</v>
      </c>
      <c r="G826" s="32">
        <v>13.0</v>
      </c>
      <c r="H826" s="32">
        <v>1.0</v>
      </c>
    </row>
    <row r="827" ht="14.25" customHeight="1">
      <c r="A827" s="27" t="s">
        <v>406</v>
      </c>
      <c r="B827" s="125" t="s">
        <v>407</v>
      </c>
      <c r="C827" s="29" t="s">
        <v>43</v>
      </c>
      <c r="D827" s="29" t="s">
        <v>252</v>
      </c>
      <c r="E827" s="32">
        <v>13.0</v>
      </c>
      <c r="F827" s="32">
        <v>4.0</v>
      </c>
      <c r="G827" s="32">
        <v>13.0</v>
      </c>
      <c r="H827" s="32">
        <v>6.0</v>
      </c>
    </row>
    <row r="828" ht="14.25" customHeight="1">
      <c r="A828" s="27" t="s">
        <v>406</v>
      </c>
      <c r="B828" s="125" t="s">
        <v>408</v>
      </c>
      <c r="C828" s="29" t="s">
        <v>43</v>
      </c>
      <c r="D828" s="29" t="s">
        <v>252</v>
      </c>
      <c r="E828" s="32">
        <v>13.0</v>
      </c>
      <c r="F828" s="32">
        <v>4.0</v>
      </c>
      <c r="G828" s="32">
        <v>13.0</v>
      </c>
      <c r="H828" s="32">
        <v>6.0</v>
      </c>
    </row>
    <row r="829" ht="14.25" customHeight="1">
      <c r="A829" s="27" t="s">
        <v>406</v>
      </c>
      <c r="B829" s="125" t="s">
        <v>409</v>
      </c>
      <c r="C829" s="29" t="s">
        <v>43</v>
      </c>
      <c r="D829" s="29" t="s">
        <v>252</v>
      </c>
      <c r="E829" s="32">
        <v>13.0</v>
      </c>
      <c r="F829" s="32">
        <v>4.0</v>
      </c>
      <c r="G829" s="32">
        <v>13.0</v>
      </c>
      <c r="H829" s="32">
        <v>6.0</v>
      </c>
    </row>
    <row r="830" ht="14.25" customHeight="1">
      <c r="A830" s="27" t="s">
        <v>406</v>
      </c>
      <c r="B830" s="125" t="s">
        <v>410</v>
      </c>
      <c r="C830" s="29" t="s">
        <v>43</v>
      </c>
      <c r="D830" s="29" t="s">
        <v>252</v>
      </c>
      <c r="E830" s="32">
        <v>13.0</v>
      </c>
      <c r="F830" s="32">
        <v>4.0</v>
      </c>
      <c r="G830" s="32">
        <v>13.0</v>
      </c>
      <c r="H830" s="32">
        <v>6.0</v>
      </c>
    </row>
    <row r="831" ht="14.25" customHeight="1">
      <c r="A831" s="27" t="s">
        <v>406</v>
      </c>
      <c r="B831" s="125" t="s">
        <v>411</v>
      </c>
      <c r="C831" s="29" t="s">
        <v>43</v>
      </c>
      <c r="D831" s="29" t="s">
        <v>252</v>
      </c>
      <c r="E831" s="32">
        <v>13.0</v>
      </c>
      <c r="F831" s="32">
        <v>4.0</v>
      </c>
      <c r="G831" s="32">
        <v>13.0</v>
      </c>
      <c r="H831" s="32">
        <v>6.0</v>
      </c>
    </row>
    <row r="832" ht="14.25" customHeight="1">
      <c r="A832" s="27" t="s">
        <v>406</v>
      </c>
      <c r="B832" s="125" t="s">
        <v>412</v>
      </c>
      <c r="C832" s="29" t="s">
        <v>43</v>
      </c>
      <c r="D832" s="29" t="s">
        <v>252</v>
      </c>
      <c r="E832" s="32">
        <v>13.0</v>
      </c>
      <c r="F832" s="32">
        <v>4.0</v>
      </c>
      <c r="G832" s="32">
        <v>13.0</v>
      </c>
      <c r="H832" s="32">
        <v>6.0</v>
      </c>
    </row>
    <row r="833" ht="14.25" customHeight="1">
      <c r="A833" s="27" t="s">
        <v>654</v>
      </c>
      <c r="B833" s="125" t="s">
        <v>665</v>
      </c>
      <c r="C833" s="29" t="s">
        <v>43</v>
      </c>
      <c r="D833" s="99" t="s">
        <v>252</v>
      </c>
      <c r="E833" s="32">
        <v>13.0</v>
      </c>
      <c r="F833" s="32">
        <v>24.0</v>
      </c>
      <c r="G833" s="32">
        <v>13.0</v>
      </c>
      <c r="H833" s="32">
        <v>36.0</v>
      </c>
    </row>
    <row r="834" ht="14.25" customHeight="1">
      <c r="A834" s="27" t="s">
        <v>654</v>
      </c>
      <c r="B834" s="125" t="s">
        <v>666</v>
      </c>
      <c r="C834" s="29" t="s">
        <v>43</v>
      </c>
      <c r="D834" s="99" t="s">
        <v>252</v>
      </c>
      <c r="E834" s="32">
        <v>13.0</v>
      </c>
      <c r="F834" s="32">
        <v>24.0</v>
      </c>
      <c r="G834" s="32">
        <v>13.0</v>
      </c>
      <c r="H834" s="32">
        <v>36.0</v>
      </c>
    </row>
    <row r="835" ht="14.25" customHeight="1">
      <c r="A835" s="27" t="s">
        <v>562</v>
      </c>
      <c r="B835" s="125" t="s">
        <v>569</v>
      </c>
      <c r="C835" s="29" t="s">
        <v>43</v>
      </c>
      <c r="D835" s="99" t="s">
        <v>252</v>
      </c>
      <c r="E835" s="32">
        <v>13.0</v>
      </c>
      <c r="F835" s="32">
        <v>1.0</v>
      </c>
      <c r="G835" s="32">
        <v>13.0</v>
      </c>
      <c r="H835" s="32">
        <v>1.0</v>
      </c>
    </row>
    <row r="836" ht="14.25" customHeight="1">
      <c r="A836" s="27" t="s">
        <v>654</v>
      </c>
      <c r="B836" s="125" t="s">
        <v>668</v>
      </c>
      <c r="C836" s="29" t="s">
        <v>43</v>
      </c>
      <c r="D836" s="29" t="s">
        <v>252</v>
      </c>
      <c r="E836" s="32">
        <v>13.0</v>
      </c>
      <c r="F836" s="32">
        <v>10.0</v>
      </c>
      <c r="G836" s="32">
        <v>13.0</v>
      </c>
      <c r="H836" s="32">
        <v>16.0</v>
      </c>
    </row>
    <row r="837" ht="14.25" customHeight="1">
      <c r="A837" s="27" t="s">
        <v>608</v>
      </c>
      <c r="B837" s="125" t="s">
        <v>609</v>
      </c>
      <c r="C837" s="29" t="s">
        <v>43</v>
      </c>
      <c r="D837" s="29" t="s">
        <v>252</v>
      </c>
      <c r="E837" s="32">
        <v>35.0</v>
      </c>
      <c r="F837" s="32">
        <v>28.0</v>
      </c>
      <c r="G837" s="32">
        <v>35.0</v>
      </c>
      <c r="H837" s="32">
        <v>42.0</v>
      </c>
    </row>
    <row r="838" ht="14.25" customHeight="1">
      <c r="A838" s="27" t="s">
        <v>504</v>
      </c>
      <c r="B838" s="125" t="s">
        <v>413</v>
      </c>
      <c r="C838" s="29" t="s">
        <v>43</v>
      </c>
      <c r="D838" s="29" t="s">
        <v>252</v>
      </c>
      <c r="E838" s="32">
        <v>12.0</v>
      </c>
      <c r="F838" s="32">
        <v>10.0</v>
      </c>
      <c r="G838" s="32">
        <v>12.0</v>
      </c>
      <c r="H838" s="32">
        <v>14.0</v>
      </c>
    </row>
    <row r="839" ht="14.25" customHeight="1">
      <c r="A839" s="27" t="s">
        <v>433</v>
      </c>
      <c r="B839" s="125" t="s">
        <v>413</v>
      </c>
      <c r="C839" s="29" t="s">
        <v>43</v>
      </c>
      <c r="D839" s="29" t="s">
        <v>252</v>
      </c>
      <c r="E839" s="32">
        <v>12.0</v>
      </c>
      <c r="F839" s="32">
        <v>10.0</v>
      </c>
      <c r="G839" s="32">
        <v>12.0</v>
      </c>
      <c r="H839" s="32">
        <v>14.0</v>
      </c>
    </row>
    <row r="840" ht="14.25" customHeight="1">
      <c r="A840" s="27" t="s">
        <v>424</v>
      </c>
      <c r="B840" s="125" t="s">
        <v>413</v>
      </c>
      <c r="C840" s="29" t="s">
        <v>43</v>
      </c>
      <c r="D840" s="29" t="s">
        <v>252</v>
      </c>
      <c r="E840" s="32">
        <v>12.0</v>
      </c>
      <c r="F840" s="32">
        <v>10.0</v>
      </c>
      <c r="G840" s="32">
        <v>12.0</v>
      </c>
      <c r="H840" s="32">
        <v>14.0</v>
      </c>
    </row>
    <row r="841" ht="14.25" customHeight="1">
      <c r="A841" s="27" t="s">
        <v>406</v>
      </c>
      <c r="B841" s="125" t="s">
        <v>413</v>
      </c>
      <c r="C841" s="29" t="s">
        <v>43</v>
      </c>
      <c r="D841" s="29" t="s">
        <v>252</v>
      </c>
      <c r="E841" s="32">
        <v>12.0</v>
      </c>
      <c r="F841" s="32">
        <v>10.0</v>
      </c>
      <c r="G841" s="32">
        <v>12.0</v>
      </c>
      <c r="H841" s="32">
        <v>14.0</v>
      </c>
    </row>
    <row r="842" ht="14.25" customHeight="1">
      <c r="A842" s="27" t="s">
        <v>654</v>
      </c>
      <c r="B842" s="125" t="s">
        <v>413</v>
      </c>
      <c r="C842" s="29" t="s">
        <v>43</v>
      </c>
      <c r="D842" s="29" t="s">
        <v>252</v>
      </c>
      <c r="E842" s="32">
        <v>12.0</v>
      </c>
      <c r="F842" s="32">
        <v>10.0</v>
      </c>
      <c r="G842" s="32">
        <v>12.0</v>
      </c>
      <c r="H842" s="32">
        <v>14.0</v>
      </c>
    </row>
    <row r="843" ht="14.25" customHeight="1">
      <c r="A843" s="27" t="s">
        <v>324</v>
      </c>
      <c r="B843" s="125" t="s">
        <v>330</v>
      </c>
      <c r="C843" s="29" t="s">
        <v>43</v>
      </c>
      <c r="D843" s="29" t="s">
        <v>252</v>
      </c>
      <c r="E843" s="32">
        <v>39.0</v>
      </c>
      <c r="F843" s="32">
        <v>31.0</v>
      </c>
      <c r="G843" s="32">
        <v>39.0</v>
      </c>
      <c r="H843" s="32">
        <v>47.0</v>
      </c>
    </row>
    <row r="844" ht="14.25" customHeight="1">
      <c r="A844" s="27" t="s">
        <v>654</v>
      </c>
      <c r="B844" s="27" t="s">
        <v>655</v>
      </c>
      <c r="C844" s="29" t="s">
        <v>43</v>
      </c>
      <c r="D844" s="29" t="s">
        <v>252</v>
      </c>
      <c r="E844" s="32">
        <v>5.0</v>
      </c>
      <c r="F844" s="32">
        <v>4.0</v>
      </c>
      <c r="G844" s="32">
        <v>5.0</v>
      </c>
      <c r="H844" s="32">
        <v>6.0</v>
      </c>
    </row>
    <row r="845" ht="14.25" customHeight="1">
      <c r="A845" s="27" t="s">
        <v>654</v>
      </c>
      <c r="B845" s="27" t="s">
        <v>656</v>
      </c>
      <c r="C845" s="29" t="s">
        <v>43</v>
      </c>
      <c r="D845" s="29" t="s">
        <v>252</v>
      </c>
      <c r="E845" s="32">
        <v>5.0</v>
      </c>
      <c r="F845" s="32">
        <v>4.0</v>
      </c>
      <c r="G845" s="32">
        <v>5.0</v>
      </c>
      <c r="H845" s="32">
        <v>6.0</v>
      </c>
    </row>
    <row r="846" ht="14.25" customHeight="1">
      <c r="A846" s="27" t="s">
        <v>654</v>
      </c>
      <c r="B846" s="27" t="s">
        <v>657</v>
      </c>
      <c r="C846" s="29" t="s">
        <v>43</v>
      </c>
      <c r="D846" s="29" t="s">
        <v>252</v>
      </c>
      <c r="E846" s="32">
        <v>5.0</v>
      </c>
      <c r="F846" s="32">
        <v>4.0</v>
      </c>
      <c r="G846" s="32">
        <v>5.0</v>
      </c>
      <c r="H846" s="32">
        <v>6.0</v>
      </c>
    </row>
    <row r="847" ht="14.25" customHeight="1">
      <c r="A847" s="27" t="s">
        <v>654</v>
      </c>
      <c r="B847" s="27" t="s">
        <v>658</v>
      </c>
      <c r="C847" s="29" t="s">
        <v>43</v>
      </c>
      <c r="D847" s="29" t="s">
        <v>252</v>
      </c>
      <c r="E847" s="32">
        <v>5.0</v>
      </c>
      <c r="F847" s="32">
        <v>4.0</v>
      </c>
      <c r="G847" s="32">
        <v>5.0</v>
      </c>
      <c r="H847" s="32">
        <v>6.0</v>
      </c>
    </row>
    <row r="848" ht="14.25" customHeight="1">
      <c r="A848" s="27" t="s">
        <v>654</v>
      </c>
      <c r="B848" s="27" t="s">
        <v>659</v>
      </c>
      <c r="C848" s="29" t="s">
        <v>43</v>
      </c>
      <c r="D848" s="29" t="s">
        <v>252</v>
      </c>
      <c r="E848" s="32">
        <v>5.0</v>
      </c>
      <c r="F848" s="32">
        <v>4.0</v>
      </c>
      <c r="G848" s="32">
        <v>5.0</v>
      </c>
      <c r="H848" s="32">
        <v>6.0</v>
      </c>
    </row>
    <row r="849" ht="14.25" customHeight="1">
      <c r="A849" s="27" t="s">
        <v>654</v>
      </c>
      <c r="B849" s="27" t="s">
        <v>660</v>
      </c>
      <c r="C849" s="29" t="s">
        <v>43</v>
      </c>
      <c r="D849" s="29" t="s">
        <v>252</v>
      </c>
      <c r="E849" s="32">
        <v>5.0</v>
      </c>
      <c r="F849" s="32">
        <v>4.0</v>
      </c>
      <c r="G849" s="32">
        <v>5.0</v>
      </c>
      <c r="H849" s="32">
        <v>6.0</v>
      </c>
    </row>
    <row r="850" ht="14.25" customHeight="1">
      <c r="A850" s="27" t="s">
        <v>654</v>
      </c>
      <c r="B850" s="27" t="s">
        <v>661</v>
      </c>
      <c r="C850" s="29" t="s">
        <v>43</v>
      </c>
      <c r="D850" s="29" t="s">
        <v>252</v>
      </c>
      <c r="E850" s="32">
        <v>5.0</v>
      </c>
      <c r="F850" s="32">
        <v>4.0</v>
      </c>
      <c r="G850" s="32">
        <v>5.0</v>
      </c>
      <c r="H850" s="32">
        <v>6.0</v>
      </c>
    </row>
    <row r="851" ht="14.25" customHeight="1">
      <c r="A851" s="27" t="s">
        <v>654</v>
      </c>
      <c r="B851" s="27" t="s">
        <v>662</v>
      </c>
      <c r="C851" s="29" t="s">
        <v>43</v>
      </c>
      <c r="D851" s="29" t="s">
        <v>252</v>
      </c>
      <c r="E851" s="32">
        <v>5.0</v>
      </c>
      <c r="F851" s="32">
        <v>4.0</v>
      </c>
      <c r="G851" s="32">
        <v>5.0</v>
      </c>
      <c r="H851" s="32">
        <v>6.0</v>
      </c>
    </row>
    <row r="852" ht="14.25" customHeight="1">
      <c r="A852" s="27" t="s">
        <v>654</v>
      </c>
      <c r="B852" s="27" t="s">
        <v>663</v>
      </c>
      <c r="C852" s="29" t="s">
        <v>43</v>
      </c>
      <c r="D852" s="29" t="s">
        <v>252</v>
      </c>
      <c r="E852" s="32">
        <v>5.0</v>
      </c>
      <c r="F852" s="32">
        <v>4.0</v>
      </c>
      <c r="G852" s="32">
        <v>5.0</v>
      </c>
      <c r="H852" s="32">
        <v>6.0</v>
      </c>
    </row>
    <row r="853" ht="14.25" customHeight="1">
      <c r="A853" s="27" t="s">
        <v>654</v>
      </c>
      <c r="B853" s="27" t="s">
        <v>664</v>
      </c>
      <c r="C853" s="29" t="s">
        <v>43</v>
      </c>
      <c r="D853" s="29" t="s">
        <v>252</v>
      </c>
      <c r="E853" s="32">
        <v>5.0</v>
      </c>
      <c r="F853" s="32">
        <v>4.0</v>
      </c>
      <c r="G853" s="32">
        <v>5.0</v>
      </c>
      <c r="H853" s="32">
        <v>6.0</v>
      </c>
    </row>
    <row r="854" ht="14.25" customHeight="1">
      <c r="A854" s="27" t="s">
        <v>654</v>
      </c>
      <c r="B854" s="27" t="s">
        <v>665</v>
      </c>
      <c r="C854" s="29" t="s">
        <v>43</v>
      </c>
      <c r="D854" s="29" t="s">
        <v>252</v>
      </c>
      <c r="E854" s="32">
        <v>30.0</v>
      </c>
      <c r="F854" s="32">
        <v>24.0</v>
      </c>
      <c r="G854" s="32">
        <v>30.0</v>
      </c>
      <c r="H854" s="32">
        <v>36.0</v>
      </c>
    </row>
    <row r="855" ht="14.25" customHeight="1">
      <c r="A855" s="27" t="s">
        <v>654</v>
      </c>
      <c r="B855" s="27" t="s">
        <v>666</v>
      </c>
      <c r="C855" s="29" t="s">
        <v>43</v>
      </c>
      <c r="D855" s="29" t="s">
        <v>252</v>
      </c>
      <c r="E855" s="32">
        <v>30.0</v>
      </c>
      <c r="F855" s="32">
        <v>24.0</v>
      </c>
      <c r="G855" s="32">
        <v>30.0</v>
      </c>
      <c r="H855" s="32">
        <v>36.0</v>
      </c>
    </row>
    <row r="856" ht="14.25" customHeight="1">
      <c r="A856" s="27" t="s">
        <v>654</v>
      </c>
      <c r="B856" s="27" t="s">
        <v>668</v>
      </c>
      <c r="C856" s="29" t="s">
        <v>43</v>
      </c>
      <c r="D856" s="29" t="s">
        <v>252</v>
      </c>
      <c r="E856" s="32">
        <v>13.0</v>
      </c>
      <c r="F856" s="32">
        <v>10.0</v>
      </c>
      <c r="G856" s="32">
        <v>13.0</v>
      </c>
      <c r="H856" s="32">
        <v>16.0</v>
      </c>
    </row>
    <row r="857" ht="14.25" customHeight="1">
      <c r="A857" s="27" t="s">
        <v>654</v>
      </c>
      <c r="B857" s="27" t="s">
        <v>413</v>
      </c>
      <c r="C857" s="29" t="s">
        <v>43</v>
      </c>
      <c r="D857" s="29" t="s">
        <v>252</v>
      </c>
      <c r="E857" s="32">
        <v>12.0</v>
      </c>
      <c r="F857" s="32">
        <v>10.0</v>
      </c>
      <c r="G857" s="32">
        <v>12.0</v>
      </c>
      <c r="H857" s="32">
        <v>14.0</v>
      </c>
    </row>
    <row r="858" ht="14.25" customHeight="1">
      <c r="A858" s="13" t="s">
        <v>654</v>
      </c>
      <c r="B858" s="13" t="s">
        <v>745</v>
      </c>
      <c r="C858" s="127" t="s">
        <v>43</v>
      </c>
      <c r="D858" s="29" t="s">
        <v>252</v>
      </c>
      <c r="E858" s="32">
        <v>5.0</v>
      </c>
      <c r="F858" s="32">
        <v>4.0</v>
      </c>
      <c r="G858" s="32">
        <v>5.0</v>
      </c>
      <c r="H858" s="32">
        <v>6.0</v>
      </c>
    </row>
    <row r="859" ht="14.25" customHeight="1">
      <c r="A859" s="13" t="s">
        <v>654</v>
      </c>
      <c r="B859" s="13" t="s">
        <v>803</v>
      </c>
      <c r="C859" s="127" t="s">
        <v>43</v>
      </c>
      <c r="D859" s="29" t="s">
        <v>252</v>
      </c>
      <c r="E859" s="32">
        <v>5.0</v>
      </c>
      <c r="F859" s="32">
        <v>4.0</v>
      </c>
      <c r="G859" s="32">
        <v>5.0</v>
      </c>
      <c r="H859" s="32">
        <v>6.0</v>
      </c>
    </row>
    <row r="860" ht="14.25" customHeight="1">
      <c r="A860" s="13" t="s">
        <v>654</v>
      </c>
      <c r="B860" s="13" t="s">
        <v>804</v>
      </c>
      <c r="C860" s="127" t="s">
        <v>43</v>
      </c>
      <c r="D860" s="29" t="s">
        <v>252</v>
      </c>
      <c r="E860" s="32">
        <v>5.0</v>
      </c>
      <c r="F860" s="32">
        <v>4.0</v>
      </c>
      <c r="G860" s="32">
        <v>5.0</v>
      </c>
      <c r="H860" s="32">
        <v>6.0</v>
      </c>
    </row>
    <row r="861" ht="14.25" customHeight="1">
      <c r="A861" s="13" t="s">
        <v>654</v>
      </c>
      <c r="B861" s="13" t="s">
        <v>805</v>
      </c>
      <c r="C861" s="127" t="s">
        <v>43</v>
      </c>
      <c r="D861" s="29" t="s">
        <v>252</v>
      </c>
      <c r="E861" s="32">
        <v>5.0</v>
      </c>
      <c r="F861" s="32">
        <v>4.0</v>
      </c>
      <c r="G861" s="32">
        <v>5.0</v>
      </c>
      <c r="H861" s="32">
        <v>6.0</v>
      </c>
    </row>
    <row r="862" ht="14.25" customHeight="1">
      <c r="A862" s="27" t="s">
        <v>648</v>
      </c>
      <c r="B862" s="27" t="s">
        <v>649</v>
      </c>
      <c r="C862" s="29" t="s">
        <v>43</v>
      </c>
      <c r="D862" s="110" t="s">
        <v>252</v>
      </c>
      <c r="E862" s="32">
        <v>14.0</v>
      </c>
      <c r="F862" s="32">
        <v>11.0</v>
      </c>
      <c r="G862" s="32">
        <v>14.0</v>
      </c>
      <c r="H862" s="32">
        <v>17.0</v>
      </c>
    </row>
    <row r="863" ht="14.25" customHeight="1">
      <c r="A863" s="27" t="s">
        <v>504</v>
      </c>
      <c r="B863" s="27" t="s">
        <v>413</v>
      </c>
      <c r="C863" s="29" t="s">
        <v>43</v>
      </c>
      <c r="D863" s="29" t="s">
        <v>252</v>
      </c>
      <c r="E863" s="32">
        <v>12.0</v>
      </c>
      <c r="F863" s="32">
        <v>10.0</v>
      </c>
      <c r="G863" s="32">
        <v>12.0</v>
      </c>
      <c r="H863" s="32">
        <v>14.0</v>
      </c>
    </row>
    <row r="864" ht="14.25" customHeight="1">
      <c r="A864" s="13" t="s">
        <v>504</v>
      </c>
      <c r="B864" s="13" t="s">
        <v>806</v>
      </c>
      <c r="C864" s="127" t="s">
        <v>43</v>
      </c>
      <c r="D864" s="29" t="s">
        <v>252</v>
      </c>
      <c r="E864" s="32">
        <v>12.0</v>
      </c>
      <c r="F864" s="32">
        <v>10.0</v>
      </c>
      <c r="G864" s="32">
        <v>12.0</v>
      </c>
      <c r="H864" s="32">
        <v>14.0</v>
      </c>
    </row>
    <row r="865" ht="14.25" customHeight="1">
      <c r="A865" s="13" t="s">
        <v>504</v>
      </c>
      <c r="B865" s="13" t="s">
        <v>807</v>
      </c>
      <c r="C865" s="127" t="s">
        <v>43</v>
      </c>
      <c r="D865" s="29" t="s">
        <v>252</v>
      </c>
      <c r="E865" s="32">
        <v>12.0</v>
      </c>
      <c r="F865" s="128">
        <v>5.0</v>
      </c>
      <c r="G865" s="32">
        <v>12.0</v>
      </c>
      <c r="H865" s="128">
        <v>14.0</v>
      </c>
    </row>
    <row r="866" ht="14.25" customHeight="1">
      <c r="A866" s="27" t="s">
        <v>433</v>
      </c>
      <c r="B866" s="27" t="s">
        <v>413</v>
      </c>
      <c r="C866" s="29" t="s">
        <v>43</v>
      </c>
      <c r="D866" s="110" t="s">
        <v>252</v>
      </c>
      <c r="E866" s="32">
        <v>12.0</v>
      </c>
      <c r="F866" s="32">
        <v>10.0</v>
      </c>
      <c r="G866" s="32">
        <v>12.0</v>
      </c>
      <c r="H866" s="32">
        <v>14.0</v>
      </c>
    </row>
    <row r="867" ht="14.25" customHeight="1">
      <c r="A867" s="13" t="s">
        <v>433</v>
      </c>
      <c r="B867" s="13" t="s">
        <v>808</v>
      </c>
      <c r="C867" s="127" t="s">
        <v>43</v>
      </c>
      <c r="D867" s="110" t="s">
        <v>252</v>
      </c>
      <c r="E867" s="32">
        <v>8.0</v>
      </c>
      <c r="F867" s="128">
        <v>5.0</v>
      </c>
      <c r="G867" s="32">
        <v>8.0</v>
      </c>
      <c r="H867" s="128">
        <v>10.0</v>
      </c>
    </row>
    <row r="868" ht="14.25" customHeight="1">
      <c r="A868" s="27" t="s">
        <v>424</v>
      </c>
      <c r="B868" s="27" t="s">
        <v>413</v>
      </c>
      <c r="C868" s="29" t="s">
        <v>43</v>
      </c>
      <c r="D868" s="99" t="s">
        <v>252</v>
      </c>
      <c r="E868" s="32">
        <v>12.0</v>
      </c>
      <c r="F868" s="32">
        <v>10.0</v>
      </c>
      <c r="G868" s="32">
        <v>12.0</v>
      </c>
      <c r="H868" s="32">
        <v>14.0</v>
      </c>
    </row>
    <row r="869" ht="14.25" customHeight="1">
      <c r="A869" s="13" t="s">
        <v>424</v>
      </c>
      <c r="B869" s="13" t="s">
        <v>809</v>
      </c>
      <c r="C869" s="127" t="s">
        <v>43</v>
      </c>
      <c r="D869" s="110" t="s">
        <v>252</v>
      </c>
      <c r="E869" s="32">
        <v>12.0</v>
      </c>
      <c r="F869" s="128">
        <v>5.0</v>
      </c>
      <c r="G869" s="32">
        <v>12.0</v>
      </c>
      <c r="H869" s="128">
        <v>14.0</v>
      </c>
    </row>
    <row r="870" ht="14.25" customHeight="1">
      <c r="A870" s="27" t="s">
        <v>406</v>
      </c>
      <c r="B870" s="27" t="s">
        <v>407</v>
      </c>
      <c r="C870" s="29" t="s">
        <v>43</v>
      </c>
      <c r="D870" s="99" t="s">
        <v>252</v>
      </c>
      <c r="E870" s="32">
        <v>5.0</v>
      </c>
      <c r="F870" s="32">
        <v>4.0</v>
      </c>
      <c r="G870" s="32">
        <v>5.0</v>
      </c>
      <c r="H870" s="32">
        <v>6.0</v>
      </c>
    </row>
    <row r="871" ht="14.25" customHeight="1">
      <c r="A871" s="27" t="s">
        <v>406</v>
      </c>
      <c r="B871" s="27" t="s">
        <v>408</v>
      </c>
      <c r="C871" s="29" t="s">
        <v>43</v>
      </c>
      <c r="D871" s="99" t="s">
        <v>252</v>
      </c>
      <c r="E871" s="32">
        <v>5.0</v>
      </c>
      <c r="F871" s="32">
        <v>4.0</v>
      </c>
      <c r="G871" s="32">
        <v>5.0</v>
      </c>
      <c r="H871" s="32">
        <v>6.0</v>
      </c>
    </row>
    <row r="872" ht="14.25" customHeight="1">
      <c r="A872" s="27" t="s">
        <v>406</v>
      </c>
      <c r="B872" s="27" t="s">
        <v>409</v>
      </c>
      <c r="C872" s="29" t="s">
        <v>43</v>
      </c>
      <c r="D872" s="99" t="s">
        <v>252</v>
      </c>
      <c r="E872" s="32">
        <v>5.0</v>
      </c>
      <c r="F872" s="32">
        <v>4.0</v>
      </c>
      <c r="G872" s="32">
        <v>5.0</v>
      </c>
      <c r="H872" s="32">
        <v>6.0</v>
      </c>
    </row>
    <row r="873" ht="14.25" customHeight="1">
      <c r="A873" s="27" t="s">
        <v>406</v>
      </c>
      <c r="B873" s="27" t="s">
        <v>410</v>
      </c>
      <c r="C873" s="29" t="s">
        <v>43</v>
      </c>
      <c r="D873" s="99" t="s">
        <v>252</v>
      </c>
      <c r="E873" s="32">
        <v>5.0</v>
      </c>
      <c r="F873" s="32">
        <v>4.0</v>
      </c>
      <c r="G873" s="32">
        <v>5.0</v>
      </c>
      <c r="H873" s="32">
        <v>6.0</v>
      </c>
    </row>
    <row r="874" ht="14.25" customHeight="1">
      <c r="A874" s="27" t="s">
        <v>406</v>
      </c>
      <c r="B874" s="27" t="s">
        <v>411</v>
      </c>
      <c r="C874" s="29" t="s">
        <v>43</v>
      </c>
      <c r="D874" s="99" t="s">
        <v>252</v>
      </c>
      <c r="E874" s="32">
        <v>5.0</v>
      </c>
      <c r="F874" s="32">
        <v>4.0</v>
      </c>
      <c r="G874" s="32">
        <v>5.0</v>
      </c>
      <c r="H874" s="32">
        <v>6.0</v>
      </c>
    </row>
    <row r="875" ht="14.25" customHeight="1">
      <c r="A875" s="27" t="s">
        <v>406</v>
      </c>
      <c r="B875" s="27" t="s">
        <v>412</v>
      </c>
      <c r="C875" s="29" t="s">
        <v>43</v>
      </c>
      <c r="D875" s="99" t="s">
        <v>252</v>
      </c>
      <c r="E875" s="32">
        <v>5.0</v>
      </c>
      <c r="F875" s="32">
        <v>4.0</v>
      </c>
      <c r="G875" s="32">
        <v>5.0</v>
      </c>
      <c r="H875" s="32">
        <v>6.0</v>
      </c>
    </row>
    <row r="876" ht="14.25" customHeight="1">
      <c r="A876" s="27" t="s">
        <v>406</v>
      </c>
      <c r="B876" s="27" t="s">
        <v>413</v>
      </c>
      <c r="C876" s="29" t="s">
        <v>43</v>
      </c>
      <c r="D876" s="99" t="s">
        <v>252</v>
      </c>
      <c r="E876" s="32">
        <v>12.0</v>
      </c>
      <c r="F876" s="32">
        <v>10.0</v>
      </c>
      <c r="G876" s="32">
        <v>12.0</v>
      </c>
      <c r="H876" s="32">
        <v>14.0</v>
      </c>
    </row>
    <row r="877" ht="14.25" customHeight="1">
      <c r="A877" s="13" t="s">
        <v>406</v>
      </c>
      <c r="B877" s="13" t="s">
        <v>810</v>
      </c>
      <c r="C877" s="127" t="s">
        <v>43</v>
      </c>
      <c r="D877" s="99" t="s">
        <v>252</v>
      </c>
      <c r="E877" s="32">
        <v>12.0</v>
      </c>
      <c r="F877" s="128">
        <v>5.0</v>
      </c>
      <c r="G877" s="32">
        <v>12.0</v>
      </c>
      <c r="H877" s="128">
        <v>14.0</v>
      </c>
    </row>
    <row r="878" ht="14.25" customHeight="1">
      <c r="A878" s="27" t="s">
        <v>623</v>
      </c>
      <c r="B878" s="123" t="s">
        <v>631</v>
      </c>
      <c r="C878" s="29" t="s">
        <v>43</v>
      </c>
      <c r="D878" s="29" t="s">
        <v>137</v>
      </c>
      <c r="E878" s="32">
        <v>20.0</v>
      </c>
      <c r="F878" s="32">
        <v>17.0</v>
      </c>
      <c r="G878" s="32">
        <v>20.0</v>
      </c>
      <c r="H878" s="32">
        <v>26.0</v>
      </c>
    </row>
    <row r="879" ht="14.25" customHeight="1">
      <c r="A879" s="27" t="s">
        <v>425</v>
      </c>
      <c r="B879" s="123" t="s">
        <v>431</v>
      </c>
      <c r="C879" s="29" t="s">
        <v>43</v>
      </c>
      <c r="D879" s="29" t="s">
        <v>271</v>
      </c>
      <c r="E879" s="32">
        <v>9.0</v>
      </c>
      <c r="F879" s="32">
        <v>6.0</v>
      </c>
      <c r="G879" s="32">
        <v>9.0</v>
      </c>
      <c r="H879" s="32">
        <v>14.0</v>
      </c>
    </row>
    <row r="880" ht="14.25" customHeight="1">
      <c r="A880" s="27" t="s">
        <v>377</v>
      </c>
      <c r="B880" s="123" t="s">
        <v>387</v>
      </c>
      <c r="C880" s="29" t="s">
        <v>43</v>
      </c>
      <c r="D880" s="29" t="s">
        <v>271</v>
      </c>
      <c r="E880" s="32">
        <v>9.0</v>
      </c>
      <c r="F880" s="32">
        <v>6.0</v>
      </c>
      <c r="G880" s="32">
        <v>9.0</v>
      </c>
      <c r="H880" s="32">
        <v>14.0</v>
      </c>
    </row>
    <row r="881" ht="14.25" customHeight="1">
      <c r="A881" s="27" t="s">
        <v>377</v>
      </c>
      <c r="B881" s="123" t="s">
        <v>305</v>
      </c>
      <c r="C881" s="29" t="s">
        <v>43</v>
      </c>
      <c r="D881" s="29" t="s">
        <v>139</v>
      </c>
      <c r="E881" s="32">
        <v>32.0</v>
      </c>
      <c r="F881" s="32">
        <v>26.0</v>
      </c>
      <c r="G881" s="32">
        <v>32.0</v>
      </c>
      <c r="H881" s="32">
        <v>48.0</v>
      </c>
    </row>
    <row r="882" ht="14.25" customHeight="1">
      <c r="A882" s="27" t="s">
        <v>388</v>
      </c>
      <c r="B882" s="123" t="s">
        <v>268</v>
      </c>
      <c r="C882" s="29" t="s">
        <v>43</v>
      </c>
      <c r="D882" s="29" t="s">
        <v>271</v>
      </c>
      <c r="E882" s="32">
        <v>9.0</v>
      </c>
      <c r="F882" s="32">
        <v>6.0</v>
      </c>
      <c r="G882" s="32">
        <v>9.0</v>
      </c>
      <c r="H882" s="32">
        <v>14.0</v>
      </c>
    </row>
    <row r="883" ht="14.25" customHeight="1">
      <c r="A883" s="27" t="s">
        <v>388</v>
      </c>
      <c r="B883" s="123" t="s">
        <v>390</v>
      </c>
      <c r="C883" s="29" t="s">
        <v>43</v>
      </c>
      <c r="D883" s="29" t="s">
        <v>271</v>
      </c>
      <c r="E883" s="32">
        <v>9.0</v>
      </c>
      <c r="F883" s="32">
        <v>6.0</v>
      </c>
      <c r="G883" s="32">
        <v>9.0</v>
      </c>
      <c r="H883" s="32">
        <v>14.0</v>
      </c>
    </row>
    <row r="884" ht="14.25" customHeight="1">
      <c r="A884" s="131" t="s">
        <v>92</v>
      </c>
      <c r="B884" s="132" t="s">
        <v>717</v>
      </c>
      <c r="C884" s="133" t="s">
        <v>43</v>
      </c>
      <c r="D884" s="99" t="s">
        <v>271</v>
      </c>
      <c r="E884" s="32">
        <v>12.0</v>
      </c>
      <c r="F884" s="32">
        <v>6.0</v>
      </c>
      <c r="G884" s="32">
        <v>12.0</v>
      </c>
      <c r="H884" s="32">
        <v>14.0</v>
      </c>
    </row>
    <row r="885" ht="14.25" customHeight="1">
      <c r="A885" s="27" t="s">
        <v>729</v>
      </c>
      <c r="B885" s="27" t="s">
        <v>631</v>
      </c>
      <c r="C885" s="29" t="s">
        <v>43</v>
      </c>
      <c r="D885" s="110" t="s">
        <v>137</v>
      </c>
      <c r="E885" s="32">
        <v>30.0</v>
      </c>
      <c r="F885" s="32">
        <v>24.0</v>
      </c>
      <c r="G885" s="32">
        <v>30.0</v>
      </c>
      <c r="H885" s="32">
        <v>36.0</v>
      </c>
    </row>
    <row r="886" ht="14.25" customHeight="1">
      <c r="A886" s="27" t="s">
        <v>562</v>
      </c>
      <c r="B886" s="27" t="s">
        <v>718</v>
      </c>
      <c r="C886" s="29" t="s">
        <v>43</v>
      </c>
      <c r="D886" s="99" t="s">
        <v>137</v>
      </c>
      <c r="E886" s="32">
        <v>10.0</v>
      </c>
      <c r="F886" s="32">
        <v>9.0</v>
      </c>
      <c r="G886" s="32">
        <v>10.0</v>
      </c>
      <c r="H886" s="32">
        <v>12.0</v>
      </c>
    </row>
    <row r="887" ht="14.25" customHeight="1">
      <c r="A887" s="27" t="s">
        <v>475</v>
      </c>
      <c r="B887" s="27" t="s">
        <v>268</v>
      </c>
      <c r="C887" s="29" t="s">
        <v>43</v>
      </c>
      <c r="D887" s="99" t="s">
        <v>811</v>
      </c>
      <c r="E887" s="32">
        <v>12.0</v>
      </c>
      <c r="F887" s="32">
        <v>9.0</v>
      </c>
      <c r="G887" s="32">
        <v>12.0</v>
      </c>
      <c r="H887" s="32">
        <v>14.0</v>
      </c>
    </row>
    <row r="888" ht="14.25" customHeight="1">
      <c r="A888" s="27" t="s">
        <v>447</v>
      </c>
      <c r="B888" s="27" t="s">
        <v>460</v>
      </c>
      <c r="C888" s="29" t="s">
        <v>43</v>
      </c>
      <c r="D888" s="99" t="s">
        <v>137</v>
      </c>
      <c r="E888" s="32">
        <v>25.0</v>
      </c>
      <c r="F888" s="32">
        <v>20.0</v>
      </c>
      <c r="G888" s="32">
        <v>25.0</v>
      </c>
      <c r="H888" s="32">
        <v>30.0</v>
      </c>
    </row>
    <row r="889" ht="14.25" customHeight="1">
      <c r="A889" s="27" t="s">
        <v>447</v>
      </c>
      <c r="B889" s="27" t="s">
        <v>461</v>
      </c>
      <c r="C889" s="29" t="s">
        <v>43</v>
      </c>
      <c r="D889" s="99" t="s">
        <v>137</v>
      </c>
      <c r="E889" s="32">
        <v>25.0</v>
      </c>
      <c r="F889" s="32">
        <v>20.0</v>
      </c>
      <c r="G889" s="32">
        <v>25.0</v>
      </c>
      <c r="H889" s="32">
        <v>30.0</v>
      </c>
    </row>
    <row r="890" ht="14.25" customHeight="1">
      <c r="A890" s="27" t="s">
        <v>447</v>
      </c>
      <c r="B890" s="27" t="s">
        <v>462</v>
      </c>
      <c r="C890" s="29" t="s">
        <v>43</v>
      </c>
      <c r="D890" s="99" t="s">
        <v>137</v>
      </c>
      <c r="E890" s="32">
        <v>25.0</v>
      </c>
      <c r="F890" s="32">
        <v>20.0</v>
      </c>
      <c r="G890" s="32">
        <v>25.0</v>
      </c>
      <c r="H890" s="32">
        <v>30.0</v>
      </c>
    </row>
    <row r="891" ht="14.25" customHeight="1">
      <c r="A891" s="27" t="s">
        <v>447</v>
      </c>
      <c r="B891" s="27" t="s">
        <v>463</v>
      </c>
      <c r="C891" s="29" t="s">
        <v>43</v>
      </c>
      <c r="D891" s="99" t="s">
        <v>137</v>
      </c>
      <c r="E891" s="32">
        <v>25.0</v>
      </c>
      <c r="F891" s="32">
        <v>20.0</v>
      </c>
      <c r="G891" s="32">
        <v>25.0</v>
      </c>
      <c r="H891" s="32">
        <v>30.0</v>
      </c>
    </row>
    <row r="892" ht="14.25" customHeight="1">
      <c r="A892" s="27" t="s">
        <v>447</v>
      </c>
      <c r="B892" s="27" t="s">
        <v>464</v>
      </c>
      <c r="C892" s="29" t="s">
        <v>43</v>
      </c>
      <c r="D892" s="99" t="s">
        <v>137</v>
      </c>
      <c r="E892" s="32">
        <v>25.0</v>
      </c>
      <c r="F892" s="32">
        <v>20.0</v>
      </c>
      <c r="G892" s="32">
        <v>25.0</v>
      </c>
      <c r="H892" s="32">
        <v>30.0</v>
      </c>
    </row>
    <row r="893" ht="14.25" customHeight="1">
      <c r="A893" s="27" t="s">
        <v>447</v>
      </c>
      <c r="B893" s="27" t="s">
        <v>465</v>
      </c>
      <c r="C893" s="29" t="s">
        <v>43</v>
      </c>
      <c r="D893" s="99" t="s">
        <v>137</v>
      </c>
      <c r="E893" s="32">
        <v>25.0</v>
      </c>
      <c r="F893" s="32">
        <v>20.0</v>
      </c>
      <c r="G893" s="32">
        <v>25.0</v>
      </c>
      <c r="H893" s="32">
        <v>30.0</v>
      </c>
    </row>
    <row r="894" ht="14.25" customHeight="1">
      <c r="A894" s="27" t="s">
        <v>447</v>
      </c>
      <c r="B894" s="27" t="s">
        <v>466</v>
      </c>
      <c r="C894" s="29" t="s">
        <v>43</v>
      </c>
      <c r="D894" s="99" t="s">
        <v>137</v>
      </c>
      <c r="E894" s="32">
        <v>25.0</v>
      </c>
      <c r="F894" s="32">
        <v>20.0</v>
      </c>
      <c r="G894" s="32">
        <v>25.0</v>
      </c>
      <c r="H894" s="32">
        <v>30.0</v>
      </c>
    </row>
    <row r="895" ht="14.25" customHeight="1">
      <c r="A895" s="27" t="s">
        <v>425</v>
      </c>
      <c r="B895" s="27" t="s">
        <v>425</v>
      </c>
      <c r="C895" s="29" t="s">
        <v>43</v>
      </c>
      <c r="D895" s="99" t="s">
        <v>271</v>
      </c>
      <c r="E895" s="32">
        <v>1.0</v>
      </c>
      <c r="F895" s="32">
        <v>1.0</v>
      </c>
      <c r="G895" s="32">
        <v>1.0</v>
      </c>
      <c r="H895" s="32">
        <v>1.0</v>
      </c>
    </row>
    <row r="896" ht="14.25" customHeight="1">
      <c r="A896" s="27" t="s">
        <v>425</v>
      </c>
      <c r="B896" s="27" t="s">
        <v>430</v>
      </c>
      <c r="C896" s="29" t="s">
        <v>43</v>
      </c>
      <c r="D896" s="99" t="s">
        <v>271</v>
      </c>
      <c r="E896" s="32">
        <v>10.0</v>
      </c>
      <c r="F896" s="32">
        <v>8.0</v>
      </c>
      <c r="G896" s="32">
        <v>10.0</v>
      </c>
      <c r="H896" s="32">
        <v>12.0</v>
      </c>
    </row>
    <row r="897" ht="14.25" customHeight="1">
      <c r="A897" s="27" t="s">
        <v>377</v>
      </c>
      <c r="B897" s="27" t="s">
        <v>387</v>
      </c>
      <c r="C897" s="29" t="s">
        <v>43</v>
      </c>
      <c r="D897" s="99" t="s">
        <v>271</v>
      </c>
      <c r="E897" s="32">
        <v>16.0</v>
      </c>
      <c r="F897" s="32">
        <v>8.0</v>
      </c>
      <c r="G897" s="32">
        <v>16.0</v>
      </c>
      <c r="H897" s="32">
        <v>19.0</v>
      </c>
    </row>
    <row r="898" ht="14.25" customHeight="1">
      <c r="A898" s="27" t="s">
        <v>377</v>
      </c>
      <c r="B898" s="27" t="s">
        <v>305</v>
      </c>
      <c r="C898" s="29" t="s">
        <v>43</v>
      </c>
      <c r="D898" s="99" t="s">
        <v>139</v>
      </c>
      <c r="E898" s="32">
        <v>40.0</v>
      </c>
      <c r="F898" s="32">
        <v>26.0</v>
      </c>
      <c r="G898" s="32">
        <v>40.0</v>
      </c>
      <c r="H898" s="32">
        <v>48.0</v>
      </c>
    </row>
    <row r="899" ht="14.25" customHeight="1">
      <c r="A899" s="27" t="s">
        <v>388</v>
      </c>
      <c r="B899" s="27" t="s">
        <v>390</v>
      </c>
      <c r="C899" s="29" t="s">
        <v>43</v>
      </c>
      <c r="D899" s="99" t="s">
        <v>271</v>
      </c>
      <c r="E899" s="32">
        <v>16.0</v>
      </c>
      <c r="F899" s="32">
        <v>8.0</v>
      </c>
      <c r="G899" s="32">
        <v>16.0</v>
      </c>
      <c r="H899" s="32">
        <v>19.0</v>
      </c>
    </row>
    <row r="900" ht="14.25" customHeight="1">
      <c r="A900" s="126" t="s">
        <v>388</v>
      </c>
      <c r="B900" s="126" t="s">
        <v>812</v>
      </c>
      <c r="C900" s="127" t="s">
        <v>43</v>
      </c>
      <c r="D900" s="99" t="s">
        <v>271</v>
      </c>
      <c r="E900" s="32">
        <v>12.0</v>
      </c>
      <c r="F900" s="32">
        <v>6.0</v>
      </c>
      <c r="G900" s="32">
        <v>12.0</v>
      </c>
      <c r="H900" s="32">
        <v>14.0</v>
      </c>
    </row>
    <row r="901" ht="14.25" customHeight="1">
      <c r="A901" s="126" t="s">
        <v>388</v>
      </c>
      <c r="B901" s="126" t="s">
        <v>813</v>
      </c>
      <c r="C901" s="127" t="s">
        <v>43</v>
      </c>
      <c r="D901" s="99" t="s">
        <v>271</v>
      </c>
      <c r="E901" s="32">
        <v>12.0</v>
      </c>
      <c r="F901" s="32">
        <v>6.0</v>
      </c>
      <c r="G901" s="32">
        <v>12.0</v>
      </c>
      <c r="H901" s="32">
        <v>14.0</v>
      </c>
    </row>
    <row r="902" ht="14.25" customHeight="1">
      <c r="A902" s="126" t="s">
        <v>388</v>
      </c>
      <c r="B902" s="126" t="s">
        <v>814</v>
      </c>
      <c r="C902" s="127" t="s">
        <v>43</v>
      </c>
      <c r="D902" s="99" t="s">
        <v>815</v>
      </c>
      <c r="E902" s="32">
        <v>25.0</v>
      </c>
      <c r="F902" s="32">
        <v>13.0</v>
      </c>
      <c r="G902" s="32">
        <v>25.0</v>
      </c>
      <c r="H902" s="32">
        <v>30.0</v>
      </c>
    </row>
    <row r="903" ht="14.25" customHeight="1">
      <c r="A903" s="126" t="s">
        <v>388</v>
      </c>
      <c r="B903" s="126" t="s">
        <v>816</v>
      </c>
      <c r="C903" s="127" t="s">
        <v>43</v>
      </c>
      <c r="D903" s="99" t="s">
        <v>815</v>
      </c>
      <c r="E903" s="32">
        <v>25.0</v>
      </c>
      <c r="F903" s="32">
        <v>13.0</v>
      </c>
      <c r="G903" s="32">
        <v>25.0</v>
      </c>
      <c r="H903" s="32">
        <v>30.0</v>
      </c>
    </row>
    <row r="904" ht="14.25" customHeight="1">
      <c r="A904" s="126" t="s">
        <v>388</v>
      </c>
      <c r="B904" s="126" t="s">
        <v>817</v>
      </c>
      <c r="C904" s="127" t="s">
        <v>43</v>
      </c>
      <c r="D904" s="99" t="s">
        <v>815</v>
      </c>
      <c r="E904" s="32">
        <v>25.0</v>
      </c>
      <c r="F904" s="32">
        <v>13.0</v>
      </c>
      <c r="G904" s="32">
        <v>25.0</v>
      </c>
      <c r="H904" s="32">
        <v>30.0</v>
      </c>
    </row>
    <row r="905" ht="14.25" customHeight="1">
      <c r="A905" s="126" t="s">
        <v>388</v>
      </c>
      <c r="B905" s="126" t="s">
        <v>818</v>
      </c>
      <c r="C905" s="127" t="s">
        <v>43</v>
      </c>
      <c r="D905" s="99" t="s">
        <v>815</v>
      </c>
      <c r="E905" s="32">
        <v>25.0</v>
      </c>
      <c r="F905" s="32">
        <v>13.0</v>
      </c>
      <c r="G905" s="32">
        <v>25.0</v>
      </c>
      <c r="H905" s="32">
        <v>30.0</v>
      </c>
    </row>
    <row r="906" ht="14.25" customHeight="1">
      <c r="A906" s="27" t="s">
        <v>265</v>
      </c>
      <c r="B906" s="27" t="s">
        <v>275</v>
      </c>
      <c r="C906" s="29" t="s">
        <v>43</v>
      </c>
      <c r="D906" s="99" t="s">
        <v>815</v>
      </c>
      <c r="E906" s="32">
        <v>25.0</v>
      </c>
      <c r="F906" s="32">
        <v>20.0</v>
      </c>
      <c r="G906" s="32">
        <v>25.0</v>
      </c>
      <c r="H906" s="32">
        <v>30.0</v>
      </c>
    </row>
    <row r="907" ht="14.25" customHeight="1">
      <c r="A907" s="27" t="s">
        <v>265</v>
      </c>
      <c r="B907" s="27" t="s">
        <v>276</v>
      </c>
      <c r="C907" s="29" t="s">
        <v>43</v>
      </c>
      <c r="D907" s="99" t="s">
        <v>815</v>
      </c>
      <c r="E907" s="32">
        <v>25.0</v>
      </c>
      <c r="F907" s="32">
        <v>20.0</v>
      </c>
      <c r="G907" s="32">
        <v>25.0</v>
      </c>
      <c r="H907" s="32">
        <v>30.0</v>
      </c>
    </row>
    <row r="908" ht="14.25" customHeight="1">
      <c r="A908" s="29" t="s">
        <v>92</v>
      </c>
      <c r="B908" s="29" t="s">
        <v>819</v>
      </c>
      <c r="C908" s="7" t="s">
        <v>43</v>
      </c>
      <c r="D908" s="7" t="s">
        <v>271</v>
      </c>
      <c r="E908" s="32">
        <v>10.0</v>
      </c>
      <c r="F908" s="32">
        <v>6.0</v>
      </c>
      <c r="G908" s="32">
        <v>12.0</v>
      </c>
      <c r="H908" s="32">
        <v>14.0</v>
      </c>
    </row>
    <row r="909" ht="14.25" customHeight="1">
      <c r="A909" s="140" t="s">
        <v>820</v>
      </c>
      <c r="B909" s="140" t="s">
        <v>821</v>
      </c>
      <c r="C909" s="7" t="s">
        <v>43</v>
      </c>
      <c r="D909" s="99" t="s">
        <v>271</v>
      </c>
      <c r="E909" s="32">
        <v>12.0</v>
      </c>
      <c r="F909" s="32">
        <v>6.0</v>
      </c>
      <c r="G909" s="32">
        <v>12.0</v>
      </c>
      <c r="H909" s="32">
        <v>14.0</v>
      </c>
    </row>
    <row r="910" ht="14.25" customHeight="1">
      <c r="A910" s="140" t="s">
        <v>820</v>
      </c>
      <c r="B910" s="140" t="s">
        <v>821</v>
      </c>
      <c r="C910" s="7" t="s">
        <v>43</v>
      </c>
      <c r="D910" s="99" t="s">
        <v>271</v>
      </c>
      <c r="E910" s="32">
        <v>12.0</v>
      </c>
      <c r="F910" s="32">
        <v>6.0</v>
      </c>
      <c r="G910" s="32">
        <v>12.0</v>
      </c>
      <c r="H910" s="32">
        <v>14.0</v>
      </c>
    </row>
    <row r="911" ht="14.25" customHeight="1">
      <c r="A911" s="110" t="s">
        <v>377</v>
      </c>
      <c r="B911" s="141" t="s">
        <v>822</v>
      </c>
      <c r="C911" s="7" t="s">
        <v>43</v>
      </c>
      <c r="D911" s="99" t="s">
        <v>271</v>
      </c>
      <c r="E911" s="32">
        <v>12.0</v>
      </c>
      <c r="F911" s="32">
        <v>6.0</v>
      </c>
      <c r="G911" s="32">
        <v>12.0</v>
      </c>
      <c r="H911" s="32">
        <v>14.0</v>
      </c>
    </row>
    <row r="912" ht="14.25" customHeight="1">
      <c r="A912" s="126" t="s">
        <v>388</v>
      </c>
      <c r="B912" s="126" t="s">
        <v>823</v>
      </c>
      <c r="C912" s="127" t="s">
        <v>43</v>
      </c>
      <c r="D912" s="99" t="s">
        <v>251</v>
      </c>
      <c r="E912" s="32">
        <v>4.0</v>
      </c>
      <c r="F912" s="32">
        <v>10.0</v>
      </c>
      <c r="G912" s="32">
        <v>17.0</v>
      </c>
      <c r="H912" s="32">
        <v>20.0</v>
      </c>
    </row>
    <row r="913" ht="14.25" customHeight="1">
      <c r="A913" s="126" t="s">
        <v>388</v>
      </c>
      <c r="B913" s="126" t="s">
        <v>824</v>
      </c>
      <c r="C913" s="127" t="s">
        <v>43</v>
      </c>
      <c r="D913" s="99" t="s">
        <v>251</v>
      </c>
      <c r="E913" s="32">
        <v>4.0</v>
      </c>
      <c r="F913" s="32">
        <v>10.0</v>
      </c>
      <c r="G913" s="32">
        <v>17.0</v>
      </c>
      <c r="H913" s="32">
        <v>20.0</v>
      </c>
    </row>
    <row r="914" ht="14.25" customHeight="1">
      <c r="A914" s="126" t="s">
        <v>388</v>
      </c>
      <c r="B914" s="126" t="s">
        <v>825</v>
      </c>
      <c r="C914" s="127" t="s">
        <v>43</v>
      </c>
      <c r="D914" s="99" t="s">
        <v>251</v>
      </c>
      <c r="E914" s="32">
        <v>24.0</v>
      </c>
      <c r="F914" s="32">
        <v>10.0</v>
      </c>
      <c r="G914" s="32">
        <v>17.0</v>
      </c>
      <c r="H914" s="32">
        <v>20.0</v>
      </c>
    </row>
    <row r="915" ht="14.25" customHeight="1">
      <c r="A915" s="27" t="s">
        <v>603</v>
      </c>
      <c r="B915" s="125" t="s">
        <v>604</v>
      </c>
      <c r="C915" s="29" t="s">
        <v>43</v>
      </c>
      <c r="D915" s="29" t="s">
        <v>273</v>
      </c>
      <c r="E915" s="32">
        <v>24.0</v>
      </c>
      <c r="F915" s="32">
        <v>19.0</v>
      </c>
      <c r="G915" s="32">
        <v>24.0</v>
      </c>
      <c r="H915" s="32">
        <v>29.0</v>
      </c>
    </row>
    <row r="916" ht="14.25" customHeight="1">
      <c r="A916" s="27" t="s">
        <v>300</v>
      </c>
      <c r="B916" s="125" t="s">
        <v>301</v>
      </c>
      <c r="C916" s="29" t="s">
        <v>43</v>
      </c>
      <c r="D916" s="29" t="s">
        <v>255</v>
      </c>
      <c r="E916" s="32">
        <v>1.0</v>
      </c>
      <c r="F916" s="32">
        <v>1.0</v>
      </c>
      <c r="G916" s="32">
        <v>1.0</v>
      </c>
      <c r="H916" s="32">
        <v>1.0</v>
      </c>
    </row>
    <row r="917" ht="14.25" customHeight="1">
      <c r="A917" s="27" t="s">
        <v>300</v>
      </c>
      <c r="B917" s="125" t="s">
        <v>302</v>
      </c>
      <c r="C917" s="29" t="s">
        <v>43</v>
      </c>
      <c r="D917" s="29" t="s">
        <v>255</v>
      </c>
      <c r="E917" s="32">
        <v>1.0</v>
      </c>
      <c r="F917" s="32">
        <v>1.0</v>
      </c>
      <c r="G917" s="32">
        <v>1.0</v>
      </c>
      <c r="H917" s="32">
        <v>1.0</v>
      </c>
    </row>
    <row r="918" ht="14.25" customHeight="1">
      <c r="A918" s="27" t="s">
        <v>300</v>
      </c>
      <c r="B918" s="125" t="s">
        <v>303</v>
      </c>
      <c r="C918" s="29" t="s">
        <v>43</v>
      </c>
      <c r="D918" s="29" t="s">
        <v>255</v>
      </c>
      <c r="E918" s="32">
        <v>1.0</v>
      </c>
      <c r="F918" s="32">
        <v>1.0</v>
      </c>
      <c r="G918" s="32">
        <v>1.0</v>
      </c>
      <c r="H918" s="32">
        <v>1.0</v>
      </c>
    </row>
    <row r="919" ht="14.25" customHeight="1">
      <c r="A919" s="27" t="s">
        <v>300</v>
      </c>
      <c r="B919" s="125" t="s">
        <v>307</v>
      </c>
      <c r="C919" s="29" t="s">
        <v>43</v>
      </c>
      <c r="D919" s="29" t="s">
        <v>744</v>
      </c>
      <c r="E919" s="32">
        <v>17.0</v>
      </c>
      <c r="F919" s="32">
        <v>13.0</v>
      </c>
      <c r="G919" s="32">
        <v>17.0</v>
      </c>
      <c r="H919" s="32">
        <v>20.0</v>
      </c>
    </row>
    <row r="920" ht="14.25" customHeight="1">
      <c r="A920" s="27" t="s">
        <v>300</v>
      </c>
      <c r="B920" s="27" t="s">
        <v>604</v>
      </c>
      <c r="C920" s="29" t="s">
        <v>43</v>
      </c>
      <c r="D920" s="99" t="s">
        <v>273</v>
      </c>
      <c r="E920" s="32">
        <v>24.0</v>
      </c>
      <c r="F920" s="32">
        <v>19.0</v>
      </c>
      <c r="G920" s="32">
        <v>24.0</v>
      </c>
      <c r="H920" s="32">
        <v>29.0</v>
      </c>
    </row>
    <row r="921" ht="14.25" customHeight="1">
      <c r="A921" s="27" t="s">
        <v>300</v>
      </c>
      <c r="B921" s="27" t="s">
        <v>301</v>
      </c>
      <c r="C921" s="29" t="s">
        <v>43</v>
      </c>
      <c r="D921" s="99" t="s">
        <v>826</v>
      </c>
      <c r="E921" s="32">
        <v>1.0</v>
      </c>
      <c r="F921" s="32">
        <v>1.0</v>
      </c>
      <c r="G921" s="32">
        <v>1.0</v>
      </c>
      <c r="H921" s="32">
        <v>1.0</v>
      </c>
    </row>
    <row r="922" ht="14.25" customHeight="1">
      <c r="A922" s="27" t="s">
        <v>300</v>
      </c>
      <c r="B922" s="27" t="s">
        <v>302</v>
      </c>
      <c r="C922" s="29" t="s">
        <v>43</v>
      </c>
      <c r="D922" s="99" t="s">
        <v>826</v>
      </c>
      <c r="E922" s="32">
        <v>1.0</v>
      </c>
      <c r="F922" s="32">
        <v>1.0</v>
      </c>
      <c r="G922" s="32">
        <v>1.0</v>
      </c>
      <c r="H922" s="32">
        <v>1.0</v>
      </c>
    </row>
    <row r="923" ht="14.25" customHeight="1">
      <c r="A923" s="27" t="s">
        <v>300</v>
      </c>
      <c r="B923" s="27" t="s">
        <v>303</v>
      </c>
      <c r="C923" s="29" t="s">
        <v>43</v>
      </c>
      <c r="D923" s="99" t="s">
        <v>826</v>
      </c>
      <c r="E923" s="32">
        <v>1.0</v>
      </c>
      <c r="F923" s="32">
        <v>1.0</v>
      </c>
      <c r="G923" s="32">
        <v>1.0</v>
      </c>
      <c r="H923" s="32">
        <v>1.0</v>
      </c>
    </row>
    <row r="924" ht="14.25" customHeight="1">
      <c r="A924" s="27" t="s">
        <v>300</v>
      </c>
      <c r="B924" s="27" t="s">
        <v>307</v>
      </c>
      <c r="C924" s="29" t="s">
        <v>43</v>
      </c>
      <c r="D924" s="99" t="s">
        <v>255</v>
      </c>
      <c r="E924" s="32">
        <v>17.0</v>
      </c>
      <c r="F924" s="32">
        <v>13.0</v>
      </c>
      <c r="G924" s="32">
        <v>17.0</v>
      </c>
      <c r="H924" s="32">
        <v>20.0</v>
      </c>
    </row>
    <row r="925" ht="14.25" customHeight="1">
      <c r="A925" s="13" t="s">
        <v>789</v>
      </c>
      <c r="B925" s="13" t="s">
        <v>827</v>
      </c>
      <c r="C925" s="127" t="s">
        <v>43</v>
      </c>
      <c r="D925" s="99" t="s">
        <v>828</v>
      </c>
      <c r="E925" s="32">
        <v>1.0</v>
      </c>
      <c r="F925" s="32">
        <v>1.0</v>
      </c>
      <c r="G925" s="32">
        <v>1.0</v>
      </c>
      <c r="H925" s="32">
        <v>1.0</v>
      </c>
    </row>
    <row r="926" ht="14.25" customHeight="1">
      <c r="A926" s="27" t="s">
        <v>678</v>
      </c>
      <c r="B926" s="125" t="s">
        <v>679</v>
      </c>
      <c r="C926" s="29" t="s">
        <v>43</v>
      </c>
      <c r="D926" s="29" t="s">
        <v>249</v>
      </c>
      <c r="E926" s="32">
        <v>1.0</v>
      </c>
      <c r="F926" s="32">
        <v>1.0</v>
      </c>
      <c r="G926" s="32">
        <v>1.0</v>
      </c>
      <c r="H926" s="32">
        <v>1.0</v>
      </c>
    </row>
    <row r="927" ht="14.25" customHeight="1">
      <c r="A927" s="27" t="s">
        <v>678</v>
      </c>
      <c r="B927" s="125" t="s">
        <v>680</v>
      </c>
      <c r="C927" s="29" t="s">
        <v>43</v>
      </c>
      <c r="D927" s="29" t="s">
        <v>249</v>
      </c>
      <c r="E927" s="32">
        <v>1.0</v>
      </c>
      <c r="F927" s="32">
        <v>1.0</v>
      </c>
      <c r="G927" s="32">
        <v>1.0</v>
      </c>
      <c r="H927" s="32">
        <v>1.0</v>
      </c>
    </row>
    <row r="928" ht="14.25" customHeight="1">
      <c r="A928" s="27" t="s">
        <v>249</v>
      </c>
      <c r="B928" s="125" t="s">
        <v>642</v>
      </c>
      <c r="C928" s="29" t="s">
        <v>43</v>
      </c>
      <c r="D928" s="29" t="s">
        <v>249</v>
      </c>
      <c r="E928" s="32">
        <v>1.0</v>
      </c>
      <c r="F928" s="32">
        <v>1.0</v>
      </c>
      <c r="G928" s="32">
        <v>1.0</v>
      </c>
      <c r="H928" s="32">
        <v>1.0</v>
      </c>
    </row>
    <row r="929" ht="14.25" customHeight="1">
      <c r="A929" s="27" t="s">
        <v>249</v>
      </c>
      <c r="B929" s="125" t="s">
        <v>643</v>
      </c>
      <c r="C929" s="29" t="s">
        <v>43</v>
      </c>
      <c r="D929" s="29" t="s">
        <v>249</v>
      </c>
      <c r="E929" s="32">
        <v>1.0</v>
      </c>
      <c r="F929" s="32">
        <v>1.0</v>
      </c>
      <c r="G929" s="32">
        <v>1.0</v>
      </c>
      <c r="H929" s="32">
        <v>1.0</v>
      </c>
    </row>
    <row r="930" ht="14.25" customHeight="1">
      <c r="A930" s="27" t="s">
        <v>249</v>
      </c>
      <c r="B930" s="125" t="s">
        <v>644</v>
      </c>
      <c r="C930" s="29" t="s">
        <v>43</v>
      </c>
      <c r="D930" s="29" t="s">
        <v>249</v>
      </c>
      <c r="E930" s="32">
        <v>1.0</v>
      </c>
      <c r="F930" s="32">
        <v>1.0</v>
      </c>
      <c r="G930" s="32">
        <v>1.0</v>
      </c>
      <c r="H930" s="32">
        <v>1.0</v>
      </c>
    </row>
    <row r="931" ht="14.25" customHeight="1">
      <c r="A931" s="27" t="s">
        <v>523</v>
      </c>
      <c r="B931" s="125" t="s">
        <v>524</v>
      </c>
      <c r="C931" s="29" t="s">
        <v>43</v>
      </c>
      <c r="D931" s="29" t="s">
        <v>249</v>
      </c>
      <c r="E931" s="32">
        <v>1.0</v>
      </c>
      <c r="F931" s="32">
        <v>1.0</v>
      </c>
      <c r="G931" s="32">
        <v>1.0</v>
      </c>
      <c r="H931" s="32">
        <v>1.0</v>
      </c>
    </row>
    <row r="932" ht="14.25" customHeight="1">
      <c r="A932" s="27" t="s">
        <v>488</v>
      </c>
      <c r="B932" s="125" t="s">
        <v>489</v>
      </c>
      <c r="C932" s="29" t="s">
        <v>43</v>
      </c>
      <c r="D932" s="29" t="s">
        <v>249</v>
      </c>
      <c r="E932" s="32">
        <v>1.0</v>
      </c>
      <c r="F932" s="32">
        <v>1.0</v>
      </c>
      <c r="G932" s="32">
        <v>1.0</v>
      </c>
      <c r="H932" s="32">
        <v>1.0</v>
      </c>
    </row>
    <row r="933" ht="14.25" customHeight="1">
      <c r="A933" s="27" t="s">
        <v>488</v>
      </c>
      <c r="B933" s="125" t="s">
        <v>490</v>
      </c>
      <c r="C933" s="29" t="s">
        <v>43</v>
      </c>
      <c r="D933" s="29" t="s">
        <v>249</v>
      </c>
      <c r="E933" s="32">
        <v>1.0</v>
      </c>
      <c r="F933" s="32">
        <v>1.0</v>
      </c>
      <c r="G933" s="32">
        <v>1.0</v>
      </c>
      <c r="H933" s="32">
        <v>1.0</v>
      </c>
    </row>
    <row r="934" ht="14.25" customHeight="1">
      <c r="A934" s="27" t="s">
        <v>417</v>
      </c>
      <c r="B934" s="125" t="s">
        <v>420</v>
      </c>
      <c r="C934" s="29" t="s">
        <v>43</v>
      </c>
      <c r="D934" s="29" t="s">
        <v>249</v>
      </c>
      <c r="E934" s="32">
        <v>1.0</v>
      </c>
      <c r="F934" s="32">
        <v>1.0</v>
      </c>
      <c r="G934" s="32">
        <v>1.0</v>
      </c>
      <c r="H934" s="32">
        <v>1.0</v>
      </c>
    </row>
    <row r="935" ht="14.25" customHeight="1">
      <c r="A935" s="27" t="s">
        <v>417</v>
      </c>
      <c r="B935" s="125" t="s">
        <v>421</v>
      </c>
      <c r="C935" s="29" t="s">
        <v>43</v>
      </c>
      <c r="D935" s="29" t="s">
        <v>249</v>
      </c>
      <c r="E935" s="32">
        <v>1.0</v>
      </c>
      <c r="F935" s="32">
        <v>1.0</v>
      </c>
      <c r="G935" s="32">
        <v>1.0</v>
      </c>
      <c r="H935" s="32">
        <v>1.0</v>
      </c>
    </row>
    <row r="936" ht="14.25" customHeight="1">
      <c r="A936" s="27" t="s">
        <v>678</v>
      </c>
      <c r="B936" s="27" t="s">
        <v>679</v>
      </c>
      <c r="C936" s="29" t="s">
        <v>43</v>
      </c>
      <c r="D936" s="99" t="s">
        <v>828</v>
      </c>
      <c r="E936" s="32">
        <v>24.0</v>
      </c>
      <c r="F936" s="32">
        <v>19.0</v>
      </c>
      <c r="G936" s="32">
        <v>24.0</v>
      </c>
      <c r="H936" s="32">
        <v>29.0</v>
      </c>
    </row>
    <row r="937" ht="14.25" customHeight="1">
      <c r="A937" s="27" t="s">
        <v>678</v>
      </c>
      <c r="B937" s="27" t="s">
        <v>680</v>
      </c>
      <c r="C937" s="29" t="s">
        <v>43</v>
      </c>
      <c r="D937" s="99" t="s">
        <v>828</v>
      </c>
      <c r="E937" s="32">
        <v>24.0</v>
      </c>
      <c r="F937" s="32">
        <v>19.0</v>
      </c>
      <c r="G937" s="32">
        <v>24.0</v>
      </c>
      <c r="H937" s="32">
        <v>29.0</v>
      </c>
    </row>
    <row r="938" ht="14.25" customHeight="1">
      <c r="A938" s="27" t="s">
        <v>829</v>
      </c>
      <c r="B938" s="27" t="s">
        <v>642</v>
      </c>
      <c r="C938" s="29" t="s">
        <v>43</v>
      </c>
      <c r="D938" s="99" t="s">
        <v>828</v>
      </c>
      <c r="E938" s="32">
        <v>1.0</v>
      </c>
      <c r="F938" s="32">
        <v>1.0</v>
      </c>
      <c r="G938" s="32">
        <v>1.0</v>
      </c>
      <c r="H938" s="32">
        <v>1.0</v>
      </c>
    </row>
    <row r="939" ht="14.25" customHeight="1">
      <c r="A939" s="27" t="s">
        <v>829</v>
      </c>
      <c r="B939" s="27" t="s">
        <v>643</v>
      </c>
      <c r="C939" s="29" t="s">
        <v>43</v>
      </c>
      <c r="D939" s="99" t="s">
        <v>828</v>
      </c>
      <c r="E939" s="32">
        <v>1.0</v>
      </c>
      <c r="F939" s="32">
        <v>1.0</v>
      </c>
      <c r="G939" s="32">
        <v>1.0</v>
      </c>
      <c r="H939" s="32">
        <v>1.0</v>
      </c>
    </row>
    <row r="940" ht="14.25" customHeight="1">
      <c r="A940" s="27" t="s">
        <v>829</v>
      </c>
      <c r="B940" s="27" t="s">
        <v>644</v>
      </c>
      <c r="C940" s="29" t="s">
        <v>43</v>
      </c>
      <c r="D940" s="99" t="s">
        <v>828</v>
      </c>
      <c r="E940" s="32">
        <v>1.0</v>
      </c>
      <c r="F940" s="32">
        <v>1.0</v>
      </c>
      <c r="G940" s="32">
        <v>1.0</v>
      </c>
      <c r="H940" s="32">
        <v>1.0</v>
      </c>
    </row>
    <row r="941" ht="14.25" customHeight="1">
      <c r="A941" s="27" t="s">
        <v>523</v>
      </c>
      <c r="B941" s="27" t="s">
        <v>524</v>
      </c>
      <c r="C941" s="29" t="s">
        <v>43</v>
      </c>
      <c r="D941" s="99" t="s">
        <v>249</v>
      </c>
      <c r="E941" s="32">
        <v>26.0</v>
      </c>
      <c r="F941" s="134">
        <v>21.0</v>
      </c>
      <c r="G941" s="32">
        <v>26.0</v>
      </c>
      <c r="H941" s="134">
        <v>31.0</v>
      </c>
    </row>
    <row r="942" ht="14.25" customHeight="1">
      <c r="A942" s="27" t="s">
        <v>488</v>
      </c>
      <c r="B942" s="27" t="s">
        <v>489</v>
      </c>
      <c r="C942" s="29" t="s">
        <v>43</v>
      </c>
      <c r="D942" s="99" t="s">
        <v>826</v>
      </c>
      <c r="E942" s="32">
        <v>30.0</v>
      </c>
      <c r="F942" s="32">
        <v>24.0</v>
      </c>
      <c r="G942" s="32">
        <v>30.0</v>
      </c>
      <c r="H942" s="32">
        <v>36.0</v>
      </c>
    </row>
    <row r="943" ht="14.25" customHeight="1">
      <c r="A943" s="27" t="s">
        <v>488</v>
      </c>
      <c r="B943" s="27" t="s">
        <v>490</v>
      </c>
      <c r="C943" s="29" t="s">
        <v>43</v>
      </c>
      <c r="D943" s="99" t="s">
        <v>826</v>
      </c>
      <c r="E943" s="32">
        <v>30.0</v>
      </c>
      <c r="F943" s="32">
        <v>24.0</v>
      </c>
      <c r="G943" s="32">
        <v>30.0</v>
      </c>
      <c r="H943" s="32">
        <v>36.0</v>
      </c>
    </row>
    <row r="944" ht="14.25" customHeight="1">
      <c r="A944" s="27" t="s">
        <v>488</v>
      </c>
      <c r="B944" s="27" t="s">
        <v>491</v>
      </c>
      <c r="C944" s="29" t="s">
        <v>43</v>
      </c>
      <c r="D944" s="99" t="s">
        <v>826</v>
      </c>
      <c r="E944" s="32">
        <v>30.0</v>
      </c>
      <c r="F944" s="32">
        <v>24.0</v>
      </c>
      <c r="G944" s="32">
        <v>30.0</v>
      </c>
      <c r="H944" s="32">
        <v>36.0</v>
      </c>
    </row>
    <row r="945" ht="14.25" customHeight="1">
      <c r="A945" s="13" t="s">
        <v>475</v>
      </c>
      <c r="B945" s="126" t="s">
        <v>830</v>
      </c>
      <c r="C945" s="127" t="s">
        <v>43</v>
      </c>
      <c r="D945" s="99" t="s">
        <v>249</v>
      </c>
      <c r="E945" s="32">
        <v>1.0</v>
      </c>
      <c r="F945" s="32">
        <v>1.0</v>
      </c>
      <c r="G945" s="32">
        <v>1.0</v>
      </c>
      <c r="H945" s="32">
        <v>1.0</v>
      </c>
    </row>
    <row r="946" ht="14.25" customHeight="1">
      <c r="A946" s="27" t="s">
        <v>474</v>
      </c>
      <c r="B946" s="27" t="s">
        <v>473</v>
      </c>
      <c r="C946" s="29" t="s">
        <v>43</v>
      </c>
      <c r="D946" s="99" t="s">
        <v>249</v>
      </c>
      <c r="E946" s="32">
        <v>15.0</v>
      </c>
      <c r="F946" s="32">
        <v>12.0</v>
      </c>
      <c r="G946" s="32">
        <v>15.0</v>
      </c>
      <c r="H946" s="32">
        <v>18.0</v>
      </c>
    </row>
    <row r="947" ht="14.25" customHeight="1">
      <c r="A947" s="27" t="s">
        <v>472</v>
      </c>
      <c r="B947" s="27" t="s">
        <v>473</v>
      </c>
      <c r="C947" s="29" t="s">
        <v>43</v>
      </c>
      <c r="D947" s="99" t="s">
        <v>249</v>
      </c>
      <c r="E947" s="32">
        <v>15.0</v>
      </c>
      <c r="F947" s="32">
        <v>12.0</v>
      </c>
      <c r="G947" s="32">
        <v>15.0</v>
      </c>
      <c r="H947" s="32">
        <v>18.0</v>
      </c>
    </row>
    <row r="948" ht="14.25" customHeight="1">
      <c r="A948" s="27" t="s">
        <v>300</v>
      </c>
      <c r="B948" s="27" t="s">
        <v>301</v>
      </c>
      <c r="C948" s="29" t="s">
        <v>43</v>
      </c>
      <c r="D948" s="99" t="s">
        <v>826</v>
      </c>
      <c r="E948" s="32">
        <v>1.0</v>
      </c>
      <c r="F948" s="32">
        <v>1.0</v>
      </c>
      <c r="G948" s="32">
        <v>1.0</v>
      </c>
      <c r="H948" s="32">
        <v>1.0</v>
      </c>
    </row>
    <row r="949" ht="14.25" customHeight="1">
      <c r="A949" s="27" t="s">
        <v>300</v>
      </c>
      <c r="B949" s="27" t="s">
        <v>302</v>
      </c>
      <c r="C949" s="29" t="s">
        <v>43</v>
      </c>
      <c r="D949" s="99" t="s">
        <v>826</v>
      </c>
      <c r="E949" s="32">
        <v>1.0</v>
      </c>
      <c r="F949" s="32">
        <v>1.0</v>
      </c>
      <c r="G949" s="32">
        <v>1.0</v>
      </c>
      <c r="H949" s="32">
        <v>1.0</v>
      </c>
    </row>
    <row r="950" ht="14.25" customHeight="1">
      <c r="A950" s="27" t="s">
        <v>300</v>
      </c>
      <c r="B950" s="27" t="s">
        <v>303</v>
      </c>
      <c r="C950" s="29" t="s">
        <v>43</v>
      </c>
      <c r="D950" s="99" t="s">
        <v>826</v>
      </c>
      <c r="E950" s="32">
        <v>1.0</v>
      </c>
      <c r="F950" s="32">
        <v>1.0</v>
      </c>
      <c r="G950" s="32">
        <v>1.0</v>
      </c>
      <c r="H950" s="32">
        <v>1.0</v>
      </c>
    </row>
    <row r="951" ht="14.25" customHeight="1">
      <c r="A951" s="13" t="s">
        <v>789</v>
      </c>
      <c r="B951" s="13" t="s">
        <v>827</v>
      </c>
      <c r="C951" s="127" t="s">
        <v>43</v>
      </c>
      <c r="D951" s="99" t="s">
        <v>828</v>
      </c>
      <c r="E951" s="32">
        <v>1.0</v>
      </c>
      <c r="F951" s="32">
        <v>1.0</v>
      </c>
      <c r="G951" s="32">
        <v>1.0</v>
      </c>
      <c r="H951" s="32">
        <v>1.0</v>
      </c>
    </row>
    <row r="952" ht="14.25" customHeight="1">
      <c r="A952" s="13" t="s">
        <v>789</v>
      </c>
      <c r="B952" s="13" t="s">
        <v>831</v>
      </c>
      <c r="C952" s="127" t="s">
        <v>43</v>
      </c>
      <c r="D952" s="99" t="s">
        <v>828</v>
      </c>
      <c r="E952" s="32">
        <v>1.0</v>
      </c>
      <c r="F952" s="32">
        <v>1.0</v>
      </c>
      <c r="G952" s="32">
        <v>1.0</v>
      </c>
      <c r="H952" s="32">
        <v>1.0</v>
      </c>
    </row>
    <row r="953" ht="14.25" customHeight="1">
      <c r="A953" s="13" t="s">
        <v>300</v>
      </c>
      <c r="B953" s="13" t="s">
        <v>832</v>
      </c>
      <c r="C953" s="127" t="s">
        <v>43</v>
      </c>
      <c r="D953" s="99" t="s">
        <v>828</v>
      </c>
      <c r="E953" s="32">
        <v>1.0</v>
      </c>
      <c r="F953" s="32">
        <v>1.0</v>
      </c>
      <c r="G953" s="32">
        <v>1.0</v>
      </c>
      <c r="H953" s="32">
        <v>1.0</v>
      </c>
    </row>
    <row r="954" ht="14.25" customHeight="1">
      <c r="A954" s="140" t="s">
        <v>417</v>
      </c>
      <c r="B954" s="140" t="s">
        <v>833</v>
      </c>
      <c r="C954" s="7" t="s">
        <v>43</v>
      </c>
      <c r="D954" s="99" t="s">
        <v>828</v>
      </c>
      <c r="E954" s="32">
        <v>1.0</v>
      </c>
      <c r="F954" s="130">
        <v>1.0</v>
      </c>
      <c r="G954" s="32">
        <v>1.0</v>
      </c>
      <c r="H954" s="130">
        <v>1.0</v>
      </c>
    </row>
    <row r="955" ht="14.25" customHeight="1">
      <c r="A955" s="140" t="s">
        <v>417</v>
      </c>
      <c r="B955" s="140" t="s">
        <v>834</v>
      </c>
      <c r="C955" s="7" t="s">
        <v>43</v>
      </c>
      <c r="D955" s="99" t="s">
        <v>828</v>
      </c>
      <c r="E955" s="32">
        <v>1.0</v>
      </c>
      <c r="F955" s="130">
        <v>1.0</v>
      </c>
      <c r="G955" s="32">
        <v>1.0</v>
      </c>
      <c r="H955" s="130">
        <v>1.0</v>
      </c>
    </row>
    <row r="956" ht="14.25" customHeight="1">
      <c r="A956" s="140" t="s">
        <v>417</v>
      </c>
      <c r="B956" s="140" t="s">
        <v>835</v>
      </c>
      <c r="C956" s="7" t="s">
        <v>43</v>
      </c>
      <c r="D956" s="99" t="s">
        <v>828</v>
      </c>
      <c r="E956" s="32">
        <v>1.0</v>
      </c>
      <c r="F956" s="130">
        <v>1.0</v>
      </c>
      <c r="G956" s="32">
        <v>1.0</v>
      </c>
      <c r="H956" s="130">
        <v>1.0</v>
      </c>
    </row>
    <row r="957" ht="14.25" customHeight="1">
      <c r="A957" s="140" t="s">
        <v>417</v>
      </c>
      <c r="B957" s="140" t="s">
        <v>835</v>
      </c>
      <c r="C957" s="7" t="s">
        <v>43</v>
      </c>
      <c r="D957" s="99" t="s">
        <v>828</v>
      </c>
      <c r="E957" s="32">
        <v>1.0</v>
      </c>
      <c r="F957" s="130">
        <v>1.0</v>
      </c>
      <c r="G957" s="32">
        <v>1.0</v>
      </c>
      <c r="H957" s="130">
        <v>1.0</v>
      </c>
    </row>
    <row r="958" ht="14.25" customHeight="1">
      <c r="A958" s="131" t="s">
        <v>309</v>
      </c>
      <c r="B958" s="131" t="s">
        <v>836</v>
      </c>
      <c r="C958" s="7" t="s">
        <v>43</v>
      </c>
      <c r="D958" s="99" t="s">
        <v>828</v>
      </c>
      <c r="E958" s="32">
        <v>1.0</v>
      </c>
      <c r="F958" s="130">
        <v>1.0</v>
      </c>
      <c r="G958" s="32">
        <v>1.0</v>
      </c>
      <c r="H958" s="130">
        <v>1.0</v>
      </c>
    </row>
    <row r="959" ht="14.25" customHeight="1">
      <c r="A959" s="131" t="s">
        <v>309</v>
      </c>
      <c r="B959" s="131" t="s">
        <v>836</v>
      </c>
      <c r="C959" s="7" t="s">
        <v>43</v>
      </c>
      <c r="D959" s="99" t="s">
        <v>828</v>
      </c>
      <c r="E959" s="32">
        <v>1.0</v>
      </c>
      <c r="F959" s="130">
        <v>1.0</v>
      </c>
      <c r="G959" s="32">
        <v>1.0</v>
      </c>
      <c r="H959" s="130">
        <v>1.0</v>
      </c>
    </row>
    <row r="960" ht="14.25" customHeight="1">
      <c r="A960" s="110" t="s">
        <v>98</v>
      </c>
      <c r="B960" s="110" t="s">
        <v>837</v>
      </c>
      <c r="C960" s="99" t="s">
        <v>43</v>
      </c>
      <c r="D960" s="99" t="s">
        <v>255</v>
      </c>
      <c r="E960" s="32">
        <v>16.0</v>
      </c>
      <c r="F960" s="128">
        <v>8.0</v>
      </c>
      <c r="G960" s="32">
        <v>18.0</v>
      </c>
      <c r="H960" s="128">
        <v>22.0</v>
      </c>
    </row>
    <row r="961" ht="14.25" customHeight="1">
      <c r="A961" s="13" t="s">
        <v>475</v>
      </c>
      <c r="B961" s="126" t="s">
        <v>830</v>
      </c>
      <c r="C961" s="127" t="s">
        <v>43</v>
      </c>
      <c r="D961" s="99" t="s">
        <v>249</v>
      </c>
      <c r="E961" s="32">
        <v>1.0</v>
      </c>
      <c r="F961" s="32">
        <v>1.0</v>
      </c>
      <c r="G961" s="32">
        <v>1.0</v>
      </c>
      <c r="H961" s="32">
        <v>1.0</v>
      </c>
    </row>
    <row r="962" ht="14.25" customHeight="1">
      <c r="A962" s="13" t="s">
        <v>309</v>
      </c>
      <c r="B962" s="126" t="s">
        <v>830</v>
      </c>
      <c r="C962" s="127" t="s">
        <v>43</v>
      </c>
      <c r="D962" s="99" t="s">
        <v>264</v>
      </c>
      <c r="E962" s="32">
        <v>1.0</v>
      </c>
      <c r="F962" s="32">
        <v>1.0</v>
      </c>
      <c r="G962" s="32">
        <v>1.0</v>
      </c>
      <c r="H962" s="32">
        <v>1.0</v>
      </c>
    </row>
    <row r="963" ht="14.25" customHeight="1">
      <c r="A963" s="13" t="s">
        <v>309</v>
      </c>
      <c r="B963" s="126" t="s">
        <v>838</v>
      </c>
      <c r="C963" s="127" t="s">
        <v>43</v>
      </c>
      <c r="D963" s="99" t="s">
        <v>264</v>
      </c>
      <c r="E963" s="32">
        <v>1.0</v>
      </c>
      <c r="F963" s="32">
        <v>1.0</v>
      </c>
      <c r="G963" s="32">
        <v>1.0</v>
      </c>
      <c r="H963" s="32">
        <v>1.0</v>
      </c>
    </row>
    <row r="964" ht="14.25" customHeight="1">
      <c r="A964" s="131" t="s">
        <v>309</v>
      </c>
      <c r="B964" s="131" t="s">
        <v>839</v>
      </c>
      <c r="C964" s="127" t="s">
        <v>43</v>
      </c>
      <c r="D964" s="99" t="s">
        <v>264</v>
      </c>
      <c r="E964" s="130">
        <v>1.0</v>
      </c>
      <c r="F964" s="130">
        <v>1.0</v>
      </c>
      <c r="G964" s="32">
        <v>1.0</v>
      </c>
      <c r="H964" s="130">
        <v>1.0</v>
      </c>
    </row>
    <row r="965" ht="14.25" customHeight="1">
      <c r="A965" s="27" t="s">
        <v>309</v>
      </c>
      <c r="B965" s="125" t="s">
        <v>310</v>
      </c>
      <c r="C965" s="29" t="s">
        <v>43</v>
      </c>
      <c r="D965" s="29" t="s">
        <v>264</v>
      </c>
      <c r="E965" s="32">
        <v>1.0</v>
      </c>
      <c r="F965" s="32">
        <v>1.0</v>
      </c>
      <c r="G965" s="32">
        <v>1.0</v>
      </c>
      <c r="H965" s="32">
        <v>1.0</v>
      </c>
    </row>
    <row r="966" ht="14.25" customHeight="1">
      <c r="A966" s="27" t="s">
        <v>309</v>
      </c>
      <c r="B966" s="125" t="s">
        <v>312</v>
      </c>
      <c r="C966" s="29" t="s">
        <v>43</v>
      </c>
      <c r="D966" s="29" t="s">
        <v>264</v>
      </c>
      <c r="E966" s="32">
        <v>1.0</v>
      </c>
      <c r="F966" s="32">
        <v>1.0</v>
      </c>
      <c r="G966" s="32">
        <v>1.0</v>
      </c>
      <c r="H966" s="32">
        <v>1.0</v>
      </c>
    </row>
    <row r="967" ht="14.25" customHeight="1">
      <c r="A967" s="27" t="s">
        <v>309</v>
      </c>
      <c r="B967" s="125" t="s">
        <v>313</v>
      </c>
      <c r="C967" s="29" t="s">
        <v>43</v>
      </c>
      <c r="D967" s="29" t="s">
        <v>264</v>
      </c>
      <c r="E967" s="32">
        <v>1.0</v>
      </c>
      <c r="F967" s="32">
        <v>1.0</v>
      </c>
      <c r="G967" s="32">
        <v>1.0</v>
      </c>
      <c r="H967" s="32">
        <v>1.0</v>
      </c>
    </row>
    <row r="968" ht="14.25" customHeight="1">
      <c r="A968" s="27" t="s">
        <v>138</v>
      </c>
      <c r="B968" s="125" t="s">
        <v>140</v>
      </c>
      <c r="C968" s="29" t="s">
        <v>43</v>
      </c>
      <c r="D968" s="29" t="s">
        <v>264</v>
      </c>
      <c r="E968" s="32">
        <v>1.0</v>
      </c>
      <c r="F968" s="32">
        <v>1.0</v>
      </c>
      <c r="G968" s="32">
        <v>1.0</v>
      </c>
      <c r="H968" s="32">
        <v>1.0</v>
      </c>
    </row>
    <row r="969" ht="14.25" customHeight="1">
      <c r="A969" s="27" t="s">
        <v>309</v>
      </c>
      <c r="B969" s="125" t="s">
        <v>314</v>
      </c>
      <c r="C969" s="29" t="s">
        <v>43</v>
      </c>
      <c r="D969" s="29" t="s">
        <v>264</v>
      </c>
      <c r="E969" s="32">
        <v>1.0</v>
      </c>
      <c r="F969" s="32">
        <v>1.0</v>
      </c>
      <c r="G969" s="32">
        <v>1.0</v>
      </c>
      <c r="H969" s="32">
        <v>1.0</v>
      </c>
    </row>
    <row r="970" ht="14.25" customHeight="1">
      <c r="A970" s="27" t="s">
        <v>309</v>
      </c>
      <c r="B970" s="125" t="s">
        <v>315</v>
      </c>
      <c r="C970" s="29" t="s">
        <v>43</v>
      </c>
      <c r="D970" s="29" t="s">
        <v>264</v>
      </c>
      <c r="E970" s="32">
        <v>1.0</v>
      </c>
      <c r="F970" s="32">
        <v>1.0</v>
      </c>
      <c r="G970" s="32">
        <v>1.0</v>
      </c>
      <c r="H970" s="32">
        <v>1.0</v>
      </c>
    </row>
    <row r="971" ht="14.25" customHeight="1">
      <c r="A971" s="27" t="s">
        <v>309</v>
      </c>
      <c r="B971" s="125" t="s">
        <v>316</v>
      </c>
      <c r="C971" s="29" t="s">
        <v>43</v>
      </c>
      <c r="D971" s="29" t="s">
        <v>264</v>
      </c>
      <c r="E971" s="32">
        <v>1.0</v>
      </c>
      <c r="F971" s="32">
        <v>1.0</v>
      </c>
      <c r="G971" s="32">
        <v>1.0</v>
      </c>
      <c r="H971" s="32">
        <v>1.0</v>
      </c>
    </row>
    <row r="972" ht="14.25" customHeight="1">
      <c r="A972" s="27" t="s">
        <v>592</v>
      </c>
      <c r="B972" s="125" t="s">
        <v>592</v>
      </c>
      <c r="C972" s="29" t="s">
        <v>43</v>
      </c>
      <c r="D972" s="29" t="s">
        <v>264</v>
      </c>
      <c r="E972" s="32">
        <v>1.0</v>
      </c>
      <c r="F972" s="32">
        <v>1.0</v>
      </c>
      <c r="G972" s="32">
        <v>1.0</v>
      </c>
      <c r="H972" s="32">
        <v>1.0</v>
      </c>
    </row>
    <row r="973" ht="14.25" customHeight="1">
      <c r="A973" s="27" t="s">
        <v>588</v>
      </c>
      <c r="B973" s="125" t="s">
        <v>588</v>
      </c>
      <c r="C973" s="29" t="s">
        <v>43</v>
      </c>
      <c r="D973" s="29" t="s">
        <v>264</v>
      </c>
      <c r="E973" s="32">
        <v>1.0</v>
      </c>
      <c r="F973" s="32">
        <v>1.0</v>
      </c>
      <c r="G973" s="32">
        <v>1.0</v>
      </c>
      <c r="H973" s="32">
        <v>1.0</v>
      </c>
    </row>
    <row r="974" ht="14.25" customHeight="1">
      <c r="A974" s="27" t="s">
        <v>562</v>
      </c>
      <c r="B974" s="125" t="s">
        <v>562</v>
      </c>
      <c r="C974" s="29" t="s">
        <v>43</v>
      </c>
      <c r="D974" s="29" t="s">
        <v>264</v>
      </c>
      <c r="E974" s="32">
        <v>1.0</v>
      </c>
      <c r="F974" s="32">
        <v>1.0</v>
      </c>
      <c r="G974" s="32">
        <v>1.0</v>
      </c>
      <c r="H974" s="32">
        <v>1.0</v>
      </c>
    </row>
    <row r="975" ht="14.25" customHeight="1">
      <c r="A975" s="27" t="s">
        <v>405</v>
      </c>
      <c r="B975" s="125" t="s">
        <v>405</v>
      </c>
      <c r="C975" s="29" t="s">
        <v>43</v>
      </c>
      <c r="D975" s="29" t="s">
        <v>264</v>
      </c>
      <c r="E975" s="32">
        <v>1.0</v>
      </c>
      <c r="F975" s="32">
        <v>1.0</v>
      </c>
      <c r="G975" s="32">
        <v>1.0</v>
      </c>
      <c r="H975" s="32">
        <v>1.0</v>
      </c>
    </row>
    <row r="976" ht="14.25" customHeight="1">
      <c r="A976" s="27" t="s">
        <v>309</v>
      </c>
      <c r="B976" s="125" t="s">
        <v>309</v>
      </c>
      <c r="C976" s="29" t="s">
        <v>43</v>
      </c>
      <c r="D976" s="29" t="s">
        <v>264</v>
      </c>
      <c r="E976" s="32">
        <v>1.0</v>
      </c>
      <c r="F976" s="32">
        <v>1.0</v>
      </c>
      <c r="G976" s="32">
        <v>1.0</v>
      </c>
      <c r="H976" s="32">
        <v>1.0</v>
      </c>
    </row>
    <row r="977" ht="14.25" customHeight="1">
      <c r="A977" s="27" t="s">
        <v>138</v>
      </c>
      <c r="B977" s="125" t="s">
        <v>138</v>
      </c>
      <c r="C977" s="29" t="s">
        <v>43</v>
      </c>
      <c r="D977" s="29" t="s">
        <v>264</v>
      </c>
      <c r="E977" s="32">
        <v>1.0</v>
      </c>
      <c r="F977" s="32">
        <v>1.0</v>
      </c>
      <c r="G977" s="32">
        <v>1.0</v>
      </c>
      <c r="H977" s="32">
        <v>1.0</v>
      </c>
    </row>
    <row r="978" ht="14.25" customHeight="1">
      <c r="A978" s="27" t="s">
        <v>607</v>
      </c>
      <c r="B978" s="125" t="s">
        <v>607</v>
      </c>
      <c r="C978" s="29" t="s">
        <v>43</v>
      </c>
      <c r="D978" s="29" t="s">
        <v>264</v>
      </c>
      <c r="E978" s="32">
        <v>1.0</v>
      </c>
      <c r="F978" s="32">
        <v>1.0</v>
      </c>
      <c r="G978" s="32">
        <v>1.0</v>
      </c>
      <c r="H978" s="32">
        <v>1.0</v>
      </c>
    </row>
    <row r="979" ht="14.25" customHeight="1">
      <c r="A979" s="27" t="s">
        <v>505</v>
      </c>
      <c r="B979" s="125" t="s">
        <v>506</v>
      </c>
      <c r="C979" s="29" t="s">
        <v>43</v>
      </c>
      <c r="D979" s="29" t="s">
        <v>264</v>
      </c>
      <c r="E979" s="32">
        <v>1.0</v>
      </c>
      <c r="F979" s="32">
        <v>1.0</v>
      </c>
      <c r="G979" s="32">
        <v>1.0</v>
      </c>
      <c r="H979" s="32">
        <v>1.0</v>
      </c>
    </row>
    <row r="980" ht="14.25" customHeight="1">
      <c r="A980" s="27" t="s">
        <v>478</v>
      </c>
      <c r="B980" s="125" t="s">
        <v>479</v>
      </c>
      <c r="C980" s="29" t="s">
        <v>43</v>
      </c>
      <c r="D980" s="29" t="s">
        <v>264</v>
      </c>
      <c r="E980" s="32">
        <v>1.0</v>
      </c>
      <c r="F980" s="32">
        <v>1.0</v>
      </c>
      <c r="G980" s="32">
        <v>1.0</v>
      </c>
      <c r="H980" s="32">
        <v>1.0</v>
      </c>
    </row>
    <row r="981" ht="14.25" customHeight="1">
      <c r="A981" s="27" t="s">
        <v>478</v>
      </c>
      <c r="B981" s="125" t="s">
        <v>480</v>
      </c>
      <c r="C981" s="29" t="s">
        <v>43</v>
      </c>
      <c r="D981" s="29" t="s">
        <v>264</v>
      </c>
      <c r="E981" s="32">
        <v>1.0</v>
      </c>
      <c r="F981" s="32">
        <v>1.0</v>
      </c>
      <c r="G981" s="32">
        <v>1.0</v>
      </c>
      <c r="H981" s="32">
        <v>1.0</v>
      </c>
    </row>
    <row r="982" ht="14.25" customHeight="1">
      <c r="A982" s="27" t="s">
        <v>478</v>
      </c>
      <c r="B982" s="125" t="s">
        <v>481</v>
      </c>
      <c r="C982" s="29" t="s">
        <v>43</v>
      </c>
      <c r="D982" s="29" t="s">
        <v>264</v>
      </c>
      <c r="E982" s="32">
        <v>1.0</v>
      </c>
      <c r="F982" s="32">
        <v>1.0</v>
      </c>
      <c r="G982" s="32">
        <v>1.0</v>
      </c>
      <c r="H982" s="32">
        <v>1.0</v>
      </c>
    </row>
    <row r="983" ht="14.25" customHeight="1">
      <c r="A983" s="27" t="s">
        <v>478</v>
      </c>
      <c r="B983" s="125" t="s">
        <v>482</v>
      </c>
      <c r="C983" s="29" t="s">
        <v>43</v>
      </c>
      <c r="D983" s="29" t="s">
        <v>264</v>
      </c>
      <c r="E983" s="32">
        <v>1.0</v>
      </c>
      <c r="F983" s="32">
        <v>1.0</v>
      </c>
      <c r="G983" s="32">
        <v>1.0</v>
      </c>
      <c r="H983" s="32">
        <v>1.0</v>
      </c>
    </row>
    <row r="984" ht="14.25" customHeight="1">
      <c r="A984" s="27" t="s">
        <v>478</v>
      </c>
      <c r="B984" s="125" t="s">
        <v>483</v>
      </c>
      <c r="C984" s="29" t="s">
        <v>43</v>
      </c>
      <c r="D984" s="29" t="s">
        <v>264</v>
      </c>
      <c r="E984" s="32">
        <v>1.0</v>
      </c>
      <c r="F984" s="32">
        <v>1.0</v>
      </c>
      <c r="G984" s="32">
        <v>1.0</v>
      </c>
      <c r="H984" s="32">
        <v>1.0</v>
      </c>
    </row>
    <row r="985" ht="14.25" customHeight="1">
      <c r="A985" s="27" t="s">
        <v>478</v>
      </c>
      <c r="B985" s="125" t="s">
        <v>484</v>
      </c>
      <c r="C985" s="29" t="s">
        <v>43</v>
      </c>
      <c r="D985" s="29" t="s">
        <v>264</v>
      </c>
      <c r="E985" s="32">
        <v>1.0</v>
      </c>
      <c r="F985" s="32">
        <v>1.0</v>
      </c>
      <c r="G985" s="32">
        <v>1.0</v>
      </c>
      <c r="H985" s="32">
        <v>1.0</v>
      </c>
    </row>
    <row r="986" ht="14.25" customHeight="1">
      <c r="A986" s="27" t="s">
        <v>478</v>
      </c>
      <c r="B986" s="125" t="s">
        <v>485</v>
      </c>
      <c r="C986" s="29" t="s">
        <v>43</v>
      </c>
      <c r="D986" s="29" t="s">
        <v>264</v>
      </c>
      <c r="E986" s="32">
        <v>1.0</v>
      </c>
      <c r="F986" s="32">
        <v>1.0</v>
      </c>
      <c r="G986" s="32">
        <v>1.0</v>
      </c>
      <c r="H986" s="32">
        <v>1.0</v>
      </c>
    </row>
    <row r="987" ht="14.25" customHeight="1">
      <c r="A987" s="27" t="s">
        <v>478</v>
      </c>
      <c r="B987" s="125" t="s">
        <v>486</v>
      </c>
      <c r="C987" s="29" t="s">
        <v>43</v>
      </c>
      <c r="D987" s="29" t="s">
        <v>264</v>
      </c>
      <c r="E987" s="32">
        <v>1.0</v>
      </c>
      <c r="F987" s="32">
        <v>1.0</v>
      </c>
      <c r="G987" s="32">
        <v>1.0</v>
      </c>
      <c r="H987" s="32">
        <v>1.0</v>
      </c>
    </row>
    <row r="988" ht="14.25" customHeight="1">
      <c r="A988" s="27" t="s">
        <v>478</v>
      </c>
      <c r="B988" s="125" t="s">
        <v>487</v>
      </c>
      <c r="C988" s="29" t="s">
        <v>43</v>
      </c>
      <c r="D988" s="29" t="s">
        <v>264</v>
      </c>
      <c r="E988" s="32">
        <v>1.0</v>
      </c>
      <c r="F988" s="32">
        <v>1.0</v>
      </c>
      <c r="G988" s="32">
        <v>1.0</v>
      </c>
      <c r="H988" s="32">
        <v>1.0</v>
      </c>
    </row>
    <row r="989" ht="14.25" customHeight="1">
      <c r="A989" s="27" t="s">
        <v>295</v>
      </c>
      <c r="B989" s="125" t="s">
        <v>296</v>
      </c>
      <c r="C989" s="29" t="s">
        <v>43</v>
      </c>
      <c r="D989" s="29" t="s">
        <v>264</v>
      </c>
      <c r="E989" s="32">
        <v>1.0</v>
      </c>
      <c r="F989" s="32">
        <v>1.0</v>
      </c>
      <c r="G989" s="32">
        <v>1.0</v>
      </c>
      <c r="H989" s="32">
        <v>1.0</v>
      </c>
    </row>
    <row r="990" ht="14.25" customHeight="1">
      <c r="A990" s="27" t="s">
        <v>295</v>
      </c>
      <c r="B990" s="125" t="s">
        <v>297</v>
      </c>
      <c r="C990" s="29" t="s">
        <v>43</v>
      </c>
      <c r="D990" s="29" t="s">
        <v>264</v>
      </c>
      <c r="E990" s="32">
        <v>1.0</v>
      </c>
      <c r="F990" s="32">
        <v>1.0</v>
      </c>
      <c r="G990" s="32">
        <v>1.0</v>
      </c>
      <c r="H990" s="32">
        <v>1.0</v>
      </c>
    </row>
    <row r="991" ht="14.25" customHeight="1">
      <c r="A991" s="27" t="s">
        <v>175</v>
      </c>
      <c r="B991" s="125" t="s">
        <v>176</v>
      </c>
      <c r="C991" s="29" t="s">
        <v>43</v>
      </c>
      <c r="D991" s="29" t="s">
        <v>264</v>
      </c>
      <c r="E991" s="32">
        <v>1.0</v>
      </c>
      <c r="F991" s="32">
        <v>1.0</v>
      </c>
      <c r="G991" s="32">
        <v>1.0</v>
      </c>
      <c r="H991" s="32">
        <v>1.0</v>
      </c>
    </row>
    <row r="992" ht="14.25" customHeight="1">
      <c r="A992" s="27" t="s">
        <v>175</v>
      </c>
      <c r="B992" s="125" t="s">
        <v>177</v>
      </c>
      <c r="C992" s="29" t="s">
        <v>43</v>
      </c>
      <c r="D992" s="29" t="s">
        <v>264</v>
      </c>
      <c r="E992" s="32">
        <v>1.0</v>
      </c>
      <c r="F992" s="32">
        <v>1.0</v>
      </c>
      <c r="G992" s="32">
        <v>1.0</v>
      </c>
      <c r="H992" s="32">
        <v>1.0</v>
      </c>
    </row>
    <row r="993" ht="14.25" customHeight="1">
      <c r="A993" s="27" t="s">
        <v>175</v>
      </c>
      <c r="B993" s="125" t="s">
        <v>178</v>
      </c>
      <c r="C993" s="29" t="s">
        <v>43</v>
      </c>
      <c r="D993" s="29" t="s">
        <v>264</v>
      </c>
      <c r="E993" s="32">
        <v>1.0</v>
      </c>
      <c r="F993" s="32">
        <v>1.0</v>
      </c>
      <c r="G993" s="32">
        <v>1.0</v>
      </c>
      <c r="H993" s="32">
        <v>1.0</v>
      </c>
    </row>
    <row r="994" ht="14.25" customHeight="1">
      <c r="A994" s="27" t="s">
        <v>175</v>
      </c>
      <c r="B994" s="125" t="s">
        <v>179</v>
      </c>
      <c r="C994" s="29" t="s">
        <v>43</v>
      </c>
      <c r="D994" s="29" t="s">
        <v>264</v>
      </c>
      <c r="E994" s="32">
        <v>1.0</v>
      </c>
      <c r="F994" s="32">
        <v>1.0</v>
      </c>
      <c r="G994" s="32">
        <v>1.0</v>
      </c>
      <c r="H994" s="32">
        <v>1.0</v>
      </c>
    </row>
    <row r="995" ht="14.25" customHeight="1">
      <c r="A995" s="27" t="s">
        <v>175</v>
      </c>
      <c r="B995" s="125" t="s">
        <v>180</v>
      </c>
      <c r="C995" s="29" t="s">
        <v>43</v>
      </c>
      <c r="D995" s="29" t="s">
        <v>264</v>
      </c>
      <c r="E995" s="32">
        <v>1.0</v>
      </c>
      <c r="F995" s="32">
        <v>1.0</v>
      </c>
      <c r="G995" s="32">
        <v>1.0</v>
      </c>
      <c r="H995" s="32">
        <v>1.0</v>
      </c>
    </row>
    <row r="996" ht="14.25" customHeight="1">
      <c r="A996" s="27" t="s">
        <v>175</v>
      </c>
      <c r="B996" s="125" t="s">
        <v>181</v>
      </c>
      <c r="C996" s="29" t="s">
        <v>43</v>
      </c>
      <c r="D996" s="29" t="s">
        <v>264</v>
      </c>
      <c r="E996" s="32">
        <v>1.0</v>
      </c>
      <c r="F996" s="32">
        <v>1.0</v>
      </c>
      <c r="G996" s="32">
        <v>1.0</v>
      </c>
      <c r="H996" s="32">
        <v>1.0</v>
      </c>
    </row>
    <row r="997" ht="14.25" customHeight="1">
      <c r="A997" s="27" t="s">
        <v>175</v>
      </c>
      <c r="B997" s="125" t="s">
        <v>182</v>
      </c>
      <c r="C997" s="29" t="s">
        <v>43</v>
      </c>
      <c r="D997" s="29" t="s">
        <v>264</v>
      </c>
      <c r="E997" s="32">
        <v>1.0</v>
      </c>
      <c r="F997" s="32">
        <v>1.0</v>
      </c>
      <c r="G997" s="32">
        <v>1.0</v>
      </c>
      <c r="H997" s="32">
        <v>1.0</v>
      </c>
    </row>
    <row r="998" ht="14.25" customHeight="1">
      <c r="A998" s="27" t="s">
        <v>175</v>
      </c>
      <c r="B998" s="125" t="s">
        <v>183</v>
      </c>
      <c r="C998" s="29" t="s">
        <v>43</v>
      </c>
      <c r="D998" s="29" t="s">
        <v>264</v>
      </c>
      <c r="E998" s="32">
        <v>1.0</v>
      </c>
      <c r="F998" s="32">
        <v>1.0</v>
      </c>
      <c r="G998" s="32">
        <v>1.0</v>
      </c>
      <c r="H998" s="32">
        <v>1.0</v>
      </c>
    </row>
    <row r="999" ht="14.25" customHeight="1">
      <c r="A999" s="27" t="s">
        <v>175</v>
      </c>
      <c r="B999" s="125" t="s">
        <v>184</v>
      </c>
      <c r="C999" s="29" t="s">
        <v>43</v>
      </c>
      <c r="D999" s="29" t="s">
        <v>264</v>
      </c>
      <c r="E999" s="32">
        <v>1.0</v>
      </c>
      <c r="F999" s="32">
        <v>1.0</v>
      </c>
      <c r="G999" s="32">
        <v>1.0</v>
      </c>
      <c r="H999" s="32">
        <v>1.0</v>
      </c>
    </row>
    <row r="1000" ht="14.25" customHeight="1">
      <c r="A1000" s="27" t="s">
        <v>175</v>
      </c>
      <c r="B1000" s="125" t="s">
        <v>186</v>
      </c>
      <c r="C1000" s="29" t="s">
        <v>43</v>
      </c>
      <c r="D1000" s="29" t="s">
        <v>264</v>
      </c>
      <c r="E1000" s="32">
        <v>1.0</v>
      </c>
      <c r="F1000" s="32">
        <v>1.0</v>
      </c>
      <c r="G1000" s="32">
        <v>1.0</v>
      </c>
      <c r="H1000" s="32">
        <v>1.0</v>
      </c>
    </row>
    <row r="1001" ht="14.25" customHeight="1">
      <c r="A1001" s="27" t="s">
        <v>175</v>
      </c>
      <c r="B1001" s="125" t="s">
        <v>187</v>
      </c>
      <c r="C1001" s="29" t="s">
        <v>43</v>
      </c>
      <c r="D1001" s="29" t="s">
        <v>264</v>
      </c>
      <c r="E1001" s="32">
        <v>1.0</v>
      </c>
      <c r="F1001" s="32">
        <v>1.0</v>
      </c>
      <c r="G1001" s="32">
        <v>1.0</v>
      </c>
      <c r="H1001" s="32">
        <v>1.0</v>
      </c>
    </row>
    <row r="1002" ht="14.25" customHeight="1">
      <c r="A1002" s="27" t="s">
        <v>175</v>
      </c>
      <c r="B1002" s="125" t="s">
        <v>188</v>
      </c>
      <c r="C1002" s="29" t="s">
        <v>43</v>
      </c>
      <c r="D1002" s="29" t="s">
        <v>264</v>
      </c>
      <c r="E1002" s="32">
        <v>1.0</v>
      </c>
      <c r="F1002" s="32">
        <v>1.0</v>
      </c>
      <c r="G1002" s="32">
        <v>1.0</v>
      </c>
      <c r="H1002" s="32">
        <v>1.0</v>
      </c>
    </row>
    <row r="1003" ht="14.25" customHeight="1">
      <c r="A1003" s="27" t="s">
        <v>175</v>
      </c>
      <c r="B1003" s="125" t="s">
        <v>189</v>
      </c>
      <c r="C1003" s="29" t="s">
        <v>43</v>
      </c>
      <c r="D1003" s="29" t="s">
        <v>264</v>
      </c>
      <c r="E1003" s="32">
        <v>1.0</v>
      </c>
      <c r="F1003" s="32">
        <v>1.0</v>
      </c>
      <c r="G1003" s="32">
        <v>1.0</v>
      </c>
      <c r="H1003" s="32">
        <v>1.0</v>
      </c>
    </row>
    <row r="1004" ht="14.25" customHeight="1">
      <c r="A1004" s="27" t="s">
        <v>175</v>
      </c>
      <c r="B1004" s="125" t="s">
        <v>190</v>
      </c>
      <c r="C1004" s="29" t="s">
        <v>43</v>
      </c>
      <c r="D1004" s="29" t="s">
        <v>264</v>
      </c>
      <c r="E1004" s="32">
        <v>1.0</v>
      </c>
      <c r="F1004" s="32">
        <v>1.0</v>
      </c>
      <c r="G1004" s="32">
        <v>1.0</v>
      </c>
      <c r="H1004" s="32">
        <v>1.0</v>
      </c>
    </row>
    <row r="1005" ht="14.25" customHeight="1">
      <c r="A1005" s="27" t="s">
        <v>175</v>
      </c>
      <c r="B1005" s="125" t="s">
        <v>191</v>
      </c>
      <c r="C1005" s="29" t="s">
        <v>43</v>
      </c>
      <c r="D1005" s="29" t="s">
        <v>264</v>
      </c>
      <c r="E1005" s="32">
        <v>1.0</v>
      </c>
      <c r="F1005" s="32">
        <v>1.0</v>
      </c>
      <c r="G1005" s="32">
        <v>1.0</v>
      </c>
      <c r="H1005" s="32">
        <v>1.0</v>
      </c>
    </row>
    <row r="1006" ht="14.25" customHeight="1">
      <c r="A1006" s="27" t="s">
        <v>175</v>
      </c>
      <c r="B1006" s="125" t="s">
        <v>192</v>
      </c>
      <c r="C1006" s="29" t="s">
        <v>43</v>
      </c>
      <c r="D1006" s="29" t="s">
        <v>264</v>
      </c>
      <c r="E1006" s="32">
        <v>1.0</v>
      </c>
      <c r="F1006" s="32">
        <v>1.0</v>
      </c>
      <c r="G1006" s="32">
        <v>1.0</v>
      </c>
      <c r="H1006" s="32">
        <v>1.0</v>
      </c>
    </row>
    <row r="1007" ht="14.25" customHeight="1">
      <c r="A1007" s="27" t="s">
        <v>175</v>
      </c>
      <c r="B1007" s="125" t="s">
        <v>194</v>
      </c>
      <c r="C1007" s="29" t="s">
        <v>43</v>
      </c>
      <c r="D1007" s="29" t="s">
        <v>264</v>
      </c>
      <c r="E1007" s="32">
        <v>1.0</v>
      </c>
      <c r="F1007" s="32">
        <v>1.0</v>
      </c>
      <c r="G1007" s="32">
        <v>1.0</v>
      </c>
      <c r="H1007" s="32">
        <v>1.0</v>
      </c>
    </row>
    <row r="1008" ht="14.25" customHeight="1">
      <c r="A1008" s="27" t="s">
        <v>175</v>
      </c>
      <c r="B1008" s="125" t="s">
        <v>195</v>
      </c>
      <c r="C1008" s="29" t="s">
        <v>43</v>
      </c>
      <c r="D1008" s="29" t="s">
        <v>264</v>
      </c>
      <c r="E1008" s="32">
        <v>1.0</v>
      </c>
      <c r="F1008" s="32">
        <v>1.0</v>
      </c>
      <c r="G1008" s="32">
        <v>1.0</v>
      </c>
      <c r="H1008" s="32">
        <v>1.0</v>
      </c>
    </row>
    <row r="1009" ht="14.25" customHeight="1">
      <c r="A1009" s="27" t="s">
        <v>175</v>
      </c>
      <c r="B1009" s="125" t="s">
        <v>196</v>
      </c>
      <c r="C1009" s="29" t="s">
        <v>43</v>
      </c>
      <c r="D1009" s="29" t="s">
        <v>264</v>
      </c>
      <c r="E1009" s="32">
        <v>1.0</v>
      </c>
      <c r="F1009" s="32">
        <v>1.0</v>
      </c>
      <c r="G1009" s="32">
        <v>1.0</v>
      </c>
      <c r="H1009" s="32">
        <v>1.0</v>
      </c>
    </row>
    <row r="1010" ht="14.25" customHeight="1">
      <c r="A1010" s="27" t="s">
        <v>175</v>
      </c>
      <c r="B1010" s="125" t="s">
        <v>197</v>
      </c>
      <c r="C1010" s="29" t="s">
        <v>43</v>
      </c>
      <c r="D1010" s="29" t="s">
        <v>264</v>
      </c>
      <c r="E1010" s="32">
        <v>1.0</v>
      </c>
      <c r="F1010" s="32">
        <v>1.0</v>
      </c>
      <c r="G1010" s="32">
        <v>1.0</v>
      </c>
      <c r="H1010" s="32">
        <v>1.0</v>
      </c>
    </row>
    <row r="1011" ht="14.25" customHeight="1">
      <c r="A1011" s="27" t="s">
        <v>175</v>
      </c>
      <c r="B1011" s="125" t="s">
        <v>198</v>
      </c>
      <c r="C1011" s="29" t="s">
        <v>43</v>
      </c>
      <c r="D1011" s="29" t="s">
        <v>264</v>
      </c>
      <c r="E1011" s="32">
        <v>1.0</v>
      </c>
      <c r="F1011" s="32">
        <v>1.0</v>
      </c>
      <c r="G1011" s="32">
        <v>1.0</v>
      </c>
      <c r="H1011" s="32">
        <v>1.0</v>
      </c>
    </row>
    <row r="1012" ht="14.25" customHeight="1">
      <c r="A1012" s="27" t="s">
        <v>175</v>
      </c>
      <c r="B1012" s="125" t="s">
        <v>199</v>
      </c>
      <c r="C1012" s="29" t="s">
        <v>43</v>
      </c>
      <c r="D1012" s="29" t="s">
        <v>264</v>
      </c>
      <c r="E1012" s="32">
        <v>1.0</v>
      </c>
      <c r="F1012" s="32">
        <v>1.0</v>
      </c>
      <c r="G1012" s="32">
        <v>1.0</v>
      </c>
      <c r="H1012" s="32">
        <v>1.0</v>
      </c>
    </row>
    <row r="1013" ht="14.25" customHeight="1">
      <c r="A1013" s="27" t="s">
        <v>175</v>
      </c>
      <c r="B1013" s="125" t="s">
        <v>200</v>
      </c>
      <c r="C1013" s="29" t="s">
        <v>43</v>
      </c>
      <c r="D1013" s="29" t="s">
        <v>264</v>
      </c>
      <c r="E1013" s="32">
        <v>1.0</v>
      </c>
      <c r="F1013" s="32">
        <v>1.0</v>
      </c>
      <c r="G1013" s="32">
        <v>1.0</v>
      </c>
      <c r="H1013" s="32">
        <v>1.0</v>
      </c>
    </row>
    <row r="1014" ht="14.25" customHeight="1">
      <c r="A1014" s="27" t="s">
        <v>175</v>
      </c>
      <c r="B1014" s="125" t="s">
        <v>203</v>
      </c>
      <c r="C1014" s="29" t="s">
        <v>43</v>
      </c>
      <c r="D1014" s="29" t="s">
        <v>264</v>
      </c>
      <c r="E1014" s="32">
        <v>1.0</v>
      </c>
      <c r="F1014" s="32">
        <v>1.0</v>
      </c>
      <c r="G1014" s="32">
        <v>1.0</v>
      </c>
      <c r="H1014" s="32">
        <v>1.0</v>
      </c>
    </row>
    <row r="1015" ht="14.25" customHeight="1">
      <c r="A1015" s="27" t="s">
        <v>175</v>
      </c>
      <c r="B1015" s="125" t="s">
        <v>206</v>
      </c>
      <c r="C1015" s="29" t="s">
        <v>43</v>
      </c>
      <c r="D1015" s="29" t="s">
        <v>264</v>
      </c>
      <c r="E1015" s="32">
        <v>1.0</v>
      </c>
      <c r="F1015" s="32">
        <v>1.0</v>
      </c>
      <c r="G1015" s="32">
        <v>1.0</v>
      </c>
      <c r="H1015" s="32">
        <v>1.0</v>
      </c>
    </row>
    <row r="1016" ht="14.25" customHeight="1">
      <c r="A1016" s="27" t="s">
        <v>175</v>
      </c>
      <c r="B1016" s="125" t="s">
        <v>209</v>
      </c>
      <c r="C1016" s="29" t="s">
        <v>43</v>
      </c>
      <c r="D1016" s="29" t="s">
        <v>264</v>
      </c>
      <c r="E1016" s="32">
        <v>1.0</v>
      </c>
      <c r="F1016" s="32">
        <v>1.0</v>
      </c>
      <c r="G1016" s="32">
        <v>1.0</v>
      </c>
      <c r="H1016" s="32">
        <v>1.0</v>
      </c>
    </row>
    <row r="1017" ht="14.25" customHeight="1">
      <c r="A1017" s="27" t="s">
        <v>175</v>
      </c>
      <c r="B1017" s="125" t="s">
        <v>211</v>
      </c>
      <c r="C1017" s="29" t="s">
        <v>43</v>
      </c>
      <c r="D1017" s="29" t="s">
        <v>264</v>
      </c>
      <c r="E1017" s="32">
        <v>1.0</v>
      </c>
      <c r="F1017" s="32">
        <v>1.0</v>
      </c>
      <c r="G1017" s="32">
        <v>1.0</v>
      </c>
      <c r="H1017" s="32">
        <v>1.0</v>
      </c>
    </row>
    <row r="1018" ht="14.25" customHeight="1">
      <c r="A1018" s="27" t="s">
        <v>309</v>
      </c>
      <c r="B1018" s="125" t="s">
        <v>322</v>
      </c>
      <c r="C1018" s="29" t="s">
        <v>43</v>
      </c>
      <c r="D1018" s="29" t="s">
        <v>264</v>
      </c>
      <c r="E1018" s="32">
        <v>1.0</v>
      </c>
      <c r="F1018" s="32">
        <v>1.0</v>
      </c>
      <c r="G1018" s="32">
        <v>1.0</v>
      </c>
      <c r="H1018" s="32">
        <v>1.0</v>
      </c>
    </row>
    <row r="1019" ht="14.25" customHeight="1">
      <c r="A1019" s="27" t="s">
        <v>150</v>
      </c>
      <c r="B1019" s="125" t="s">
        <v>151</v>
      </c>
      <c r="C1019" s="29" t="s">
        <v>43</v>
      </c>
      <c r="D1019" s="29" t="s">
        <v>264</v>
      </c>
      <c r="E1019" s="32">
        <v>1.0</v>
      </c>
      <c r="F1019" s="32">
        <v>1.0</v>
      </c>
      <c r="G1019" s="32">
        <v>1.0</v>
      </c>
      <c r="H1019" s="32">
        <v>1.0</v>
      </c>
    </row>
    <row r="1020" ht="14.25" customHeight="1">
      <c r="A1020" s="27" t="s">
        <v>309</v>
      </c>
      <c r="B1020" s="125" t="s">
        <v>323</v>
      </c>
      <c r="C1020" s="29" t="s">
        <v>43</v>
      </c>
      <c r="D1020" s="29" t="s">
        <v>264</v>
      </c>
      <c r="E1020" s="32">
        <v>1.0</v>
      </c>
      <c r="F1020" s="32">
        <v>1.0</v>
      </c>
      <c r="G1020" s="32">
        <v>1.0</v>
      </c>
      <c r="H1020" s="32">
        <v>1.0</v>
      </c>
    </row>
    <row r="1021" ht="14.25" customHeight="1">
      <c r="A1021" s="27" t="s">
        <v>505</v>
      </c>
      <c r="B1021" s="27" t="s">
        <v>506</v>
      </c>
      <c r="C1021" s="29" t="s">
        <v>43</v>
      </c>
      <c r="D1021" s="99" t="s">
        <v>264</v>
      </c>
      <c r="E1021" s="32">
        <v>1.0</v>
      </c>
      <c r="F1021" s="32">
        <v>1.0</v>
      </c>
      <c r="G1021" s="32">
        <v>1.0</v>
      </c>
      <c r="H1021" s="32">
        <v>1.0</v>
      </c>
    </row>
    <row r="1022" ht="14.25" customHeight="1">
      <c r="A1022" s="27" t="s">
        <v>478</v>
      </c>
      <c r="B1022" s="27" t="s">
        <v>479</v>
      </c>
      <c r="C1022" s="29" t="s">
        <v>43</v>
      </c>
      <c r="D1022" s="99" t="s">
        <v>264</v>
      </c>
      <c r="E1022" s="32">
        <v>1.0</v>
      </c>
      <c r="F1022" s="32">
        <v>1.0</v>
      </c>
      <c r="G1022" s="32">
        <v>1.0</v>
      </c>
      <c r="H1022" s="32">
        <v>1.0</v>
      </c>
    </row>
    <row r="1023" ht="14.25" customHeight="1">
      <c r="A1023" s="27" t="s">
        <v>478</v>
      </c>
      <c r="B1023" s="27" t="s">
        <v>480</v>
      </c>
      <c r="C1023" s="29" t="s">
        <v>43</v>
      </c>
      <c r="D1023" s="99" t="s">
        <v>264</v>
      </c>
      <c r="E1023" s="32">
        <v>1.0</v>
      </c>
      <c r="F1023" s="32">
        <v>1.0</v>
      </c>
      <c r="G1023" s="32">
        <v>1.0</v>
      </c>
      <c r="H1023" s="32">
        <v>1.0</v>
      </c>
    </row>
    <row r="1024" ht="14.25" customHeight="1">
      <c r="A1024" s="27" t="s">
        <v>478</v>
      </c>
      <c r="B1024" s="27" t="s">
        <v>481</v>
      </c>
      <c r="C1024" s="29" t="s">
        <v>43</v>
      </c>
      <c r="D1024" s="99" t="s">
        <v>264</v>
      </c>
      <c r="E1024" s="32">
        <v>1.0</v>
      </c>
      <c r="F1024" s="32">
        <v>1.0</v>
      </c>
      <c r="G1024" s="32">
        <v>1.0</v>
      </c>
      <c r="H1024" s="32">
        <v>1.0</v>
      </c>
    </row>
    <row r="1025" ht="14.25" customHeight="1">
      <c r="A1025" s="27" t="s">
        <v>478</v>
      </c>
      <c r="B1025" s="27" t="s">
        <v>482</v>
      </c>
      <c r="C1025" s="29" t="s">
        <v>43</v>
      </c>
      <c r="D1025" s="99" t="s">
        <v>264</v>
      </c>
      <c r="E1025" s="32">
        <v>1.0</v>
      </c>
      <c r="F1025" s="32">
        <v>1.0</v>
      </c>
      <c r="G1025" s="32">
        <v>1.0</v>
      </c>
      <c r="H1025" s="32">
        <v>1.0</v>
      </c>
    </row>
    <row r="1026" ht="14.25" customHeight="1">
      <c r="A1026" s="27" t="s">
        <v>478</v>
      </c>
      <c r="B1026" s="27" t="s">
        <v>483</v>
      </c>
      <c r="C1026" s="29" t="s">
        <v>43</v>
      </c>
      <c r="D1026" s="99" t="s">
        <v>264</v>
      </c>
      <c r="E1026" s="32">
        <v>1.0</v>
      </c>
      <c r="F1026" s="32">
        <v>1.0</v>
      </c>
      <c r="G1026" s="32">
        <v>1.0</v>
      </c>
      <c r="H1026" s="32">
        <v>1.0</v>
      </c>
    </row>
    <row r="1027" ht="14.25" customHeight="1">
      <c r="A1027" s="27" t="s">
        <v>478</v>
      </c>
      <c r="B1027" s="27" t="s">
        <v>484</v>
      </c>
      <c r="C1027" s="29" t="s">
        <v>43</v>
      </c>
      <c r="D1027" s="99" t="s">
        <v>264</v>
      </c>
      <c r="E1027" s="32">
        <v>1.0</v>
      </c>
      <c r="F1027" s="32">
        <v>1.0</v>
      </c>
      <c r="G1027" s="32">
        <v>1.0</v>
      </c>
      <c r="H1027" s="32">
        <v>1.0</v>
      </c>
    </row>
    <row r="1028" ht="14.25" customHeight="1">
      <c r="A1028" s="27" t="s">
        <v>478</v>
      </c>
      <c r="B1028" s="27" t="s">
        <v>485</v>
      </c>
      <c r="C1028" s="29" t="s">
        <v>43</v>
      </c>
      <c r="D1028" s="99" t="s">
        <v>264</v>
      </c>
      <c r="E1028" s="32">
        <v>1.0</v>
      </c>
      <c r="F1028" s="32">
        <v>1.0</v>
      </c>
      <c r="G1028" s="32">
        <v>1.0</v>
      </c>
      <c r="H1028" s="32">
        <v>1.0</v>
      </c>
    </row>
    <row r="1029" ht="14.25" customHeight="1">
      <c r="A1029" s="27" t="s">
        <v>478</v>
      </c>
      <c r="B1029" s="27" t="s">
        <v>486</v>
      </c>
      <c r="C1029" s="29" t="s">
        <v>43</v>
      </c>
      <c r="D1029" s="99" t="s">
        <v>264</v>
      </c>
      <c r="E1029" s="32">
        <v>1.0</v>
      </c>
      <c r="F1029" s="32">
        <v>1.0</v>
      </c>
      <c r="G1029" s="32">
        <v>1.0</v>
      </c>
      <c r="H1029" s="32">
        <v>1.0</v>
      </c>
    </row>
    <row r="1030" ht="14.25" customHeight="1">
      <c r="A1030" s="27" t="s">
        <v>478</v>
      </c>
      <c r="B1030" s="27" t="s">
        <v>487</v>
      </c>
      <c r="C1030" s="29" t="s">
        <v>43</v>
      </c>
      <c r="D1030" s="99" t="s">
        <v>264</v>
      </c>
      <c r="E1030" s="32">
        <v>1.0</v>
      </c>
      <c r="F1030" s="32">
        <v>1.0</v>
      </c>
      <c r="G1030" s="32">
        <v>1.0</v>
      </c>
      <c r="H1030" s="32">
        <v>1.0</v>
      </c>
    </row>
    <row r="1031" ht="14.25" customHeight="1">
      <c r="A1031" s="27" t="s">
        <v>417</v>
      </c>
      <c r="B1031" s="27" t="s">
        <v>419</v>
      </c>
      <c r="C1031" s="29" t="s">
        <v>43</v>
      </c>
      <c r="D1031" s="99" t="s">
        <v>264</v>
      </c>
      <c r="E1031" s="32">
        <v>1.0</v>
      </c>
      <c r="F1031" s="32">
        <v>1.0</v>
      </c>
      <c r="G1031" s="32">
        <v>1.0</v>
      </c>
      <c r="H1031" s="32">
        <v>1.0</v>
      </c>
    </row>
    <row r="1032" ht="14.25" customHeight="1">
      <c r="A1032" s="27" t="s">
        <v>417</v>
      </c>
      <c r="B1032" s="27" t="s">
        <v>420</v>
      </c>
      <c r="C1032" s="29" t="s">
        <v>43</v>
      </c>
      <c r="D1032" s="99" t="s">
        <v>264</v>
      </c>
      <c r="E1032" s="32">
        <v>1.0</v>
      </c>
      <c r="F1032" s="32">
        <v>1.0</v>
      </c>
      <c r="G1032" s="32">
        <v>1.0</v>
      </c>
      <c r="H1032" s="32">
        <v>1.0</v>
      </c>
    </row>
    <row r="1033" ht="14.25" customHeight="1">
      <c r="A1033" s="27" t="s">
        <v>417</v>
      </c>
      <c r="B1033" s="27" t="s">
        <v>421</v>
      </c>
      <c r="C1033" s="29" t="s">
        <v>43</v>
      </c>
      <c r="D1033" s="99" t="s">
        <v>264</v>
      </c>
      <c r="E1033" s="32">
        <v>1.0</v>
      </c>
      <c r="F1033" s="32">
        <v>1.0</v>
      </c>
      <c r="G1033" s="32">
        <v>1.0</v>
      </c>
      <c r="H1033" s="32">
        <v>1.0</v>
      </c>
    </row>
    <row r="1034" ht="14.25" customHeight="1">
      <c r="A1034" s="27" t="s">
        <v>405</v>
      </c>
      <c r="B1034" s="27" t="s">
        <v>405</v>
      </c>
      <c r="C1034" s="29" t="s">
        <v>43</v>
      </c>
      <c r="D1034" s="99" t="s">
        <v>264</v>
      </c>
      <c r="E1034" s="32">
        <v>1.0</v>
      </c>
      <c r="F1034" s="32">
        <v>1.0</v>
      </c>
      <c r="G1034" s="32">
        <v>1.0</v>
      </c>
      <c r="H1034" s="32">
        <v>1.0</v>
      </c>
    </row>
    <row r="1035" ht="14.25" customHeight="1">
      <c r="A1035" s="27" t="s">
        <v>719</v>
      </c>
      <c r="B1035" s="27" t="s">
        <v>719</v>
      </c>
      <c r="C1035" s="29" t="s">
        <v>43</v>
      </c>
      <c r="D1035" s="99" t="s">
        <v>264</v>
      </c>
      <c r="E1035" s="32">
        <v>1.0</v>
      </c>
      <c r="F1035" s="32">
        <v>1.0</v>
      </c>
      <c r="G1035" s="32">
        <v>1.0</v>
      </c>
      <c r="H1035" s="32">
        <v>1.0</v>
      </c>
    </row>
    <row r="1036" ht="14.25" customHeight="1">
      <c r="A1036" s="27" t="s">
        <v>309</v>
      </c>
      <c r="B1036" s="27" t="s">
        <v>310</v>
      </c>
      <c r="C1036" s="29" t="s">
        <v>43</v>
      </c>
      <c r="D1036" s="99" t="s">
        <v>264</v>
      </c>
      <c r="E1036" s="32">
        <v>1.0</v>
      </c>
      <c r="F1036" s="32">
        <v>1.0</v>
      </c>
      <c r="G1036" s="32">
        <v>1.0</v>
      </c>
      <c r="H1036" s="32">
        <v>1.0</v>
      </c>
    </row>
    <row r="1037" ht="14.25" customHeight="1">
      <c r="A1037" s="27" t="s">
        <v>309</v>
      </c>
      <c r="B1037" s="27" t="s">
        <v>312</v>
      </c>
      <c r="C1037" s="29" t="s">
        <v>43</v>
      </c>
      <c r="D1037" s="99" t="s">
        <v>264</v>
      </c>
      <c r="E1037" s="32">
        <v>1.0</v>
      </c>
      <c r="F1037" s="32">
        <v>1.0</v>
      </c>
      <c r="G1037" s="32">
        <v>1.0</v>
      </c>
      <c r="H1037" s="32">
        <v>1.0</v>
      </c>
    </row>
    <row r="1038" ht="14.25" customHeight="1">
      <c r="A1038" s="27" t="s">
        <v>309</v>
      </c>
      <c r="B1038" s="27" t="s">
        <v>313</v>
      </c>
      <c r="C1038" s="29" t="s">
        <v>43</v>
      </c>
      <c r="D1038" s="99" t="s">
        <v>264</v>
      </c>
      <c r="E1038" s="32">
        <v>1.0</v>
      </c>
      <c r="F1038" s="32">
        <v>1.0</v>
      </c>
      <c r="G1038" s="32">
        <v>1.0</v>
      </c>
      <c r="H1038" s="32">
        <v>1.0</v>
      </c>
    </row>
    <row r="1039" ht="14.25" customHeight="1">
      <c r="A1039" s="27" t="s">
        <v>309</v>
      </c>
      <c r="B1039" s="27" t="s">
        <v>314</v>
      </c>
      <c r="C1039" s="29" t="s">
        <v>43</v>
      </c>
      <c r="D1039" s="99" t="s">
        <v>264</v>
      </c>
      <c r="E1039" s="32">
        <v>1.0</v>
      </c>
      <c r="F1039" s="32">
        <v>1.0</v>
      </c>
      <c r="G1039" s="32">
        <v>1.0</v>
      </c>
      <c r="H1039" s="32">
        <v>1.0</v>
      </c>
    </row>
    <row r="1040" ht="14.25" customHeight="1">
      <c r="A1040" s="27" t="s">
        <v>309</v>
      </c>
      <c r="B1040" s="27" t="s">
        <v>322</v>
      </c>
      <c r="C1040" s="29" t="s">
        <v>43</v>
      </c>
      <c r="D1040" s="99" t="s">
        <v>264</v>
      </c>
      <c r="E1040" s="32">
        <v>1.0</v>
      </c>
      <c r="F1040" s="32">
        <v>1.0</v>
      </c>
      <c r="G1040" s="32">
        <v>1.0</v>
      </c>
      <c r="H1040" s="32">
        <v>1.0</v>
      </c>
    </row>
    <row r="1041" ht="14.25" customHeight="1">
      <c r="A1041" s="27" t="s">
        <v>309</v>
      </c>
      <c r="B1041" s="27" t="s">
        <v>323</v>
      </c>
      <c r="C1041" s="29" t="s">
        <v>43</v>
      </c>
      <c r="D1041" s="99" t="s">
        <v>264</v>
      </c>
      <c r="E1041" s="32">
        <v>1.0</v>
      </c>
      <c r="F1041" s="32">
        <v>1.0</v>
      </c>
      <c r="G1041" s="32">
        <v>1.0</v>
      </c>
      <c r="H1041" s="32">
        <v>1.0</v>
      </c>
    </row>
    <row r="1042" ht="14.25" customHeight="1">
      <c r="A1042" s="13" t="s">
        <v>309</v>
      </c>
      <c r="B1042" s="13" t="s">
        <v>840</v>
      </c>
      <c r="C1042" s="127" t="s">
        <v>43</v>
      </c>
      <c r="D1042" s="99" t="s">
        <v>264</v>
      </c>
      <c r="E1042" s="32">
        <v>1.0</v>
      </c>
      <c r="F1042" s="32">
        <v>1.0</v>
      </c>
      <c r="G1042" s="32">
        <v>1.0</v>
      </c>
      <c r="H1042" s="32">
        <v>1.0</v>
      </c>
    </row>
    <row r="1043" ht="14.25" customHeight="1">
      <c r="A1043" s="13" t="s">
        <v>309</v>
      </c>
      <c r="B1043" s="126" t="s">
        <v>830</v>
      </c>
      <c r="C1043" s="127" t="s">
        <v>43</v>
      </c>
      <c r="D1043" s="99" t="s">
        <v>264</v>
      </c>
      <c r="E1043" s="32">
        <v>1.0</v>
      </c>
      <c r="F1043" s="32">
        <v>1.0</v>
      </c>
      <c r="G1043" s="32">
        <v>1.0</v>
      </c>
      <c r="H1043" s="32">
        <v>1.0</v>
      </c>
    </row>
    <row r="1044" ht="14.25" customHeight="1">
      <c r="A1044" s="13" t="s">
        <v>309</v>
      </c>
      <c r="B1044" s="126" t="s">
        <v>838</v>
      </c>
      <c r="C1044" s="127" t="s">
        <v>43</v>
      </c>
      <c r="D1044" s="99" t="s">
        <v>264</v>
      </c>
      <c r="E1044" s="32">
        <v>1.0</v>
      </c>
      <c r="F1044" s="32">
        <v>1.0</v>
      </c>
      <c r="G1044" s="32">
        <v>1.0</v>
      </c>
      <c r="H1044" s="32">
        <v>1.0</v>
      </c>
    </row>
    <row r="1045" ht="14.25" customHeight="1">
      <c r="A1045" s="13" t="s">
        <v>309</v>
      </c>
      <c r="B1045" s="126" t="s">
        <v>841</v>
      </c>
      <c r="C1045" s="127" t="s">
        <v>43</v>
      </c>
      <c r="D1045" s="99" t="s">
        <v>264</v>
      </c>
      <c r="E1045" s="32">
        <v>1.0</v>
      </c>
      <c r="F1045" s="32">
        <v>1.0</v>
      </c>
      <c r="G1045" s="32">
        <v>1.0</v>
      </c>
      <c r="H1045" s="32">
        <v>1.0</v>
      </c>
    </row>
    <row r="1046" ht="14.25" customHeight="1">
      <c r="A1046" s="13" t="s">
        <v>309</v>
      </c>
      <c r="B1046" s="126" t="s">
        <v>842</v>
      </c>
      <c r="C1046" s="127" t="s">
        <v>43</v>
      </c>
      <c r="D1046" s="99" t="s">
        <v>264</v>
      </c>
      <c r="E1046" s="32">
        <v>1.0</v>
      </c>
      <c r="F1046" s="32">
        <v>1.0</v>
      </c>
      <c r="G1046" s="32">
        <v>1.0</v>
      </c>
      <c r="H1046" s="32">
        <v>1.0</v>
      </c>
    </row>
    <row r="1047" ht="14.25" customHeight="1">
      <c r="A1047" s="13" t="s">
        <v>309</v>
      </c>
      <c r="B1047" s="126" t="s">
        <v>840</v>
      </c>
      <c r="C1047" s="127" t="s">
        <v>43</v>
      </c>
      <c r="D1047" s="99" t="s">
        <v>264</v>
      </c>
      <c r="E1047" s="32">
        <v>1.0</v>
      </c>
      <c r="F1047" s="32">
        <v>1.0</v>
      </c>
      <c r="G1047" s="32">
        <v>1.0</v>
      </c>
      <c r="H1047" s="32">
        <v>1.0</v>
      </c>
    </row>
    <row r="1048" ht="14.25" customHeight="1">
      <c r="A1048" s="13" t="s">
        <v>309</v>
      </c>
      <c r="B1048" s="126" t="s">
        <v>843</v>
      </c>
      <c r="C1048" s="127" t="s">
        <v>43</v>
      </c>
      <c r="D1048" s="99" t="s">
        <v>264</v>
      </c>
      <c r="E1048" s="32">
        <v>1.0</v>
      </c>
      <c r="F1048" s="32">
        <v>1.0</v>
      </c>
      <c r="G1048" s="32">
        <v>1.0</v>
      </c>
      <c r="H1048" s="32">
        <v>1.0</v>
      </c>
    </row>
    <row r="1049" ht="14.25" customHeight="1">
      <c r="A1049" s="27" t="s">
        <v>295</v>
      </c>
      <c r="B1049" s="27" t="s">
        <v>296</v>
      </c>
      <c r="C1049" s="29" t="s">
        <v>43</v>
      </c>
      <c r="D1049" s="99" t="s">
        <v>264</v>
      </c>
      <c r="E1049" s="32">
        <v>1.0</v>
      </c>
      <c r="F1049" s="32">
        <v>1.0</v>
      </c>
      <c r="G1049" s="32">
        <v>1.0</v>
      </c>
      <c r="H1049" s="32">
        <v>1.0</v>
      </c>
    </row>
    <row r="1050" ht="14.25" customHeight="1">
      <c r="A1050" s="27" t="s">
        <v>295</v>
      </c>
      <c r="B1050" s="27" t="s">
        <v>297</v>
      </c>
      <c r="C1050" s="29" t="s">
        <v>43</v>
      </c>
      <c r="D1050" s="99" t="s">
        <v>264</v>
      </c>
      <c r="E1050" s="32">
        <v>1.0</v>
      </c>
      <c r="F1050" s="32">
        <v>1.0</v>
      </c>
      <c r="G1050" s="32">
        <v>1.0</v>
      </c>
      <c r="H1050" s="32">
        <v>1.0</v>
      </c>
    </row>
    <row r="1051" ht="14.25" customHeight="1">
      <c r="A1051" s="129" t="s">
        <v>175</v>
      </c>
      <c r="B1051" s="129" t="s">
        <v>176</v>
      </c>
      <c r="C1051" s="7" t="s">
        <v>43</v>
      </c>
      <c r="D1051" s="99" t="s">
        <v>264</v>
      </c>
      <c r="E1051" s="32">
        <v>1.0</v>
      </c>
      <c r="F1051" s="32">
        <v>1.0</v>
      </c>
      <c r="G1051" s="32">
        <v>1.0</v>
      </c>
      <c r="H1051" s="32">
        <v>1.0</v>
      </c>
    </row>
    <row r="1052" ht="14.25" customHeight="1">
      <c r="A1052" s="129" t="s">
        <v>175</v>
      </c>
      <c r="B1052" s="129" t="s">
        <v>177</v>
      </c>
      <c r="C1052" s="7" t="s">
        <v>43</v>
      </c>
      <c r="D1052" s="99" t="s">
        <v>264</v>
      </c>
      <c r="E1052" s="32">
        <v>1.0</v>
      </c>
      <c r="F1052" s="130">
        <v>1.0</v>
      </c>
      <c r="G1052" s="32">
        <v>1.0</v>
      </c>
      <c r="H1052" s="130">
        <v>1.0</v>
      </c>
    </row>
    <row r="1053" ht="14.25" customHeight="1">
      <c r="A1053" s="129" t="s">
        <v>175</v>
      </c>
      <c r="B1053" s="129" t="s">
        <v>178</v>
      </c>
      <c r="C1053" s="7" t="s">
        <v>43</v>
      </c>
      <c r="D1053" s="99" t="s">
        <v>264</v>
      </c>
      <c r="E1053" s="32">
        <v>1.0</v>
      </c>
      <c r="F1053" s="32">
        <v>1.0</v>
      </c>
      <c r="G1053" s="32">
        <v>1.0</v>
      </c>
      <c r="H1053" s="32">
        <v>1.0</v>
      </c>
    </row>
    <row r="1054" ht="14.25" customHeight="1">
      <c r="A1054" s="129" t="s">
        <v>175</v>
      </c>
      <c r="B1054" s="129" t="s">
        <v>179</v>
      </c>
      <c r="C1054" s="7" t="s">
        <v>43</v>
      </c>
      <c r="D1054" s="99" t="s">
        <v>264</v>
      </c>
      <c r="E1054" s="32">
        <v>1.0</v>
      </c>
      <c r="F1054" s="32">
        <v>1.0</v>
      </c>
      <c r="G1054" s="32">
        <v>1.0</v>
      </c>
      <c r="H1054" s="32">
        <v>1.0</v>
      </c>
    </row>
    <row r="1055" ht="14.25" customHeight="1">
      <c r="A1055" s="129" t="s">
        <v>175</v>
      </c>
      <c r="B1055" s="129" t="s">
        <v>180</v>
      </c>
      <c r="C1055" s="7" t="s">
        <v>43</v>
      </c>
      <c r="D1055" s="99" t="s">
        <v>264</v>
      </c>
      <c r="E1055" s="32">
        <v>1.0</v>
      </c>
      <c r="F1055" s="32">
        <v>1.0</v>
      </c>
      <c r="G1055" s="32">
        <v>1.0</v>
      </c>
      <c r="H1055" s="32">
        <v>1.0</v>
      </c>
    </row>
    <row r="1056" ht="14.25" customHeight="1">
      <c r="A1056" s="129" t="s">
        <v>175</v>
      </c>
      <c r="B1056" s="129" t="s">
        <v>181</v>
      </c>
      <c r="C1056" s="7" t="s">
        <v>43</v>
      </c>
      <c r="D1056" s="99" t="s">
        <v>264</v>
      </c>
      <c r="E1056" s="32">
        <v>1.0</v>
      </c>
      <c r="F1056" s="32">
        <v>1.0</v>
      </c>
      <c r="G1056" s="32">
        <v>1.0</v>
      </c>
      <c r="H1056" s="32">
        <v>1.0</v>
      </c>
    </row>
    <row r="1057" ht="14.25" customHeight="1">
      <c r="A1057" s="129" t="s">
        <v>175</v>
      </c>
      <c r="B1057" s="129" t="s">
        <v>182</v>
      </c>
      <c r="C1057" s="7" t="s">
        <v>43</v>
      </c>
      <c r="D1057" s="99" t="s">
        <v>264</v>
      </c>
      <c r="E1057" s="32">
        <v>1.0</v>
      </c>
      <c r="F1057" s="32">
        <v>1.0</v>
      </c>
      <c r="G1057" s="32">
        <v>1.0</v>
      </c>
      <c r="H1057" s="32">
        <v>1.0</v>
      </c>
    </row>
    <row r="1058" ht="14.25" customHeight="1">
      <c r="A1058" s="129" t="s">
        <v>175</v>
      </c>
      <c r="B1058" s="129" t="s">
        <v>183</v>
      </c>
      <c r="C1058" s="7" t="s">
        <v>43</v>
      </c>
      <c r="D1058" s="99" t="s">
        <v>264</v>
      </c>
      <c r="E1058" s="32">
        <v>1.0</v>
      </c>
      <c r="F1058" s="32">
        <v>1.0</v>
      </c>
      <c r="G1058" s="32">
        <v>1.0</v>
      </c>
      <c r="H1058" s="32">
        <v>1.0</v>
      </c>
    </row>
    <row r="1059" ht="14.25" customHeight="1">
      <c r="A1059" s="129" t="s">
        <v>175</v>
      </c>
      <c r="B1059" s="129" t="s">
        <v>184</v>
      </c>
      <c r="C1059" s="7" t="s">
        <v>43</v>
      </c>
      <c r="D1059" s="99" t="s">
        <v>264</v>
      </c>
      <c r="E1059" s="32">
        <v>1.0</v>
      </c>
      <c r="F1059" s="32">
        <v>1.0</v>
      </c>
      <c r="G1059" s="32">
        <v>1.0</v>
      </c>
      <c r="H1059" s="32">
        <v>1.0</v>
      </c>
    </row>
    <row r="1060" ht="14.25" customHeight="1">
      <c r="A1060" s="129" t="s">
        <v>175</v>
      </c>
      <c r="B1060" s="129" t="s">
        <v>186</v>
      </c>
      <c r="C1060" s="7" t="s">
        <v>43</v>
      </c>
      <c r="D1060" s="99" t="s">
        <v>264</v>
      </c>
      <c r="E1060" s="32">
        <v>1.0</v>
      </c>
      <c r="F1060" s="32">
        <v>1.0</v>
      </c>
      <c r="G1060" s="32">
        <v>1.0</v>
      </c>
      <c r="H1060" s="32">
        <v>1.0</v>
      </c>
    </row>
    <row r="1061" ht="14.25" customHeight="1">
      <c r="A1061" s="129" t="s">
        <v>175</v>
      </c>
      <c r="B1061" s="129" t="s">
        <v>187</v>
      </c>
      <c r="C1061" s="29" t="s">
        <v>43</v>
      </c>
      <c r="D1061" s="99" t="s">
        <v>264</v>
      </c>
      <c r="E1061" s="32">
        <v>1.0</v>
      </c>
      <c r="F1061" s="32">
        <v>1.0</v>
      </c>
      <c r="G1061" s="32">
        <v>1.0</v>
      </c>
      <c r="H1061" s="32">
        <v>1.0</v>
      </c>
    </row>
    <row r="1062" ht="14.25" customHeight="1">
      <c r="A1062" s="129" t="s">
        <v>175</v>
      </c>
      <c r="B1062" s="129" t="s">
        <v>188</v>
      </c>
      <c r="C1062" s="29" t="s">
        <v>43</v>
      </c>
      <c r="D1062" s="99" t="s">
        <v>264</v>
      </c>
      <c r="E1062" s="32">
        <v>1.0</v>
      </c>
      <c r="F1062" s="32">
        <v>1.0</v>
      </c>
      <c r="G1062" s="32">
        <v>1.0</v>
      </c>
      <c r="H1062" s="32">
        <v>1.0</v>
      </c>
    </row>
    <row r="1063" ht="14.25" customHeight="1">
      <c r="A1063" s="129" t="s">
        <v>175</v>
      </c>
      <c r="B1063" s="129" t="s">
        <v>189</v>
      </c>
      <c r="C1063" s="7" t="s">
        <v>43</v>
      </c>
      <c r="D1063" s="99" t="s">
        <v>264</v>
      </c>
      <c r="E1063" s="32">
        <v>1.0</v>
      </c>
      <c r="F1063" s="136">
        <v>1.0</v>
      </c>
      <c r="G1063" s="32">
        <v>1.0</v>
      </c>
      <c r="H1063" s="136">
        <v>1.0</v>
      </c>
    </row>
    <row r="1064" ht="14.25" customHeight="1">
      <c r="A1064" s="129" t="s">
        <v>175</v>
      </c>
      <c r="B1064" s="129" t="s">
        <v>190</v>
      </c>
      <c r="C1064" s="7" t="s">
        <v>43</v>
      </c>
      <c r="D1064" s="99" t="s">
        <v>264</v>
      </c>
      <c r="E1064" s="32">
        <v>1.0</v>
      </c>
      <c r="F1064" s="136">
        <v>1.0</v>
      </c>
      <c r="G1064" s="32">
        <v>1.0</v>
      </c>
      <c r="H1064" s="136">
        <v>1.0</v>
      </c>
    </row>
    <row r="1065" ht="14.25" customHeight="1">
      <c r="A1065" s="129" t="s">
        <v>175</v>
      </c>
      <c r="B1065" s="129" t="s">
        <v>191</v>
      </c>
      <c r="C1065" s="7" t="s">
        <v>43</v>
      </c>
      <c r="D1065" s="99" t="s">
        <v>264</v>
      </c>
      <c r="E1065" s="32">
        <v>1.0</v>
      </c>
      <c r="F1065" s="136">
        <v>1.0</v>
      </c>
      <c r="G1065" s="32">
        <v>1.0</v>
      </c>
      <c r="H1065" s="136">
        <v>1.0</v>
      </c>
    </row>
    <row r="1066" ht="14.25" customHeight="1">
      <c r="A1066" s="129" t="s">
        <v>175</v>
      </c>
      <c r="B1066" s="129" t="s">
        <v>192</v>
      </c>
      <c r="C1066" s="7" t="s">
        <v>43</v>
      </c>
      <c r="D1066" s="99" t="s">
        <v>264</v>
      </c>
      <c r="E1066" s="32">
        <v>1.0</v>
      </c>
      <c r="F1066" s="130">
        <v>1.0</v>
      </c>
      <c r="G1066" s="32">
        <v>1.0</v>
      </c>
      <c r="H1066" s="130">
        <v>1.0</v>
      </c>
    </row>
    <row r="1067" ht="14.25" customHeight="1">
      <c r="A1067" s="129" t="s">
        <v>175</v>
      </c>
      <c r="B1067" s="129" t="s">
        <v>194</v>
      </c>
      <c r="C1067" s="7" t="s">
        <v>43</v>
      </c>
      <c r="D1067" s="99" t="s">
        <v>264</v>
      </c>
      <c r="E1067" s="32">
        <v>1.0</v>
      </c>
      <c r="F1067" s="32">
        <v>1.0</v>
      </c>
      <c r="G1067" s="32">
        <v>1.0</v>
      </c>
      <c r="H1067" s="32">
        <v>1.0</v>
      </c>
    </row>
    <row r="1068" ht="14.25" customHeight="1">
      <c r="A1068" s="129" t="s">
        <v>175</v>
      </c>
      <c r="B1068" s="129" t="s">
        <v>195</v>
      </c>
      <c r="C1068" s="7" t="s">
        <v>43</v>
      </c>
      <c r="D1068" s="99" t="s">
        <v>264</v>
      </c>
      <c r="E1068" s="32">
        <v>1.0</v>
      </c>
      <c r="F1068" s="130">
        <v>1.0</v>
      </c>
      <c r="G1068" s="32">
        <v>1.0</v>
      </c>
      <c r="H1068" s="130">
        <v>1.0</v>
      </c>
    </row>
    <row r="1069" ht="14.25" customHeight="1">
      <c r="A1069" s="129" t="s">
        <v>175</v>
      </c>
      <c r="B1069" s="129" t="s">
        <v>196</v>
      </c>
      <c r="C1069" s="7" t="s">
        <v>43</v>
      </c>
      <c r="D1069" s="99" t="s">
        <v>264</v>
      </c>
      <c r="E1069" s="32">
        <v>1.0</v>
      </c>
      <c r="F1069" s="32">
        <v>1.0</v>
      </c>
      <c r="G1069" s="32">
        <v>1.0</v>
      </c>
      <c r="H1069" s="32">
        <v>1.0</v>
      </c>
    </row>
    <row r="1070" ht="14.25" customHeight="1">
      <c r="A1070" s="27" t="s">
        <v>175</v>
      </c>
      <c r="B1070" s="27" t="s">
        <v>197</v>
      </c>
      <c r="C1070" s="7" t="s">
        <v>43</v>
      </c>
      <c r="D1070" s="99" t="s">
        <v>264</v>
      </c>
      <c r="E1070" s="32">
        <v>1.0</v>
      </c>
      <c r="F1070" s="32">
        <v>1.0</v>
      </c>
      <c r="G1070" s="32">
        <v>1.0</v>
      </c>
      <c r="H1070" s="32">
        <v>1.0</v>
      </c>
    </row>
    <row r="1071" ht="14.25" customHeight="1">
      <c r="A1071" s="27" t="s">
        <v>175</v>
      </c>
      <c r="B1071" s="27" t="s">
        <v>198</v>
      </c>
      <c r="C1071" s="7" t="s">
        <v>43</v>
      </c>
      <c r="D1071" s="99" t="s">
        <v>264</v>
      </c>
      <c r="E1071" s="32">
        <v>1.0</v>
      </c>
      <c r="F1071" s="32">
        <v>1.0</v>
      </c>
      <c r="G1071" s="32">
        <v>1.0</v>
      </c>
      <c r="H1071" s="32">
        <v>1.0</v>
      </c>
    </row>
    <row r="1072" ht="14.25" customHeight="1">
      <c r="A1072" s="27" t="s">
        <v>175</v>
      </c>
      <c r="B1072" s="27" t="s">
        <v>199</v>
      </c>
      <c r="C1072" s="7" t="s">
        <v>43</v>
      </c>
      <c r="D1072" s="99" t="s">
        <v>264</v>
      </c>
      <c r="E1072" s="32">
        <v>1.0</v>
      </c>
      <c r="F1072" s="32">
        <v>1.0</v>
      </c>
      <c r="G1072" s="32">
        <v>1.0</v>
      </c>
      <c r="H1072" s="32">
        <v>1.0</v>
      </c>
    </row>
    <row r="1073" ht="14.25" customHeight="1">
      <c r="A1073" s="27" t="s">
        <v>175</v>
      </c>
      <c r="B1073" s="27" t="s">
        <v>200</v>
      </c>
      <c r="C1073" s="7" t="s">
        <v>43</v>
      </c>
      <c r="D1073" s="99" t="s">
        <v>264</v>
      </c>
      <c r="E1073" s="32">
        <v>1.0</v>
      </c>
      <c r="F1073" s="32">
        <v>1.0</v>
      </c>
      <c r="G1073" s="32">
        <v>1.0</v>
      </c>
      <c r="H1073" s="32">
        <v>1.0</v>
      </c>
    </row>
    <row r="1074" ht="14.25" customHeight="1">
      <c r="A1074" s="129" t="s">
        <v>175</v>
      </c>
      <c r="B1074" s="27" t="s">
        <v>203</v>
      </c>
      <c r="C1074" s="7" t="s">
        <v>43</v>
      </c>
      <c r="D1074" s="99" t="s">
        <v>264</v>
      </c>
      <c r="E1074" s="32">
        <v>1.0</v>
      </c>
      <c r="F1074" s="136">
        <v>1.0</v>
      </c>
      <c r="G1074" s="32">
        <v>1.0</v>
      </c>
      <c r="H1074" s="136">
        <v>1.0</v>
      </c>
    </row>
    <row r="1075" ht="14.25" customHeight="1">
      <c r="A1075" s="129" t="s">
        <v>175</v>
      </c>
      <c r="B1075" s="27" t="s">
        <v>206</v>
      </c>
      <c r="C1075" s="7" t="s">
        <v>43</v>
      </c>
      <c r="D1075" s="99" t="s">
        <v>264</v>
      </c>
      <c r="E1075" s="32">
        <v>1.0</v>
      </c>
      <c r="F1075" s="32">
        <v>1.0</v>
      </c>
      <c r="G1075" s="32">
        <v>1.0</v>
      </c>
      <c r="H1075" s="32">
        <v>1.0</v>
      </c>
    </row>
    <row r="1076" ht="14.25" customHeight="1">
      <c r="A1076" s="129" t="s">
        <v>175</v>
      </c>
      <c r="B1076" s="129" t="s">
        <v>209</v>
      </c>
      <c r="C1076" s="7" t="s">
        <v>43</v>
      </c>
      <c r="D1076" s="99" t="s">
        <v>264</v>
      </c>
      <c r="E1076" s="32">
        <v>1.0</v>
      </c>
      <c r="F1076" s="130">
        <v>1.0</v>
      </c>
      <c r="G1076" s="32">
        <v>1.0</v>
      </c>
      <c r="H1076" s="130">
        <v>1.0</v>
      </c>
    </row>
    <row r="1077" ht="14.25" customHeight="1">
      <c r="A1077" s="129" t="s">
        <v>175</v>
      </c>
      <c r="B1077" s="129" t="s">
        <v>211</v>
      </c>
      <c r="C1077" s="7" t="s">
        <v>43</v>
      </c>
      <c r="D1077" s="99" t="s">
        <v>264</v>
      </c>
      <c r="E1077" s="32">
        <v>1.0</v>
      </c>
      <c r="F1077" s="130">
        <v>1.0</v>
      </c>
      <c r="G1077" s="32">
        <v>1.0</v>
      </c>
      <c r="H1077" s="130">
        <v>1.0</v>
      </c>
    </row>
    <row r="1078" ht="14.25" customHeight="1">
      <c r="A1078" s="110" t="s">
        <v>844</v>
      </c>
      <c r="B1078" s="110" t="s">
        <v>843</v>
      </c>
      <c r="C1078" s="99" t="s">
        <v>43</v>
      </c>
      <c r="D1078" s="99" t="s">
        <v>264</v>
      </c>
      <c r="E1078" s="32">
        <v>1.0</v>
      </c>
      <c r="F1078" s="130">
        <v>1.0</v>
      </c>
      <c r="G1078" s="32">
        <v>1.0</v>
      </c>
      <c r="H1078" s="130">
        <v>1.0</v>
      </c>
    </row>
    <row r="1079" ht="14.25" customHeight="1">
      <c r="A1079" s="129" t="s">
        <v>138</v>
      </c>
      <c r="B1079" s="129" t="s">
        <v>140</v>
      </c>
      <c r="C1079" s="7" t="s">
        <v>43</v>
      </c>
      <c r="D1079" s="99" t="s">
        <v>264</v>
      </c>
      <c r="E1079" s="32">
        <v>1.0</v>
      </c>
      <c r="F1079" s="130">
        <v>1.0</v>
      </c>
      <c r="G1079" s="32">
        <v>1.0</v>
      </c>
      <c r="H1079" s="130">
        <v>1.0</v>
      </c>
    </row>
    <row r="1080" ht="14.25" customHeight="1">
      <c r="A1080" s="129" t="s">
        <v>138</v>
      </c>
      <c r="B1080" s="129" t="s">
        <v>138</v>
      </c>
      <c r="C1080" s="7" t="s">
        <v>43</v>
      </c>
      <c r="D1080" s="99" t="s">
        <v>264</v>
      </c>
      <c r="E1080" s="32">
        <v>1.0</v>
      </c>
      <c r="F1080" s="130">
        <v>1.0</v>
      </c>
      <c r="G1080" s="32">
        <v>1.0</v>
      </c>
      <c r="H1080" s="130">
        <v>1.0</v>
      </c>
    </row>
    <row r="1081" ht="14.25" customHeight="1">
      <c r="A1081" s="129" t="s">
        <v>150</v>
      </c>
      <c r="B1081" s="129" t="s">
        <v>151</v>
      </c>
      <c r="C1081" s="7" t="s">
        <v>43</v>
      </c>
      <c r="D1081" s="99" t="s">
        <v>264</v>
      </c>
      <c r="E1081" s="32">
        <v>1.0</v>
      </c>
      <c r="F1081" s="130">
        <v>1.0</v>
      </c>
      <c r="G1081" s="32">
        <v>1.0</v>
      </c>
      <c r="H1081" s="130">
        <v>1.0</v>
      </c>
    </row>
    <row r="1082" ht="14.25" customHeight="1">
      <c r="A1082" s="110" t="s">
        <v>138</v>
      </c>
      <c r="B1082" s="110" t="s">
        <v>845</v>
      </c>
      <c r="C1082" s="99" t="s">
        <v>43</v>
      </c>
      <c r="D1082" s="99" t="s">
        <v>264</v>
      </c>
      <c r="E1082" s="32">
        <v>1.0</v>
      </c>
      <c r="F1082" s="130">
        <v>1.0</v>
      </c>
      <c r="G1082" s="32">
        <v>1.0</v>
      </c>
      <c r="H1082" s="130">
        <v>1.0</v>
      </c>
    </row>
    <row r="1083" ht="14.25" customHeight="1">
      <c r="A1083" s="110" t="s">
        <v>138</v>
      </c>
      <c r="B1083" s="124" t="s">
        <v>841</v>
      </c>
      <c r="C1083" s="99" t="s">
        <v>43</v>
      </c>
      <c r="D1083" s="99" t="s">
        <v>264</v>
      </c>
      <c r="E1083" s="32">
        <v>1.0</v>
      </c>
      <c r="F1083" s="32">
        <v>1.0</v>
      </c>
      <c r="G1083" s="32">
        <v>1.0</v>
      </c>
      <c r="H1083" s="32">
        <v>1.0</v>
      </c>
    </row>
    <row r="1084" ht="14.25" customHeight="1">
      <c r="A1084" s="110" t="s">
        <v>138</v>
      </c>
      <c r="B1084" s="124" t="s">
        <v>841</v>
      </c>
      <c r="C1084" s="99" t="s">
        <v>43</v>
      </c>
      <c r="D1084" s="99" t="s">
        <v>264</v>
      </c>
      <c r="E1084" s="32">
        <v>1.0</v>
      </c>
      <c r="F1084" s="32">
        <v>1.0</v>
      </c>
      <c r="G1084" s="32">
        <v>1.0</v>
      </c>
      <c r="H1084" s="32">
        <v>1.0</v>
      </c>
    </row>
    <row r="1085" ht="14.25" customHeight="1">
      <c r="A1085" s="110" t="s">
        <v>138</v>
      </c>
      <c r="B1085" s="124" t="s">
        <v>840</v>
      </c>
      <c r="C1085" s="99" t="s">
        <v>43</v>
      </c>
      <c r="D1085" s="99" t="s">
        <v>264</v>
      </c>
      <c r="E1085" s="32">
        <v>1.0</v>
      </c>
      <c r="F1085" s="32">
        <v>1.0</v>
      </c>
      <c r="G1085" s="32">
        <v>1.0</v>
      </c>
      <c r="H1085" s="32">
        <v>1.0</v>
      </c>
    </row>
    <row r="1086" ht="14.25" customHeight="1">
      <c r="A1086" s="110" t="s">
        <v>138</v>
      </c>
      <c r="B1086" s="124" t="s">
        <v>840</v>
      </c>
      <c r="C1086" s="99" t="s">
        <v>43</v>
      </c>
      <c r="D1086" s="99" t="s">
        <v>264</v>
      </c>
      <c r="E1086" s="32">
        <v>1.0</v>
      </c>
      <c r="F1086" s="32">
        <v>1.0</v>
      </c>
      <c r="G1086" s="32">
        <v>1.0</v>
      </c>
      <c r="H1086" s="32">
        <v>1.0</v>
      </c>
    </row>
    <row r="1087" ht="14.25" customHeight="1">
      <c r="A1087" s="110" t="s">
        <v>138</v>
      </c>
      <c r="B1087" s="124" t="s">
        <v>845</v>
      </c>
      <c r="C1087" s="99" t="s">
        <v>43</v>
      </c>
      <c r="D1087" s="99" t="s">
        <v>264</v>
      </c>
      <c r="E1087" s="32">
        <v>1.0</v>
      </c>
      <c r="F1087" s="32">
        <v>1.0</v>
      </c>
      <c r="G1087" s="32">
        <v>1.0</v>
      </c>
      <c r="H1087" s="32">
        <v>1.0</v>
      </c>
    </row>
    <row r="1088" ht="14.25" customHeight="1">
      <c r="A1088" s="131" t="s">
        <v>309</v>
      </c>
      <c r="B1088" s="131" t="s">
        <v>839</v>
      </c>
      <c r="C1088" s="127" t="s">
        <v>43</v>
      </c>
      <c r="D1088" s="99" t="s">
        <v>264</v>
      </c>
      <c r="E1088" s="130">
        <v>1.0</v>
      </c>
      <c r="F1088" s="130">
        <v>1.0</v>
      </c>
      <c r="G1088" s="32">
        <v>1.0</v>
      </c>
      <c r="H1088" s="130">
        <v>1.0</v>
      </c>
    </row>
    <row r="1089" ht="14.25" customHeight="1">
      <c r="A1089" s="140" t="s">
        <v>309</v>
      </c>
      <c r="B1089" s="140" t="s">
        <v>846</v>
      </c>
      <c r="C1089" s="7" t="s">
        <v>43</v>
      </c>
      <c r="D1089" s="99" t="s">
        <v>264</v>
      </c>
      <c r="E1089" s="32">
        <v>1.0</v>
      </c>
      <c r="F1089" s="130">
        <v>1.0</v>
      </c>
      <c r="G1089" s="32">
        <v>1.0</v>
      </c>
      <c r="H1089" s="130">
        <v>1.0</v>
      </c>
    </row>
    <row r="1090" ht="14.25" customHeight="1">
      <c r="A1090" s="140" t="s">
        <v>309</v>
      </c>
      <c r="B1090" s="140" t="s">
        <v>846</v>
      </c>
      <c r="C1090" s="7" t="s">
        <v>43</v>
      </c>
      <c r="D1090" s="99" t="s">
        <v>264</v>
      </c>
      <c r="E1090" s="32">
        <v>1.0</v>
      </c>
      <c r="F1090" s="130">
        <v>1.0</v>
      </c>
      <c r="G1090" s="32">
        <v>1.0</v>
      </c>
      <c r="H1090" s="130">
        <v>1.0</v>
      </c>
    </row>
    <row r="1091" ht="14.25" customHeight="1">
      <c r="A1091" s="140" t="s">
        <v>309</v>
      </c>
      <c r="B1091" s="140" t="s">
        <v>846</v>
      </c>
      <c r="C1091" s="7" t="s">
        <v>43</v>
      </c>
      <c r="D1091" s="99" t="s">
        <v>264</v>
      </c>
      <c r="E1091" s="32">
        <v>1.0</v>
      </c>
      <c r="F1091" s="130">
        <v>1.0</v>
      </c>
      <c r="G1091" s="32">
        <v>1.0</v>
      </c>
      <c r="H1091" s="130">
        <v>1.0</v>
      </c>
    </row>
    <row r="1092" ht="14.25" customHeight="1">
      <c r="A1092" s="140" t="s">
        <v>309</v>
      </c>
      <c r="B1092" s="140" t="s">
        <v>846</v>
      </c>
      <c r="C1092" s="7" t="s">
        <v>43</v>
      </c>
      <c r="D1092" s="99" t="s">
        <v>264</v>
      </c>
      <c r="E1092" s="32">
        <v>1.0</v>
      </c>
      <c r="F1092" s="130">
        <v>1.0</v>
      </c>
      <c r="G1092" s="32">
        <v>1.0</v>
      </c>
      <c r="H1092" s="130">
        <v>1.0</v>
      </c>
    </row>
    <row r="1093" ht="14.25" customHeight="1">
      <c r="A1093" s="140" t="s">
        <v>309</v>
      </c>
      <c r="B1093" s="140" t="s">
        <v>846</v>
      </c>
      <c r="C1093" s="7" t="s">
        <v>43</v>
      </c>
      <c r="D1093" s="99" t="s">
        <v>264</v>
      </c>
      <c r="E1093" s="32">
        <v>1.0</v>
      </c>
      <c r="F1093" s="130">
        <v>1.0</v>
      </c>
      <c r="G1093" s="32">
        <v>1.0</v>
      </c>
      <c r="H1093" s="130">
        <v>1.0</v>
      </c>
    </row>
    <row r="1094" ht="14.25" customHeight="1">
      <c r="A1094" s="140" t="s">
        <v>847</v>
      </c>
      <c r="B1094" s="140" t="s">
        <v>848</v>
      </c>
      <c r="C1094" s="7" t="s">
        <v>43</v>
      </c>
      <c r="D1094" s="99" t="s">
        <v>264</v>
      </c>
      <c r="E1094" s="32">
        <v>1.0</v>
      </c>
      <c r="F1094" s="130">
        <v>1.0</v>
      </c>
      <c r="G1094" s="32">
        <v>1.0</v>
      </c>
      <c r="H1094" s="130">
        <v>1.0</v>
      </c>
    </row>
    <row r="1095" ht="14.25" customHeight="1">
      <c r="A1095" s="131" t="s">
        <v>138</v>
      </c>
      <c r="B1095" s="131" t="s">
        <v>849</v>
      </c>
      <c r="C1095" s="7" t="s">
        <v>43</v>
      </c>
      <c r="D1095" s="99" t="s">
        <v>264</v>
      </c>
      <c r="E1095" s="32">
        <v>1.0</v>
      </c>
      <c r="F1095" s="130">
        <v>1.0</v>
      </c>
      <c r="G1095" s="32">
        <v>1.0</v>
      </c>
      <c r="H1095" s="130">
        <v>1.0</v>
      </c>
    </row>
    <row r="1096" ht="14.25" customHeight="1">
      <c r="A1096" s="131" t="s">
        <v>138</v>
      </c>
      <c r="B1096" s="131" t="s">
        <v>850</v>
      </c>
      <c r="C1096" s="7" t="s">
        <v>43</v>
      </c>
      <c r="D1096" s="99" t="s">
        <v>264</v>
      </c>
      <c r="E1096" s="32">
        <v>1.0</v>
      </c>
      <c r="F1096" s="130">
        <v>1.0</v>
      </c>
      <c r="G1096" s="32">
        <v>1.0</v>
      </c>
      <c r="H1096" s="130">
        <v>1.0</v>
      </c>
    </row>
    <row r="1097" ht="14.25" customHeight="1">
      <c r="A1097" s="27" t="s">
        <v>231</v>
      </c>
      <c r="B1097" s="125" t="s">
        <v>244</v>
      </c>
      <c r="C1097" s="29" t="s">
        <v>43</v>
      </c>
      <c r="D1097" s="29" t="s">
        <v>744</v>
      </c>
      <c r="E1097" s="32">
        <v>46.0</v>
      </c>
      <c r="F1097" s="32">
        <v>40.0</v>
      </c>
      <c r="G1097" s="32">
        <v>46.0</v>
      </c>
      <c r="H1097" s="32">
        <v>55.0</v>
      </c>
    </row>
    <row r="1098" ht="14.25" customHeight="1">
      <c r="A1098" s="129" t="s">
        <v>231</v>
      </c>
      <c r="B1098" s="129" t="s">
        <v>244</v>
      </c>
      <c r="C1098" s="7" t="s">
        <v>43</v>
      </c>
      <c r="D1098" s="99" t="s">
        <v>744</v>
      </c>
      <c r="E1098" s="32">
        <v>30.0</v>
      </c>
      <c r="F1098" s="32">
        <v>20.0</v>
      </c>
      <c r="G1098" s="32">
        <v>35.0</v>
      </c>
      <c r="H1098" s="32">
        <v>42.0</v>
      </c>
    </row>
    <row r="1099" ht="14.25" customHeight="1">
      <c r="A1099" s="110" t="s">
        <v>235</v>
      </c>
      <c r="B1099" s="110" t="s">
        <v>851</v>
      </c>
      <c r="C1099" s="99" t="s">
        <v>43</v>
      </c>
      <c r="D1099" s="99" t="s">
        <v>744</v>
      </c>
      <c r="E1099" s="32">
        <v>26.0</v>
      </c>
      <c r="F1099" s="135">
        <v>20.0</v>
      </c>
      <c r="G1099" s="32">
        <v>27.0</v>
      </c>
      <c r="H1099" s="135">
        <v>33.0</v>
      </c>
    </row>
    <row r="1100" ht="14.25" customHeight="1">
      <c r="A1100" s="110" t="s">
        <v>235</v>
      </c>
      <c r="B1100" s="124" t="s">
        <v>851</v>
      </c>
      <c r="C1100" s="99" t="s">
        <v>43</v>
      </c>
      <c r="D1100" s="99" t="s">
        <v>744</v>
      </c>
      <c r="E1100" s="32">
        <v>30.0</v>
      </c>
      <c r="F1100" s="32">
        <v>20.0</v>
      </c>
      <c r="G1100" s="32">
        <v>35.0</v>
      </c>
      <c r="H1100" s="32">
        <v>42.0</v>
      </c>
    </row>
    <row r="1101" ht="14.25" customHeight="1">
      <c r="A1101" s="27" t="s">
        <v>170</v>
      </c>
      <c r="B1101" s="125" t="s">
        <v>171</v>
      </c>
      <c r="C1101" s="29" t="s">
        <v>43</v>
      </c>
      <c r="D1101" s="29" t="s">
        <v>253</v>
      </c>
      <c r="E1101" s="32">
        <v>40.0</v>
      </c>
      <c r="F1101" s="32">
        <v>32.0</v>
      </c>
      <c r="G1101" s="32">
        <v>40.0</v>
      </c>
      <c r="H1101" s="32">
        <v>48.0</v>
      </c>
    </row>
    <row r="1102" ht="14.25" customHeight="1">
      <c r="A1102" s="129" t="s">
        <v>170</v>
      </c>
      <c r="B1102" s="129" t="s">
        <v>171</v>
      </c>
      <c r="C1102" s="7" t="s">
        <v>43</v>
      </c>
      <c r="D1102" s="99" t="s">
        <v>269</v>
      </c>
      <c r="E1102" s="32">
        <v>18.0</v>
      </c>
      <c r="F1102" s="130">
        <v>10.0</v>
      </c>
      <c r="G1102" s="32">
        <v>25.0</v>
      </c>
      <c r="H1102" s="130">
        <v>30.0</v>
      </c>
    </row>
    <row r="1103" ht="14.25" customHeight="1">
      <c r="A1103" s="110" t="s">
        <v>852</v>
      </c>
      <c r="B1103" s="124" t="s">
        <v>853</v>
      </c>
      <c r="C1103" s="99"/>
      <c r="D1103" s="99" t="s">
        <v>747</v>
      </c>
      <c r="E1103" s="32">
        <v>30.0</v>
      </c>
      <c r="F1103" s="3">
        <v>18.0</v>
      </c>
      <c r="G1103" s="32">
        <v>42.0</v>
      </c>
      <c r="H1103" s="3">
        <v>50.0</v>
      </c>
    </row>
    <row r="1104" ht="14.25" customHeight="1">
      <c r="A1104" s="27" t="s">
        <v>637</v>
      </c>
      <c r="B1104" s="125" t="s">
        <v>607</v>
      </c>
      <c r="C1104" s="29" t="s">
        <v>30</v>
      </c>
      <c r="D1104" s="29" t="s">
        <v>741</v>
      </c>
      <c r="E1104" s="32">
        <v>35.0</v>
      </c>
      <c r="F1104" s="32">
        <v>30.0</v>
      </c>
      <c r="G1104" s="32">
        <v>35.0</v>
      </c>
      <c r="H1104" s="32">
        <v>40.0</v>
      </c>
    </row>
    <row r="1105" ht="14.25" customHeight="1">
      <c r="A1105" s="27" t="s">
        <v>605</v>
      </c>
      <c r="B1105" s="125" t="s">
        <v>606</v>
      </c>
      <c r="C1105" s="29" t="s">
        <v>30</v>
      </c>
      <c r="D1105" s="29" t="s">
        <v>741</v>
      </c>
      <c r="E1105" s="32">
        <v>35.0</v>
      </c>
      <c r="F1105" s="32">
        <v>30.0</v>
      </c>
      <c r="G1105" s="32">
        <v>35.0</v>
      </c>
      <c r="H1105" s="32">
        <v>40.0</v>
      </c>
    </row>
    <row r="1106" ht="14.25" customHeight="1">
      <c r="A1106" s="27" t="s">
        <v>605</v>
      </c>
      <c r="B1106" s="125" t="s">
        <v>607</v>
      </c>
      <c r="C1106" s="29" t="s">
        <v>30</v>
      </c>
      <c r="D1106" s="29" t="s">
        <v>741</v>
      </c>
      <c r="E1106" s="32">
        <v>35.0</v>
      </c>
      <c r="F1106" s="32">
        <v>30.0</v>
      </c>
      <c r="G1106" s="32">
        <v>35.0</v>
      </c>
      <c r="H1106" s="32">
        <v>40.0</v>
      </c>
    </row>
    <row r="1107" ht="14.25" customHeight="1">
      <c r="A1107" s="27" t="s">
        <v>45</v>
      </c>
      <c r="B1107" s="125" t="s">
        <v>46</v>
      </c>
      <c r="C1107" s="29" t="s">
        <v>30</v>
      </c>
      <c r="D1107" s="29" t="s">
        <v>741</v>
      </c>
      <c r="E1107" s="32">
        <v>35.0</v>
      </c>
      <c r="F1107" s="32">
        <v>30.0</v>
      </c>
      <c r="G1107" s="32">
        <v>35.0</v>
      </c>
      <c r="H1107" s="32">
        <v>40.0</v>
      </c>
    </row>
    <row r="1108" ht="14.25" customHeight="1">
      <c r="A1108" s="27" t="s">
        <v>607</v>
      </c>
      <c r="B1108" s="125" t="s">
        <v>607</v>
      </c>
      <c r="C1108" s="29" t="s">
        <v>43</v>
      </c>
      <c r="D1108" s="29" t="s">
        <v>264</v>
      </c>
      <c r="E1108" s="32">
        <v>1.0</v>
      </c>
      <c r="F1108" s="32">
        <v>1.0</v>
      </c>
      <c r="G1108" s="32">
        <v>1.0</v>
      </c>
      <c r="H1108" s="32">
        <v>1.0</v>
      </c>
    </row>
    <row r="1109" ht="14.25" customHeight="1">
      <c r="A1109" s="27" t="s">
        <v>729</v>
      </c>
      <c r="B1109" s="27" t="s">
        <v>607</v>
      </c>
      <c r="C1109" s="29" t="s">
        <v>30</v>
      </c>
      <c r="D1109" s="99" t="s">
        <v>747</v>
      </c>
      <c r="E1109" s="32">
        <v>34.0</v>
      </c>
      <c r="F1109" s="32">
        <v>35.0</v>
      </c>
      <c r="G1109" s="32">
        <v>34.0</v>
      </c>
      <c r="H1109" s="32">
        <v>41.0</v>
      </c>
    </row>
    <row r="1110" ht="14.25" customHeight="1">
      <c r="A1110" s="27" t="s">
        <v>605</v>
      </c>
      <c r="B1110" s="27" t="s">
        <v>606</v>
      </c>
      <c r="C1110" s="29" t="s">
        <v>30</v>
      </c>
      <c r="D1110" s="133" t="s">
        <v>744</v>
      </c>
      <c r="E1110" s="32">
        <v>34.0</v>
      </c>
      <c r="F1110" s="32">
        <v>35.0</v>
      </c>
      <c r="G1110" s="32">
        <v>34.0</v>
      </c>
      <c r="H1110" s="32">
        <v>41.0</v>
      </c>
    </row>
    <row r="1111" ht="14.25" customHeight="1">
      <c r="A1111" s="27" t="s">
        <v>605</v>
      </c>
      <c r="B1111" s="27" t="s">
        <v>607</v>
      </c>
      <c r="C1111" s="29" t="s">
        <v>30</v>
      </c>
      <c r="D1111" s="133" t="s">
        <v>744</v>
      </c>
      <c r="E1111" s="32">
        <v>34.0</v>
      </c>
      <c r="F1111" s="32">
        <v>35.0</v>
      </c>
      <c r="G1111" s="32">
        <v>34.0</v>
      </c>
      <c r="H1111" s="32">
        <v>41.0</v>
      </c>
    </row>
    <row r="1112" ht="14.25" customHeight="1">
      <c r="A1112" s="129" t="s">
        <v>45</v>
      </c>
      <c r="B1112" s="129" t="s">
        <v>46</v>
      </c>
      <c r="C1112" s="7" t="s">
        <v>30</v>
      </c>
      <c r="D1112" s="110" t="e">
        <v>#N/A</v>
      </c>
      <c r="E1112" s="130">
        <v>38.0</v>
      </c>
      <c r="F1112" s="130">
        <v>35.0</v>
      </c>
      <c r="G1112" s="32">
        <v>34.0</v>
      </c>
      <c r="H1112" s="130">
        <v>41.0</v>
      </c>
    </row>
    <row r="1113" ht="14.25" customHeight="1">
      <c r="A1113" s="131" t="s">
        <v>783</v>
      </c>
      <c r="B1113" s="131" t="s">
        <v>784</v>
      </c>
      <c r="C1113" s="7" t="s">
        <v>43</v>
      </c>
      <c r="D1113" s="99" t="s">
        <v>156</v>
      </c>
      <c r="E1113" s="32">
        <v>2.0</v>
      </c>
      <c r="F1113" s="32">
        <v>1.0</v>
      </c>
      <c r="G1113" s="32">
        <v>2.0</v>
      </c>
      <c r="H1113" s="32">
        <v>2.0</v>
      </c>
    </row>
    <row r="1114" ht="14.25" customHeight="1">
      <c r="A1114" s="27" t="s">
        <v>695</v>
      </c>
      <c r="B1114" s="125" t="s">
        <v>696</v>
      </c>
      <c r="C1114" s="29" t="s">
        <v>43</v>
      </c>
      <c r="D1114" s="29" t="s">
        <v>742</v>
      </c>
      <c r="E1114" s="32">
        <v>10.0</v>
      </c>
      <c r="F1114" s="32">
        <v>8.0</v>
      </c>
      <c r="G1114" s="32">
        <v>10.0</v>
      </c>
      <c r="H1114" s="32">
        <v>12.0</v>
      </c>
    </row>
    <row r="1115" ht="14.25" customHeight="1">
      <c r="A1115" s="27" t="s">
        <v>695</v>
      </c>
      <c r="B1115" s="27" t="s">
        <v>696</v>
      </c>
      <c r="C1115" s="29" t="s">
        <v>43</v>
      </c>
      <c r="D1115" s="99" t="s">
        <v>742</v>
      </c>
      <c r="E1115" s="32">
        <v>10.0</v>
      </c>
      <c r="F1115" s="135">
        <v>8.0</v>
      </c>
      <c r="G1115" s="32">
        <v>10.0</v>
      </c>
      <c r="H1115" s="135">
        <v>12.0</v>
      </c>
    </row>
    <row r="1116" ht="14.25" customHeight="1">
      <c r="A1116" s="13" t="s">
        <v>293</v>
      </c>
      <c r="B1116" s="13" t="s">
        <v>854</v>
      </c>
      <c r="C1116" s="127" t="s">
        <v>43</v>
      </c>
      <c r="D1116" s="99" t="s">
        <v>269</v>
      </c>
      <c r="E1116" s="32">
        <v>1.0</v>
      </c>
      <c r="F1116" s="128">
        <v>1.0</v>
      </c>
      <c r="G1116" s="32">
        <v>1.0</v>
      </c>
      <c r="H1116" s="128">
        <v>1.0</v>
      </c>
    </row>
    <row r="1117" ht="14.25" customHeight="1">
      <c r="A1117" s="110" t="s">
        <v>235</v>
      </c>
      <c r="B1117" s="124" t="s">
        <v>855</v>
      </c>
      <c r="C1117" s="99" t="s">
        <v>43</v>
      </c>
      <c r="D1117" s="99" t="s">
        <v>744</v>
      </c>
      <c r="E1117" s="128">
        <v>34.0</v>
      </c>
      <c r="F1117" s="136">
        <v>1.0</v>
      </c>
      <c r="G1117" s="32">
        <v>1.0</v>
      </c>
      <c r="H1117" s="136">
        <v>1.0</v>
      </c>
    </row>
    <row r="1118" ht="14.25" customHeight="1">
      <c r="A1118" s="27" t="s">
        <v>531</v>
      </c>
      <c r="B1118" s="125" t="s">
        <v>532</v>
      </c>
      <c r="C1118" s="29" t="s">
        <v>43</v>
      </c>
      <c r="D1118" s="29" t="s">
        <v>257</v>
      </c>
      <c r="E1118" s="32">
        <v>125.0</v>
      </c>
      <c r="F1118" s="32">
        <v>100.0</v>
      </c>
      <c r="G1118" s="32">
        <v>125.0</v>
      </c>
      <c r="H1118" s="32">
        <v>150.0</v>
      </c>
    </row>
    <row r="1119" ht="14.25" customHeight="1">
      <c r="A1119" s="27" t="s">
        <v>589</v>
      </c>
      <c r="B1119" s="125" t="s">
        <v>590</v>
      </c>
      <c r="C1119" s="29" t="s">
        <v>43</v>
      </c>
      <c r="D1119" s="29" t="s">
        <v>257</v>
      </c>
      <c r="E1119" s="32">
        <v>50.0</v>
      </c>
      <c r="F1119" s="32">
        <v>40.0</v>
      </c>
      <c r="G1119" s="32">
        <v>50.0</v>
      </c>
      <c r="H1119" s="32">
        <v>60.0</v>
      </c>
    </row>
    <row r="1120" ht="14.25" customHeight="1">
      <c r="A1120" s="27" t="s">
        <v>566</v>
      </c>
      <c r="B1120" s="125" t="s">
        <v>567</v>
      </c>
      <c r="C1120" s="29" t="s">
        <v>43</v>
      </c>
      <c r="D1120" s="29" t="s">
        <v>257</v>
      </c>
      <c r="E1120" s="32">
        <v>50.0</v>
      </c>
      <c r="F1120" s="32">
        <v>40.0</v>
      </c>
      <c r="G1120" s="32">
        <v>50.0</v>
      </c>
      <c r="H1120" s="32">
        <v>60.0</v>
      </c>
    </row>
    <row r="1121" ht="14.25" customHeight="1">
      <c r="A1121" s="27" t="s">
        <v>257</v>
      </c>
      <c r="B1121" s="125" t="s">
        <v>507</v>
      </c>
      <c r="C1121" s="29" t="s">
        <v>43</v>
      </c>
      <c r="D1121" s="29" t="s">
        <v>257</v>
      </c>
      <c r="E1121" s="32">
        <v>6.0</v>
      </c>
      <c r="F1121" s="32">
        <v>5.0</v>
      </c>
      <c r="G1121" s="32">
        <v>6.0</v>
      </c>
      <c r="H1121" s="32">
        <v>7.0</v>
      </c>
    </row>
    <row r="1122" ht="14.25" customHeight="1">
      <c r="A1122" s="27" t="s">
        <v>257</v>
      </c>
      <c r="B1122" s="125" t="s">
        <v>508</v>
      </c>
      <c r="C1122" s="29" t="s">
        <v>43</v>
      </c>
      <c r="D1122" s="29" t="s">
        <v>257</v>
      </c>
      <c r="E1122" s="32">
        <v>4.0</v>
      </c>
      <c r="F1122" s="32">
        <v>3.0</v>
      </c>
      <c r="G1122" s="32">
        <v>4.0</v>
      </c>
      <c r="H1122" s="32">
        <v>4.0</v>
      </c>
    </row>
    <row r="1123" ht="14.25" customHeight="1">
      <c r="A1123" s="27" t="s">
        <v>257</v>
      </c>
      <c r="B1123" s="125" t="s">
        <v>509</v>
      </c>
      <c r="C1123" s="29" t="s">
        <v>43</v>
      </c>
      <c r="D1123" s="29" t="s">
        <v>257</v>
      </c>
      <c r="E1123" s="32">
        <v>4.0</v>
      </c>
      <c r="F1123" s="32">
        <v>3.0</v>
      </c>
      <c r="G1123" s="32">
        <v>4.0</v>
      </c>
      <c r="H1123" s="32">
        <v>4.0</v>
      </c>
    </row>
    <row r="1124" ht="14.25" customHeight="1">
      <c r="A1124" s="27" t="s">
        <v>365</v>
      </c>
      <c r="B1124" s="125" t="s">
        <v>257</v>
      </c>
      <c r="C1124" s="29" t="s">
        <v>43</v>
      </c>
      <c r="D1124" s="29" t="s">
        <v>257</v>
      </c>
      <c r="E1124" s="32">
        <v>9.0</v>
      </c>
      <c r="F1124" s="32">
        <v>7.0</v>
      </c>
      <c r="G1124" s="32">
        <v>9.0</v>
      </c>
      <c r="H1124" s="32">
        <v>11.0</v>
      </c>
    </row>
    <row r="1125" ht="14.25" customHeight="1">
      <c r="A1125" s="27" t="s">
        <v>377</v>
      </c>
      <c r="B1125" s="125" t="s">
        <v>257</v>
      </c>
      <c r="C1125" s="29" t="s">
        <v>43</v>
      </c>
      <c r="D1125" s="29" t="s">
        <v>257</v>
      </c>
      <c r="E1125" s="32">
        <v>9.0</v>
      </c>
      <c r="F1125" s="32">
        <v>7.0</v>
      </c>
      <c r="G1125" s="32">
        <v>9.0</v>
      </c>
      <c r="H1125" s="32">
        <v>11.0</v>
      </c>
    </row>
    <row r="1126" ht="14.25" customHeight="1">
      <c r="A1126" s="27" t="s">
        <v>562</v>
      </c>
      <c r="B1126" s="27" t="s">
        <v>562</v>
      </c>
      <c r="C1126" s="29" t="s">
        <v>43</v>
      </c>
      <c r="D1126" s="99" t="s">
        <v>257</v>
      </c>
      <c r="E1126" s="32">
        <v>1.0</v>
      </c>
      <c r="F1126" s="32">
        <v>1.0</v>
      </c>
      <c r="G1126" s="32">
        <v>1.0</v>
      </c>
      <c r="H1126" s="32">
        <v>1.0</v>
      </c>
    </row>
    <row r="1127" ht="14.25" customHeight="1">
      <c r="A1127" s="27" t="s">
        <v>531</v>
      </c>
      <c r="B1127" s="27" t="s">
        <v>532</v>
      </c>
      <c r="C1127" s="29" t="s">
        <v>43</v>
      </c>
      <c r="D1127" s="99" t="s">
        <v>257</v>
      </c>
      <c r="E1127" s="32">
        <v>4.0</v>
      </c>
      <c r="F1127" s="32">
        <v>3.0</v>
      </c>
      <c r="G1127" s="32">
        <v>4.0</v>
      </c>
      <c r="H1127" s="32">
        <v>4.0</v>
      </c>
    </row>
    <row r="1128" ht="14.25" customHeight="1">
      <c r="A1128" s="27" t="s">
        <v>257</v>
      </c>
      <c r="B1128" s="27" t="s">
        <v>507</v>
      </c>
      <c r="C1128" s="29" t="s">
        <v>43</v>
      </c>
      <c r="D1128" s="99" t="s">
        <v>257</v>
      </c>
      <c r="E1128" s="32">
        <v>6.0</v>
      </c>
      <c r="F1128" s="32">
        <v>5.0</v>
      </c>
      <c r="G1128" s="32">
        <v>6.0</v>
      </c>
      <c r="H1128" s="32">
        <v>7.0</v>
      </c>
    </row>
    <row r="1129" ht="14.25" customHeight="1">
      <c r="A1129" s="27" t="s">
        <v>257</v>
      </c>
      <c r="B1129" s="27" t="s">
        <v>508</v>
      </c>
      <c r="C1129" s="29" t="s">
        <v>43</v>
      </c>
      <c r="D1129" s="99" t="s">
        <v>257</v>
      </c>
      <c r="E1129" s="32">
        <v>4.0</v>
      </c>
      <c r="F1129" s="32">
        <v>3.0</v>
      </c>
      <c r="G1129" s="32">
        <v>4.0</v>
      </c>
      <c r="H1129" s="32">
        <v>4.0</v>
      </c>
    </row>
    <row r="1130" ht="14.25" customHeight="1">
      <c r="A1130" s="27" t="s">
        <v>257</v>
      </c>
      <c r="B1130" s="27" t="s">
        <v>509</v>
      </c>
      <c r="C1130" s="29" t="s">
        <v>43</v>
      </c>
      <c r="D1130" s="99" t="s">
        <v>257</v>
      </c>
      <c r="E1130" s="32">
        <v>4.0</v>
      </c>
      <c r="F1130" s="32">
        <v>3.0</v>
      </c>
      <c r="G1130" s="32">
        <v>4.0</v>
      </c>
      <c r="H1130" s="32">
        <v>4.0</v>
      </c>
    </row>
    <row r="1131" ht="14.25" customHeight="1">
      <c r="A1131" s="13" t="s">
        <v>377</v>
      </c>
      <c r="B1131" s="126" t="s">
        <v>856</v>
      </c>
      <c r="C1131" s="29" t="s">
        <v>43</v>
      </c>
      <c r="D1131" s="99" t="s">
        <v>257</v>
      </c>
      <c r="E1131" s="32">
        <v>15.0</v>
      </c>
      <c r="F1131" s="128">
        <v>9.0</v>
      </c>
      <c r="G1131" s="32">
        <v>15.0</v>
      </c>
      <c r="H1131" s="128">
        <v>18.0</v>
      </c>
    </row>
    <row r="1132" ht="14.25" customHeight="1">
      <c r="A1132" s="13" t="s">
        <v>721</v>
      </c>
      <c r="B1132" s="126" t="s">
        <v>722</v>
      </c>
      <c r="C1132" s="127"/>
      <c r="D1132" s="110" t="s">
        <v>257</v>
      </c>
      <c r="E1132" s="32">
        <v>12.0</v>
      </c>
      <c r="F1132" s="128">
        <v>6.0</v>
      </c>
      <c r="G1132" s="32">
        <v>12.0</v>
      </c>
      <c r="H1132" s="128">
        <v>14.0</v>
      </c>
    </row>
    <row r="1133" ht="14.25" customHeight="1">
      <c r="A1133" s="27" t="s">
        <v>377</v>
      </c>
      <c r="B1133" s="27" t="s">
        <v>257</v>
      </c>
      <c r="C1133" s="29" t="s">
        <v>43</v>
      </c>
      <c r="D1133" s="99" t="s">
        <v>257</v>
      </c>
      <c r="E1133" s="32">
        <v>9.0</v>
      </c>
      <c r="F1133" s="32">
        <v>7.0</v>
      </c>
      <c r="G1133" s="32">
        <v>9.0</v>
      </c>
      <c r="H1133" s="32">
        <v>11.0</v>
      </c>
    </row>
    <row r="1134" ht="14.25" customHeight="1">
      <c r="A1134" s="27" t="s">
        <v>365</v>
      </c>
      <c r="B1134" s="27" t="s">
        <v>257</v>
      </c>
      <c r="C1134" s="29" t="s">
        <v>43</v>
      </c>
      <c r="D1134" s="99" t="s">
        <v>257</v>
      </c>
      <c r="E1134" s="32">
        <v>9.0</v>
      </c>
      <c r="F1134" s="32">
        <v>7.0</v>
      </c>
      <c r="G1134" s="32">
        <v>9.0</v>
      </c>
      <c r="H1134" s="32">
        <v>11.0</v>
      </c>
    </row>
    <row r="1135" ht="14.25" customHeight="1">
      <c r="A1135" s="13" t="s">
        <v>365</v>
      </c>
      <c r="B1135" s="126" t="s">
        <v>857</v>
      </c>
      <c r="C1135" s="127"/>
      <c r="D1135" s="110" t="s">
        <v>257</v>
      </c>
      <c r="E1135" s="32">
        <v>10.0</v>
      </c>
      <c r="F1135" s="135">
        <v>8.0</v>
      </c>
      <c r="G1135" s="32">
        <v>10.0</v>
      </c>
      <c r="H1135" s="135">
        <v>12.0</v>
      </c>
    </row>
    <row r="1136" ht="14.25" customHeight="1">
      <c r="A1136" s="27" t="s">
        <v>324</v>
      </c>
      <c r="B1136" s="125" t="s">
        <v>325</v>
      </c>
      <c r="C1136" s="29" t="s">
        <v>43</v>
      </c>
      <c r="D1136" s="29" t="s">
        <v>269</v>
      </c>
      <c r="E1136" s="32">
        <v>4.0</v>
      </c>
      <c r="F1136" s="32">
        <v>3.0</v>
      </c>
      <c r="G1136" s="32">
        <v>4.0</v>
      </c>
      <c r="H1136" s="32">
        <v>4.0</v>
      </c>
    </row>
    <row r="1137" ht="14.25" customHeight="1">
      <c r="A1137" s="27" t="s">
        <v>324</v>
      </c>
      <c r="B1137" s="125" t="s">
        <v>326</v>
      </c>
      <c r="C1137" s="29" t="s">
        <v>43</v>
      </c>
      <c r="D1137" s="29" t="s">
        <v>742</v>
      </c>
      <c r="E1137" s="32">
        <v>10.0</v>
      </c>
      <c r="F1137" s="32">
        <v>8.0</v>
      </c>
      <c r="G1137" s="32">
        <v>10.0</v>
      </c>
      <c r="H1137" s="32">
        <v>12.0</v>
      </c>
    </row>
    <row r="1138" ht="14.25" customHeight="1">
      <c r="A1138" s="27" t="s">
        <v>324</v>
      </c>
      <c r="B1138" s="125" t="s">
        <v>327</v>
      </c>
      <c r="C1138" s="29" t="s">
        <v>43</v>
      </c>
      <c r="D1138" s="29" t="s">
        <v>742</v>
      </c>
      <c r="E1138" s="32">
        <v>10.0</v>
      </c>
      <c r="F1138" s="32">
        <v>8.0</v>
      </c>
      <c r="G1138" s="32">
        <v>10.0</v>
      </c>
      <c r="H1138" s="32">
        <v>12.0</v>
      </c>
    </row>
    <row r="1139" ht="14.25" customHeight="1">
      <c r="A1139" s="27" t="s">
        <v>324</v>
      </c>
      <c r="B1139" s="125" t="s">
        <v>328</v>
      </c>
      <c r="C1139" s="29" t="s">
        <v>43</v>
      </c>
      <c r="D1139" s="29" t="s">
        <v>742</v>
      </c>
      <c r="E1139" s="32">
        <v>1.0</v>
      </c>
      <c r="F1139" s="32">
        <v>1.0</v>
      </c>
      <c r="G1139" s="32">
        <v>1.0</v>
      </c>
      <c r="H1139" s="32">
        <v>1.0</v>
      </c>
    </row>
    <row r="1140" ht="14.25" customHeight="1">
      <c r="A1140" s="27" t="s">
        <v>324</v>
      </c>
      <c r="B1140" s="125" t="s">
        <v>329</v>
      </c>
      <c r="C1140" s="29" t="s">
        <v>43</v>
      </c>
      <c r="D1140" s="29" t="s">
        <v>742</v>
      </c>
      <c r="E1140" s="32">
        <v>10.0</v>
      </c>
      <c r="F1140" s="32">
        <v>8.0</v>
      </c>
      <c r="G1140" s="32">
        <v>10.0</v>
      </c>
      <c r="H1140" s="32">
        <v>12.0</v>
      </c>
    </row>
    <row r="1141" ht="14.25" customHeight="1">
      <c r="A1141" s="27" t="s">
        <v>324</v>
      </c>
      <c r="B1141" s="125" t="s">
        <v>330</v>
      </c>
      <c r="C1141" s="29" t="s">
        <v>43</v>
      </c>
      <c r="D1141" s="29" t="s">
        <v>252</v>
      </c>
      <c r="E1141" s="32">
        <v>39.0</v>
      </c>
      <c r="F1141" s="32">
        <v>31.0</v>
      </c>
      <c r="G1141" s="32">
        <v>39.0</v>
      </c>
      <c r="H1141" s="32">
        <v>47.0</v>
      </c>
    </row>
    <row r="1142" ht="14.25" customHeight="1">
      <c r="A1142" s="27" t="s">
        <v>324</v>
      </c>
      <c r="B1142" s="125" t="s">
        <v>331</v>
      </c>
      <c r="C1142" s="29" t="s">
        <v>43</v>
      </c>
      <c r="D1142" s="29" t="s">
        <v>742</v>
      </c>
      <c r="E1142" s="32">
        <v>10.0</v>
      </c>
      <c r="F1142" s="32">
        <v>8.0</v>
      </c>
      <c r="G1142" s="32">
        <v>10.0</v>
      </c>
      <c r="H1142" s="32">
        <v>12.0</v>
      </c>
    </row>
    <row r="1143" ht="14.25" customHeight="1">
      <c r="A1143" s="27" t="s">
        <v>324</v>
      </c>
      <c r="B1143" s="125" t="s">
        <v>332</v>
      </c>
      <c r="C1143" s="29" t="s">
        <v>43</v>
      </c>
      <c r="D1143" s="29" t="s">
        <v>237</v>
      </c>
      <c r="E1143" s="32">
        <v>13.0</v>
      </c>
      <c r="F1143" s="32">
        <v>8.0</v>
      </c>
      <c r="G1143" s="32">
        <v>13.0</v>
      </c>
      <c r="H1143" s="32">
        <v>20.0</v>
      </c>
    </row>
    <row r="1144" ht="14.25" customHeight="1">
      <c r="A1144" s="27" t="s">
        <v>324</v>
      </c>
      <c r="B1144" s="27" t="s">
        <v>325</v>
      </c>
      <c r="C1144" s="29" t="s">
        <v>43</v>
      </c>
      <c r="D1144" s="99" t="s">
        <v>742</v>
      </c>
      <c r="E1144" s="32">
        <v>4.0</v>
      </c>
      <c r="F1144" s="32">
        <v>3.0</v>
      </c>
      <c r="G1144" s="32">
        <v>4.0</v>
      </c>
      <c r="H1144" s="32">
        <v>4.0</v>
      </c>
    </row>
    <row r="1145" ht="14.25" customHeight="1">
      <c r="A1145" s="27" t="s">
        <v>324</v>
      </c>
      <c r="B1145" s="27" t="s">
        <v>326</v>
      </c>
      <c r="C1145" s="29" t="s">
        <v>43</v>
      </c>
      <c r="D1145" s="99" t="s">
        <v>742</v>
      </c>
      <c r="E1145" s="32">
        <v>10.0</v>
      </c>
      <c r="F1145" s="32">
        <v>8.0</v>
      </c>
      <c r="G1145" s="32">
        <v>10.0</v>
      </c>
      <c r="H1145" s="32">
        <v>12.0</v>
      </c>
    </row>
    <row r="1146" ht="14.25" customHeight="1">
      <c r="A1146" s="27" t="s">
        <v>324</v>
      </c>
      <c r="B1146" s="27" t="s">
        <v>327</v>
      </c>
      <c r="C1146" s="29" t="s">
        <v>43</v>
      </c>
      <c r="D1146" s="99" t="s">
        <v>742</v>
      </c>
      <c r="E1146" s="32">
        <v>10.0</v>
      </c>
      <c r="F1146" s="32">
        <v>8.0</v>
      </c>
      <c r="G1146" s="32">
        <v>10.0</v>
      </c>
      <c r="H1146" s="32">
        <v>12.0</v>
      </c>
    </row>
    <row r="1147" ht="14.25" customHeight="1">
      <c r="A1147" s="27" t="s">
        <v>324</v>
      </c>
      <c r="B1147" s="27" t="s">
        <v>328</v>
      </c>
      <c r="C1147" s="29" t="s">
        <v>43</v>
      </c>
      <c r="D1147" s="99" t="s">
        <v>742</v>
      </c>
      <c r="E1147" s="32">
        <v>1.0</v>
      </c>
      <c r="F1147" s="32">
        <v>1.0</v>
      </c>
      <c r="G1147" s="32">
        <v>1.0</v>
      </c>
      <c r="H1147" s="32">
        <v>1.0</v>
      </c>
    </row>
    <row r="1148" ht="14.25" customHeight="1">
      <c r="A1148" s="27" t="s">
        <v>324</v>
      </c>
      <c r="B1148" s="27" t="s">
        <v>329</v>
      </c>
      <c r="C1148" s="29" t="s">
        <v>43</v>
      </c>
      <c r="D1148" s="99" t="s">
        <v>742</v>
      </c>
      <c r="E1148" s="32">
        <v>10.0</v>
      </c>
      <c r="F1148" s="32">
        <v>8.0</v>
      </c>
      <c r="G1148" s="32">
        <v>10.0</v>
      </c>
      <c r="H1148" s="32">
        <v>12.0</v>
      </c>
    </row>
    <row r="1149" ht="14.25" customHeight="1">
      <c r="A1149" s="27" t="s">
        <v>324</v>
      </c>
      <c r="B1149" s="27" t="s">
        <v>330</v>
      </c>
      <c r="C1149" s="29" t="s">
        <v>43</v>
      </c>
      <c r="D1149" s="29" t="s">
        <v>53</v>
      </c>
      <c r="E1149" s="32">
        <v>40.0</v>
      </c>
      <c r="F1149" s="32">
        <v>23.0</v>
      </c>
      <c r="G1149" s="32">
        <v>40.0</v>
      </c>
      <c r="H1149" s="32">
        <v>63.0</v>
      </c>
    </row>
    <row r="1150" ht="14.25" customHeight="1">
      <c r="A1150" s="27" t="s">
        <v>324</v>
      </c>
      <c r="B1150" s="27" t="s">
        <v>331</v>
      </c>
      <c r="C1150" s="29" t="s">
        <v>43</v>
      </c>
      <c r="D1150" s="99" t="s">
        <v>742</v>
      </c>
      <c r="E1150" s="32">
        <v>10.0</v>
      </c>
      <c r="F1150" s="32">
        <v>8.0</v>
      </c>
      <c r="G1150" s="32">
        <v>10.0</v>
      </c>
      <c r="H1150" s="32">
        <v>12.0</v>
      </c>
    </row>
    <row r="1151" ht="14.25" customHeight="1">
      <c r="A1151" s="27" t="s">
        <v>324</v>
      </c>
      <c r="B1151" s="27" t="s">
        <v>332</v>
      </c>
      <c r="C1151" s="29" t="s">
        <v>43</v>
      </c>
      <c r="D1151" s="29" t="s">
        <v>53</v>
      </c>
      <c r="E1151" s="32">
        <v>40.0</v>
      </c>
      <c r="F1151" s="32">
        <v>23.0</v>
      </c>
      <c r="G1151" s="32">
        <v>40.0</v>
      </c>
      <c r="H1151" s="32">
        <v>63.0</v>
      </c>
    </row>
    <row r="1152" ht="14.25" customHeight="1">
      <c r="A1152" s="13" t="s">
        <v>324</v>
      </c>
      <c r="B1152" s="13" t="s">
        <v>858</v>
      </c>
      <c r="C1152" s="127" t="s">
        <v>43</v>
      </c>
      <c r="D1152" s="99" t="s">
        <v>742</v>
      </c>
      <c r="E1152" s="32">
        <v>10.0</v>
      </c>
      <c r="F1152" s="128">
        <v>4.0</v>
      </c>
      <c r="G1152" s="32">
        <v>10.0</v>
      </c>
      <c r="H1152" s="128">
        <v>12.0</v>
      </c>
    </row>
    <row r="1153" ht="14.25" customHeight="1">
      <c r="A1153" s="13" t="s">
        <v>324</v>
      </c>
      <c r="B1153" s="13" t="s">
        <v>859</v>
      </c>
      <c r="C1153" s="127" t="s">
        <v>43</v>
      </c>
      <c r="D1153" s="99" t="s">
        <v>742</v>
      </c>
      <c r="E1153" s="32">
        <v>12.0</v>
      </c>
      <c r="F1153" s="32">
        <v>10.0</v>
      </c>
      <c r="G1153" s="32">
        <v>12.0</v>
      </c>
      <c r="H1153" s="32">
        <v>14.0</v>
      </c>
    </row>
    <row r="1154" ht="14.25" customHeight="1">
      <c r="A1154" s="13" t="s">
        <v>324</v>
      </c>
      <c r="B1154" s="13" t="s">
        <v>860</v>
      </c>
      <c r="C1154" s="127" t="s">
        <v>43</v>
      </c>
      <c r="D1154" s="99" t="s">
        <v>742</v>
      </c>
      <c r="E1154" s="32">
        <v>10.0</v>
      </c>
      <c r="F1154" s="128">
        <v>4.0</v>
      </c>
      <c r="G1154" s="32">
        <v>10.0</v>
      </c>
      <c r="H1154" s="128">
        <v>12.0</v>
      </c>
    </row>
    <row r="1155" ht="14.25" customHeight="1">
      <c r="A1155" s="13" t="s">
        <v>324</v>
      </c>
      <c r="B1155" s="13" t="s">
        <v>324</v>
      </c>
      <c r="C1155" s="127" t="s">
        <v>43</v>
      </c>
      <c r="D1155" s="99" t="s">
        <v>742</v>
      </c>
      <c r="E1155" s="32">
        <v>10.0</v>
      </c>
      <c r="F1155" s="128">
        <v>4.0</v>
      </c>
      <c r="G1155" s="32">
        <v>10.0</v>
      </c>
      <c r="H1155" s="128">
        <v>12.0</v>
      </c>
    </row>
    <row r="1156" ht="14.25" customHeight="1">
      <c r="A1156" s="110" t="s">
        <v>235</v>
      </c>
      <c r="B1156" s="124" t="s">
        <v>861</v>
      </c>
      <c r="C1156" s="99" t="s">
        <v>43</v>
      </c>
      <c r="D1156" s="99" t="s">
        <v>744</v>
      </c>
      <c r="E1156" s="32">
        <v>18.0</v>
      </c>
      <c r="F1156" s="128">
        <v>13.0</v>
      </c>
      <c r="G1156" s="32">
        <v>21.0</v>
      </c>
      <c r="H1156" s="128">
        <v>25.0</v>
      </c>
    </row>
    <row r="1157" ht="14.25" customHeight="1">
      <c r="B1157" s="124"/>
      <c r="C1157" s="99"/>
      <c r="D1157" s="99"/>
      <c r="E1157" s="130"/>
      <c r="F1157" s="3"/>
      <c r="G1157" s="130"/>
      <c r="H1157" s="3"/>
    </row>
    <row r="1158" ht="14.25" customHeight="1">
      <c r="B1158" s="124"/>
      <c r="C1158" s="99"/>
      <c r="D1158" s="99"/>
      <c r="E1158" s="130"/>
      <c r="F1158" s="3"/>
      <c r="G1158" s="130"/>
      <c r="H1158" s="3"/>
    </row>
    <row r="1159" ht="14.25" customHeight="1">
      <c r="B1159" s="124"/>
      <c r="C1159" s="99"/>
      <c r="D1159" s="99"/>
      <c r="E1159" s="130"/>
      <c r="F1159" s="3"/>
      <c r="G1159" s="130"/>
      <c r="H1159" s="3"/>
    </row>
    <row r="1160" ht="14.25" customHeight="1">
      <c r="B1160" s="124"/>
      <c r="C1160" s="99"/>
      <c r="D1160" s="99"/>
      <c r="E1160" s="130"/>
      <c r="F1160" s="3"/>
      <c r="G1160" s="130"/>
      <c r="H1160" s="3"/>
    </row>
    <row r="1161" ht="14.25" customHeight="1">
      <c r="B1161" s="124"/>
      <c r="C1161" s="99"/>
      <c r="D1161" s="99"/>
      <c r="E1161" s="130"/>
      <c r="F1161" s="3"/>
      <c r="G1161" s="130"/>
      <c r="H1161" s="3"/>
    </row>
    <row r="1162" ht="14.25" customHeight="1">
      <c r="B1162" s="124"/>
      <c r="C1162" s="99"/>
      <c r="D1162" s="99"/>
      <c r="E1162" s="130"/>
      <c r="F1162" s="3"/>
      <c r="G1162" s="130"/>
      <c r="H1162" s="3"/>
    </row>
    <row r="1163" ht="14.25" customHeight="1">
      <c r="B1163" s="124"/>
      <c r="C1163" s="99"/>
      <c r="D1163" s="99"/>
      <c r="E1163" s="130"/>
      <c r="F1163" s="3"/>
      <c r="G1163" s="130"/>
      <c r="H1163" s="3"/>
    </row>
    <row r="1164" ht="14.25" customHeight="1">
      <c r="B1164" s="124"/>
      <c r="C1164" s="99"/>
      <c r="D1164" s="99"/>
      <c r="E1164" s="130"/>
      <c r="F1164" s="3"/>
      <c r="G1164" s="130"/>
      <c r="H1164" s="3"/>
    </row>
    <row r="1165" ht="14.25" customHeight="1">
      <c r="B1165" s="124"/>
      <c r="C1165" s="99"/>
      <c r="D1165" s="99"/>
      <c r="E1165" s="130"/>
      <c r="F1165" s="3"/>
      <c r="G1165" s="130"/>
      <c r="H1165" s="3"/>
    </row>
    <row r="1166" ht="14.25" customHeight="1">
      <c r="B1166" s="124"/>
      <c r="C1166" s="99"/>
      <c r="D1166" s="99"/>
      <c r="E1166" s="130"/>
      <c r="F1166" s="3"/>
      <c r="G1166" s="130"/>
      <c r="H1166" s="3"/>
    </row>
    <row r="1167" ht="14.25" customHeight="1">
      <c r="B1167" s="124"/>
      <c r="C1167" s="99"/>
      <c r="D1167" s="99"/>
      <c r="E1167" s="130"/>
      <c r="F1167" s="3"/>
      <c r="G1167" s="130"/>
      <c r="H1167" s="3"/>
    </row>
    <row r="1168" ht="14.25" customHeight="1">
      <c r="B1168" s="124"/>
      <c r="C1168" s="99"/>
      <c r="D1168" s="99"/>
      <c r="E1168" s="130"/>
      <c r="F1168" s="3"/>
      <c r="G1168" s="130"/>
      <c r="H1168" s="3"/>
    </row>
    <row r="1169" ht="14.25" customHeight="1">
      <c r="B1169" s="124"/>
      <c r="C1169" s="99"/>
      <c r="D1169" s="99"/>
      <c r="E1169" s="130"/>
      <c r="F1169" s="3"/>
      <c r="G1169" s="130"/>
      <c r="H1169" s="3"/>
    </row>
    <row r="1170" ht="14.25" customHeight="1">
      <c r="B1170" s="124"/>
      <c r="C1170" s="99"/>
      <c r="D1170" s="99"/>
      <c r="E1170" s="130"/>
      <c r="F1170" s="3"/>
      <c r="G1170" s="130"/>
      <c r="H1170" s="3"/>
    </row>
    <row r="1171" ht="14.25" customHeight="1">
      <c r="B1171" s="124"/>
      <c r="C1171" s="99"/>
      <c r="D1171" s="99"/>
      <c r="E1171" s="130"/>
      <c r="F1171" s="3"/>
      <c r="G1171" s="130"/>
      <c r="H1171" s="3"/>
    </row>
    <row r="1172" ht="14.25" customHeight="1">
      <c r="B1172" s="124"/>
      <c r="C1172" s="99"/>
      <c r="D1172" s="99"/>
      <c r="E1172" s="130"/>
      <c r="F1172" s="3"/>
      <c r="G1172" s="130"/>
      <c r="H1172" s="3"/>
    </row>
    <row r="1173" ht="14.25" customHeight="1">
      <c r="B1173" s="124"/>
      <c r="C1173" s="99"/>
      <c r="D1173" s="99"/>
      <c r="E1173" s="130"/>
      <c r="F1173" s="3"/>
      <c r="G1173" s="130"/>
      <c r="H1173" s="3"/>
    </row>
    <row r="1174" ht="14.25" customHeight="1">
      <c r="B1174" s="124"/>
      <c r="C1174" s="99"/>
      <c r="D1174" s="99"/>
      <c r="E1174" s="130"/>
      <c r="F1174" s="3"/>
      <c r="G1174" s="130"/>
      <c r="H1174" s="3"/>
    </row>
    <row r="1175" ht="14.25" customHeight="1">
      <c r="B1175" s="124"/>
      <c r="C1175" s="99"/>
      <c r="D1175" s="99"/>
      <c r="E1175" s="130"/>
      <c r="F1175" s="3"/>
      <c r="G1175" s="130"/>
      <c r="H1175" s="3"/>
    </row>
    <row r="1176" ht="14.25" customHeight="1">
      <c r="B1176" s="124"/>
      <c r="C1176" s="99"/>
      <c r="D1176" s="99"/>
      <c r="E1176" s="130"/>
      <c r="F1176" s="3"/>
      <c r="G1176" s="130"/>
      <c r="H1176" s="3"/>
    </row>
    <row r="1177" ht="14.25" customHeight="1">
      <c r="B1177" s="124"/>
      <c r="C1177" s="99"/>
      <c r="D1177" s="99"/>
      <c r="E1177" s="130"/>
      <c r="F1177" s="3"/>
      <c r="G1177" s="130"/>
      <c r="H1177" s="3"/>
    </row>
    <row r="1178" ht="14.25" customHeight="1">
      <c r="B1178" s="124"/>
      <c r="C1178" s="99"/>
      <c r="D1178" s="99"/>
      <c r="E1178" s="130"/>
      <c r="F1178" s="3"/>
      <c r="G1178" s="130"/>
      <c r="H1178" s="3"/>
    </row>
    <row r="1179" ht="14.25" customHeight="1">
      <c r="B1179" s="124"/>
      <c r="C1179" s="99"/>
      <c r="D1179" s="99"/>
      <c r="E1179" s="130"/>
      <c r="F1179" s="3"/>
      <c r="G1179" s="130"/>
      <c r="H1179" s="3"/>
    </row>
    <row r="1180" ht="14.25" customHeight="1">
      <c r="B1180" s="124"/>
      <c r="C1180" s="99"/>
      <c r="D1180" s="99"/>
      <c r="E1180" s="130"/>
      <c r="F1180" s="3"/>
      <c r="G1180" s="130"/>
      <c r="H1180" s="3"/>
    </row>
    <row r="1181" ht="14.25" customHeight="1">
      <c r="B1181" s="124"/>
      <c r="C1181" s="99"/>
      <c r="D1181" s="99"/>
      <c r="E1181" s="130"/>
      <c r="F1181" s="3"/>
      <c r="G1181" s="130"/>
      <c r="H1181" s="3"/>
    </row>
    <row r="1182" ht="14.25" customHeight="1">
      <c r="B1182" s="124"/>
      <c r="C1182" s="99"/>
      <c r="D1182" s="99"/>
      <c r="E1182" s="130"/>
      <c r="F1182" s="3"/>
      <c r="G1182" s="130"/>
      <c r="H1182" s="3"/>
    </row>
    <row r="1183" ht="14.25" customHeight="1">
      <c r="B1183" s="124"/>
      <c r="C1183" s="99"/>
      <c r="D1183" s="99"/>
      <c r="E1183" s="130"/>
      <c r="F1183" s="3"/>
      <c r="G1183" s="130"/>
      <c r="H1183" s="3"/>
    </row>
    <row r="1184" ht="14.25" customHeight="1">
      <c r="B1184" s="124"/>
      <c r="C1184" s="99"/>
      <c r="D1184" s="99"/>
      <c r="E1184" s="130"/>
      <c r="F1184" s="3"/>
      <c r="G1184" s="130"/>
      <c r="H1184" s="3"/>
    </row>
    <row r="1185" ht="14.25" customHeight="1">
      <c r="B1185" s="124"/>
      <c r="C1185" s="99"/>
      <c r="D1185" s="99"/>
      <c r="E1185" s="130"/>
      <c r="F1185" s="3"/>
      <c r="G1185" s="130"/>
      <c r="H1185" s="3"/>
    </row>
    <row r="1186" ht="14.25" customHeight="1">
      <c r="B1186" s="124"/>
      <c r="C1186" s="99"/>
      <c r="D1186" s="99"/>
      <c r="E1186" s="130"/>
      <c r="F1186" s="3"/>
      <c r="G1186" s="130"/>
      <c r="H1186" s="3"/>
    </row>
    <row r="1187" ht="14.25" customHeight="1">
      <c r="B1187" s="124"/>
      <c r="C1187" s="99"/>
      <c r="D1187" s="99"/>
      <c r="E1187" s="130"/>
      <c r="F1187" s="3"/>
      <c r="G1187" s="130"/>
      <c r="H1187" s="3"/>
    </row>
    <row r="1188" ht="14.25" customHeight="1">
      <c r="B1188" s="124"/>
      <c r="C1188" s="99"/>
      <c r="D1188" s="99"/>
      <c r="E1188" s="130"/>
      <c r="F1188" s="3"/>
      <c r="G1188" s="130"/>
      <c r="H1188" s="3"/>
    </row>
    <row r="1189" ht="14.25" customHeight="1">
      <c r="B1189" s="124"/>
      <c r="C1189" s="99"/>
      <c r="D1189" s="99"/>
      <c r="E1189" s="130"/>
      <c r="F1189" s="3"/>
      <c r="G1189" s="130"/>
      <c r="H1189" s="3"/>
    </row>
    <row r="1190" ht="14.25" customHeight="1">
      <c r="B1190" s="124"/>
      <c r="C1190" s="99"/>
      <c r="D1190" s="99"/>
      <c r="E1190" s="130"/>
      <c r="F1190" s="3"/>
      <c r="G1190" s="130"/>
      <c r="H1190" s="3"/>
    </row>
    <row r="1191" ht="14.25" customHeight="1">
      <c r="B1191" s="124"/>
      <c r="C1191" s="99"/>
      <c r="D1191" s="99"/>
      <c r="E1191" s="130"/>
      <c r="F1191" s="3"/>
      <c r="G1191" s="130"/>
      <c r="H1191" s="3"/>
    </row>
    <row r="1192" ht="14.25" customHeight="1">
      <c r="B1192" s="124"/>
      <c r="C1192" s="99"/>
      <c r="D1192" s="99"/>
      <c r="E1192" s="130"/>
      <c r="F1192" s="3"/>
      <c r="G1192" s="130"/>
      <c r="H1192" s="3"/>
    </row>
    <row r="1193" ht="14.25" customHeight="1">
      <c r="B1193" s="124"/>
      <c r="C1193" s="99"/>
      <c r="D1193" s="99"/>
      <c r="E1193" s="130"/>
      <c r="F1193" s="3"/>
      <c r="G1193" s="130"/>
      <c r="H1193" s="3"/>
    </row>
    <row r="1194" ht="14.25" customHeight="1">
      <c r="B1194" s="124"/>
      <c r="C1194" s="99"/>
      <c r="D1194" s="99"/>
      <c r="E1194" s="130"/>
      <c r="F1194" s="3"/>
      <c r="G1194" s="130"/>
      <c r="H1194" s="3"/>
    </row>
    <row r="1195" ht="14.25" customHeight="1">
      <c r="B1195" s="124"/>
      <c r="C1195" s="99"/>
      <c r="D1195" s="99"/>
      <c r="E1195" s="130"/>
      <c r="F1195" s="3"/>
      <c r="G1195" s="130"/>
      <c r="H1195" s="3"/>
    </row>
    <row r="1196" ht="14.25" customHeight="1">
      <c r="B1196" s="124"/>
      <c r="C1196" s="99"/>
      <c r="D1196" s="99"/>
      <c r="E1196" s="130"/>
      <c r="F1196" s="3"/>
      <c r="G1196" s="130"/>
      <c r="H1196" s="3"/>
    </row>
    <row r="1197" ht="14.25" customHeight="1">
      <c r="B1197" s="124"/>
      <c r="C1197" s="99"/>
      <c r="D1197" s="99"/>
      <c r="E1197" s="130"/>
      <c r="F1197" s="3"/>
      <c r="G1197" s="130"/>
      <c r="H1197" s="3"/>
    </row>
    <row r="1198" ht="14.25" customHeight="1">
      <c r="B1198" s="124"/>
      <c r="C1198" s="99"/>
      <c r="D1198" s="99"/>
      <c r="E1198" s="130"/>
      <c r="F1198" s="3"/>
      <c r="G1198" s="130"/>
      <c r="H1198" s="3"/>
    </row>
    <row r="1199" ht="14.25" customHeight="1">
      <c r="B1199" s="124"/>
      <c r="C1199" s="99"/>
      <c r="D1199" s="99"/>
      <c r="E1199" s="130"/>
      <c r="F1199" s="3"/>
      <c r="G1199" s="130"/>
      <c r="H1199" s="3"/>
    </row>
    <row r="1200" ht="14.25" customHeight="1">
      <c r="B1200" s="124"/>
      <c r="C1200" s="99"/>
      <c r="D1200" s="99"/>
      <c r="E1200" s="130"/>
      <c r="F1200" s="3"/>
      <c r="G1200" s="130"/>
      <c r="H1200" s="3"/>
    </row>
    <row r="1201" ht="14.25" customHeight="1">
      <c r="B1201" s="124"/>
      <c r="C1201" s="99"/>
      <c r="D1201" s="99"/>
      <c r="E1201" s="130"/>
      <c r="F1201" s="3"/>
      <c r="G1201" s="130"/>
      <c r="H1201" s="3"/>
    </row>
    <row r="1202" ht="14.25" customHeight="1">
      <c r="B1202" s="124"/>
      <c r="C1202" s="99"/>
      <c r="D1202" s="99"/>
      <c r="E1202" s="130"/>
      <c r="F1202" s="3"/>
      <c r="G1202" s="130"/>
      <c r="H1202" s="3"/>
    </row>
    <row r="1203" ht="14.25" customHeight="1">
      <c r="B1203" s="124"/>
      <c r="C1203" s="99"/>
      <c r="D1203" s="99"/>
      <c r="E1203" s="130"/>
      <c r="F1203" s="3"/>
      <c r="G1203" s="130"/>
      <c r="H1203" s="3"/>
    </row>
    <row r="1204" ht="14.25" customHeight="1">
      <c r="B1204" s="124"/>
      <c r="C1204" s="99"/>
      <c r="D1204" s="99"/>
      <c r="E1204" s="130"/>
      <c r="F1204" s="3"/>
      <c r="G1204" s="130"/>
      <c r="H1204" s="3"/>
    </row>
    <row r="1205" ht="14.25" customHeight="1">
      <c r="B1205" s="124"/>
      <c r="C1205" s="99"/>
      <c r="D1205" s="99"/>
      <c r="E1205" s="130"/>
      <c r="F1205" s="3"/>
      <c r="G1205" s="130"/>
      <c r="H1205" s="3"/>
    </row>
    <row r="1206" ht="14.25" customHeight="1">
      <c r="B1206" s="124"/>
      <c r="C1206" s="99"/>
      <c r="D1206" s="99"/>
      <c r="E1206" s="130"/>
      <c r="F1206" s="3"/>
      <c r="G1206" s="130"/>
      <c r="H1206" s="3"/>
    </row>
    <row r="1207" ht="14.25" customHeight="1">
      <c r="B1207" s="124"/>
      <c r="C1207" s="99"/>
      <c r="D1207" s="99"/>
      <c r="E1207" s="130"/>
      <c r="F1207" s="3"/>
      <c r="G1207" s="130"/>
      <c r="H1207" s="3"/>
    </row>
    <row r="1208" ht="14.25" customHeight="1">
      <c r="B1208" s="124"/>
      <c r="C1208" s="99"/>
      <c r="D1208" s="99"/>
      <c r="E1208" s="130"/>
      <c r="F1208" s="3"/>
      <c r="G1208" s="130"/>
      <c r="H1208" s="3"/>
    </row>
    <row r="1209" ht="14.25" customHeight="1">
      <c r="B1209" s="124"/>
      <c r="C1209" s="99"/>
      <c r="D1209" s="99"/>
      <c r="E1209" s="130"/>
      <c r="F1209" s="3"/>
      <c r="G1209" s="130"/>
      <c r="H1209" s="3"/>
    </row>
    <row r="1210" ht="14.25" customHeight="1">
      <c r="B1210" s="124"/>
      <c r="C1210" s="99"/>
      <c r="D1210" s="99"/>
      <c r="E1210" s="130"/>
      <c r="F1210" s="3"/>
      <c r="G1210" s="130"/>
      <c r="H1210" s="3"/>
    </row>
    <row r="1211" ht="14.25" customHeight="1">
      <c r="B1211" s="124"/>
      <c r="C1211" s="99"/>
      <c r="D1211" s="99"/>
      <c r="E1211" s="130"/>
      <c r="F1211" s="3"/>
      <c r="G1211" s="130"/>
      <c r="H1211" s="3"/>
    </row>
    <row r="1212" ht="14.25" customHeight="1">
      <c r="B1212" s="124"/>
      <c r="C1212" s="99"/>
      <c r="D1212" s="99"/>
      <c r="E1212" s="130"/>
      <c r="F1212" s="3"/>
      <c r="G1212" s="130"/>
      <c r="H1212" s="3"/>
    </row>
    <row r="1213" ht="14.25" customHeight="1">
      <c r="B1213" s="124"/>
      <c r="C1213" s="99"/>
      <c r="D1213" s="99"/>
      <c r="E1213" s="130"/>
      <c r="F1213" s="3"/>
      <c r="G1213" s="130"/>
      <c r="H1213" s="3"/>
    </row>
    <row r="1214" ht="14.25" customHeight="1">
      <c r="B1214" s="124"/>
      <c r="C1214" s="99"/>
      <c r="D1214" s="99"/>
      <c r="E1214" s="130"/>
      <c r="F1214" s="3"/>
      <c r="G1214" s="130"/>
      <c r="H1214" s="3"/>
    </row>
    <row r="1215" ht="14.25" customHeight="1">
      <c r="B1215" s="124"/>
      <c r="C1215" s="99"/>
      <c r="D1215" s="99"/>
      <c r="E1215" s="130"/>
      <c r="F1215" s="3"/>
      <c r="G1215" s="130"/>
      <c r="H1215" s="3"/>
    </row>
    <row r="1216" ht="14.25" customHeight="1">
      <c r="B1216" s="124"/>
      <c r="C1216" s="99"/>
      <c r="D1216" s="99"/>
      <c r="E1216" s="130"/>
      <c r="F1216" s="3"/>
      <c r="G1216" s="130"/>
      <c r="H1216" s="3"/>
    </row>
    <row r="1217" ht="14.25" customHeight="1">
      <c r="B1217" s="124"/>
      <c r="C1217" s="99"/>
      <c r="D1217" s="99"/>
      <c r="E1217" s="130"/>
      <c r="F1217" s="3"/>
      <c r="G1217" s="130"/>
      <c r="H1217" s="3"/>
    </row>
    <row r="1218" ht="14.25" customHeight="1">
      <c r="B1218" s="124"/>
      <c r="C1218" s="99"/>
      <c r="D1218" s="99"/>
      <c r="E1218" s="130"/>
      <c r="F1218" s="3"/>
      <c r="G1218" s="130"/>
      <c r="H1218" s="3"/>
    </row>
    <row r="1219" ht="14.25" customHeight="1">
      <c r="B1219" s="124"/>
      <c r="C1219" s="99"/>
      <c r="D1219" s="99"/>
      <c r="E1219" s="130"/>
      <c r="F1219" s="3"/>
      <c r="G1219" s="130"/>
      <c r="H1219" s="3"/>
    </row>
    <row r="1220" ht="14.25" customHeight="1">
      <c r="B1220" s="124"/>
      <c r="C1220" s="99"/>
      <c r="D1220" s="99"/>
      <c r="E1220" s="130"/>
      <c r="F1220" s="3"/>
      <c r="G1220" s="130"/>
      <c r="H1220" s="3"/>
    </row>
    <row r="1221" ht="14.25" customHeight="1">
      <c r="B1221" s="124"/>
      <c r="C1221" s="99"/>
      <c r="D1221" s="99"/>
      <c r="E1221" s="130"/>
      <c r="F1221" s="3"/>
      <c r="G1221" s="130"/>
      <c r="H1221" s="3"/>
    </row>
    <row r="1222" ht="14.25" customHeight="1">
      <c r="B1222" s="124"/>
      <c r="C1222" s="99"/>
      <c r="D1222" s="99"/>
      <c r="E1222" s="130"/>
      <c r="F1222" s="3"/>
      <c r="G1222" s="130"/>
      <c r="H1222" s="3"/>
    </row>
    <row r="1223" ht="14.25" customHeight="1">
      <c r="B1223" s="124"/>
      <c r="C1223" s="99"/>
      <c r="D1223" s="99"/>
      <c r="E1223" s="130"/>
      <c r="F1223" s="3"/>
      <c r="G1223" s="130"/>
      <c r="H1223" s="3"/>
    </row>
    <row r="1224" ht="14.25" customHeight="1">
      <c r="B1224" s="124"/>
      <c r="C1224" s="99"/>
      <c r="D1224" s="99"/>
      <c r="E1224" s="130"/>
      <c r="F1224" s="3"/>
      <c r="G1224" s="130"/>
      <c r="H1224" s="3"/>
    </row>
    <row r="1225" ht="14.25" customHeight="1">
      <c r="B1225" s="124"/>
      <c r="C1225" s="99"/>
      <c r="D1225" s="99"/>
      <c r="E1225" s="130"/>
      <c r="F1225" s="3"/>
      <c r="G1225" s="130"/>
      <c r="H1225" s="3"/>
    </row>
    <row r="1226" ht="14.25" customHeight="1">
      <c r="B1226" s="124"/>
      <c r="C1226" s="99"/>
      <c r="D1226" s="99"/>
      <c r="E1226" s="130"/>
      <c r="F1226" s="3"/>
      <c r="G1226" s="130"/>
      <c r="H1226" s="3"/>
    </row>
    <row r="1227" ht="14.25" customHeight="1">
      <c r="B1227" s="124"/>
      <c r="C1227" s="99"/>
      <c r="D1227" s="99"/>
      <c r="E1227" s="130"/>
      <c r="F1227" s="3"/>
      <c r="G1227" s="130"/>
      <c r="H1227" s="3"/>
    </row>
    <row r="1228" ht="14.25" customHeight="1">
      <c r="B1228" s="124"/>
      <c r="C1228" s="99"/>
      <c r="D1228" s="99"/>
      <c r="E1228" s="130"/>
      <c r="F1228" s="3"/>
      <c r="G1228" s="130"/>
      <c r="H1228" s="3"/>
    </row>
    <row r="1229" ht="14.25" customHeight="1">
      <c r="B1229" s="124"/>
      <c r="C1229" s="99"/>
      <c r="D1229" s="99"/>
      <c r="E1229" s="130"/>
      <c r="F1229" s="3"/>
      <c r="G1229" s="130"/>
      <c r="H1229" s="3"/>
    </row>
    <row r="1230" ht="14.25" customHeight="1">
      <c r="B1230" s="124"/>
      <c r="C1230" s="99"/>
      <c r="D1230" s="99"/>
      <c r="E1230" s="130"/>
      <c r="F1230" s="3"/>
      <c r="G1230" s="130"/>
      <c r="H1230" s="3"/>
    </row>
    <row r="1231" ht="14.25" customHeight="1">
      <c r="B1231" s="124"/>
      <c r="C1231" s="99"/>
      <c r="D1231" s="99"/>
      <c r="E1231" s="130"/>
      <c r="F1231" s="3"/>
      <c r="G1231" s="130"/>
      <c r="H1231" s="3"/>
    </row>
    <row r="1232" ht="14.25" customHeight="1">
      <c r="B1232" s="124"/>
      <c r="C1232" s="99"/>
      <c r="D1232" s="99"/>
      <c r="E1232" s="130"/>
      <c r="F1232" s="3"/>
      <c r="G1232" s="130"/>
      <c r="H1232" s="3"/>
    </row>
    <row r="1233" ht="14.25" customHeight="1">
      <c r="B1233" s="124"/>
      <c r="C1233" s="99"/>
      <c r="D1233" s="99"/>
      <c r="E1233" s="130"/>
      <c r="F1233" s="3"/>
      <c r="G1233" s="130"/>
      <c r="H1233" s="3"/>
    </row>
    <row r="1234" ht="14.25" customHeight="1">
      <c r="B1234" s="124"/>
      <c r="C1234" s="99"/>
      <c r="D1234" s="99"/>
      <c r="E1234" s="130"/>
      <c r="F1234" s="3"/>
      <c r="G1234" s="130"/>
      <c r="H1234" s="3"/>
    </row>
    <row r="1235" ht="14.25" customHeight="1">
      <c r="B1235" s="124"/>
      <c r="C1235" s="99"/>
      <c r="D1235" s="99"/>
      <c r="E1235" s="130"/>
      <c r="F1235" s="3"/>
      <c r="G1235" s="130"/>
      <c r="H1235" s="3"/>
    </row>
    <row r="1236" ht="14.25" customHeight="1">
      <c r="B1236" s="124"/>
      <c r="C1236" s="99"/>
      <c r="D1236" s="99"/>
      <c r="E1236" s="130"/>
      <c r="F1236" s="3"/>
      <c r="G1236" s="130"/>
      <c r="H1236" s="3"/>
    </row>
    <row r="1237" ht="14.25" customHeight="1">
      <c r="B1237" s="124"/>
      <c r="C1237" s="99"/>
      <c r="D1237" s="99"/>
      <c r="E1237" s="130"/>
      <c r="F1237" s="3"/>
      <c r="G1237" s="130"/>
      <c r="H1237" s="3"/>
    </row>
    <row r="1238" ht="14.25" customHeight="1">
      <c r="B1238" s="124"/>
      <c r="C1238" s="99"/>
      <c r="D1238" s="99"/>
      <c r="E1238" s="130"/>
      <c r="F1238" s="3"/>
      <c r="G1238" s="130"/>
      <c r="H1238" s="3"/>
    </row>
    <row r="1239" ht="14.25" customHeight="1">
      <c r="B1239" s="124"/>
      <c r="C1239" s="99"/>
      <c r="D1239" s="99"/>
      <c r="E1239" s="130"/>
      <c r="F1239" s="3"/>
      <c r="G1239" s="130"/>
      <c r="H1239" s="3"/>
    </row>
    <row r="1240" ht="14.25" customHeight="1">
      <c r="B1240" s="124"/>
      <c r="C1240" s="99"/>
      <c r="D1240" s="99"/>
      <c r="E1240" s="130"/>
      <c r="F1240" s="3"/>
      <c r="G1240" s="130"/>
      <c r="H1240" s="3"/>
    </row>
    <row r="1241" ht="14.25" customHeight="1">
      <c r="B1241" s="124"/>
      <c r="C1241" s="99"/>
      <c r="D1241" s="99"/>
      <c r="E1241" s="130"/>
      <c r="F1241" s="3"/>
      <c r="G1241" s="130"/>
      <c r="H1241" s="3"/>
    </row>
    <row r="1242" ht="14.25" customHeight="1">
      <c r="B1242" s="124"/>
      <c r="C1242" s="99"/>
      <c r="D1242" s="99"/>
      <c r="E1242" s="130"/>
      <c r="F1242" s="3"/>
      <c r="G1242" s="130"/>
      <c r="H1242" s="3"/>
    </row>
    <row r="1243" ht="14.25" customHeight="1">
      <c r="B1243" s="124"/>
      <c r="C1243" s="99"/>
      <c r="D1243" s="99"/>
      <c r="E1243" s="130"/>
      <c r="F1243" s="3"/>
      <c r="G1243" s="130"/>
      <c r="H1243" s="3"/>
    </row>
    <row r="1244" ht="14.25" customHeight="1">
      <c r="B1244" s="124"/>
      <c r="C1244" s="99"/>
      <c r="D1244" s="99"/>
      <c r="E1244" s="130"/>
      <c r="F1244" s="3"/>
      <c r="G1244" s="130"/>
      <c r="H1244" s="3"/>
    </row>
    <row r="1245" ht="14.25" customHeight="1">
      <c r="B1245" s="124"/>
      <c r="C1245" s="99"/>
      <c r="D1245" s="99"/>
      <c r="E1245" s="130"/>
      <c r="F1245" s="3"/>
      <c r="G1245" s="130"/>
      <c r="H1245" s="3"/>
    </row>
    <row r="1246" ht="14.25" customHeight="1">
      <c r="B1246" s="124"/>
      <c r="C1246" s="99"/>
      <c r="D1246" s="99"/>
      <c r="E1246" s="130"/>
      <c r="F1246" s="3"/>
      <c r="G1246" s="130"/>
      <c r="H1246" s="3"/>
    </row>
    <row r="1247" ht="14.25" customHeight="1">
      <c r="B1247" s="124"/>
      <c r="C1247" s="99"/>
      <c r="D1247" s="99"/>
      <c r="E1247" s="130"/>
      <c r="F1247" s="3"/>
      <c r="G1247" s="130"/>
      <c r="H1247" s="3"/>
    </row>
    <row r="1248" ht="14.25" customHeight="1">
      <c r="B1248" s="124"/>
      <c r="C1248" s="99"/>
      <c r="D1248" s="99"/>
      <c r="E1248" s="130"/>
      <c r="F1248" s="3"/>
      <c r="G1248" s="130"/>
      <c r="H1248" s="3"/>
    </row>
    <row r="1249" ht="14.25" customHeight="1">
      <c r="B1249" s="124"/>
      <c r="C1249" s="99"/>
      <c r="D1249" s="99"/>
      <c r="E1249" s="130"/>
      <c r="F1249" s="3"/>
      <c r="G1249" s="130"/>
      <c r="H1249" s="3"/>
    </row>
    <row r="1250" ht="14.25" customHeight="1">
      <c r="B1250" s="124"/>
      <c r="C1250" s="99"/>
      <c r="D1250" s="99"/>
      <c r="E1250" s="130"/>
      <c r="F1250" s="3"/>
      <c r="G1250" s="130"/>
      <c r="H1250" s="3"/>
    </row>
    <row r="1251" ht="14.25" customHeight="1">
      <c r="B1251" s="124"/>
      <c r="C1251" s="99"/>
      <c r="D1251" s="99"/>
      <c r="E1251" s="130"/>
      <c r="F1251" s="3"/>
      <c r="G1251" s="130"/>
      <c r="H1251" s="3"/>
    </row>
    <row r="1252" ht="14.25" customHeight="1">
      <c r="B1252" s="124"/>
      <c r="C1252" s="99"/>
      <c r="D1252" s="99"/>
      <c r="E1252" s="130"/>
      <c r="F1252" s="3"/>
      <c r="G1252" s="130"/>
      <c r="H1252" s="3"/>
    </row>
    <row r="1253" ht="14.25" customHeight="1">
      <c r="B1253" s="124"/>
      <c r="C1253" s="99"/>
      <c r="D1253" s="99"/>
      <c r="E1253" s="130"/>
      <c r="F1253" s="3"/>
      <c r="G1253" s="130"/>
      <c r="H1253" s="3"/>
    </row>
    <row r="1254" ht="14.25" customHeight="1">
      <c r="B1254" s="124"/>
      <c r="C1254" s="99"/>
      <c r="D1254" s="99"/>
      <c r="E1254" s="130"/>
      <c r="F1254" s="3"/>
      <c r="G1254" s="130"/>
      <c r="H1254" s="3"/>
    </row>
    <row r="1255" ht="14.25" customHeight="1">
      <c r="B1255" s="124"/>
      <c r="C1255" s="99"/>
      <c r="D1255" s="99"/>
      <c r="E1255" s="130"/>
      <c r="F1255" s="3"/>
      <c r="G1255" s="130"/>
      <c r="H1255" s="3"/>
    </row>
    <row r="1256" ht="14.25" customHeight="1">
      <c r="B1256" s="124"/>
      <c r="C1256" s="99"/>
      <c r="D1256" s="99"/>
      <c r="E1256" s="130"/>
      <c r="F1256" s="3"/>
      <c r="G1256" s="130"/>
      <c r="H1256" s="3"/>
    </row>
    <row r="1257" ht="14.25" customHeight="1">
      <c r="B1257" s="124"/>
      <c r="C1257" s="99"/>
      <c r="D1257" s="99"/>
      <c r="E1257" s="130"/>
      <c r="F1257" s="3"/>
      <c r="G1257" s="130"/>
      <c r="H1257" s="3"/>
    </row>
    <row r="1258" ht="14.25" customHeight="1">
      <c r="B1258" s="124"/>
      <c r="C1258" s="99"/>
      <c r="D1258" s="99"/>
      <c r="E1258" s="130"/>
      <c r="F1258" s="3"/>
      <c r="G1258" s="130"/>
      <c r="H1258" s="3"/>
    </row>
    <row r="1259" ht="14.25" customHeight="1">
      <c r="B1259" s="124"/>
      <c r="C1259" s="99"/>
      <c r="D1259" s="99"/>
      <c r="E1259" s="130"/>
      <c r="F1259" s="3"/>
      <c r="G1259" s="130"/>
      <c r="H1259" s="3"/>
    </row>
    <row r="1260" ht="14.25" customHeight="1">
      <c r="B1260" s="124"/>
      <c r="C1260" s="99"/>
      <c r="D1260" s="99"/>
      <c r="E1260" s="130"/>
      <c r="F1260" s="3"/>
      <c r="G1260" s="130"/>
      <c r="H1260" s="3"/>
    </row>
    <row r="1261" ht="14.25" customHeight="1">
      <c r="B1261" s="124"/>
      <c r="C1261" s="99"/>
      <c r="D1261" s="99"/>
      <c r="E1261" s="130"/>
      <c r="F1261" s="3"/>
      <c r="G1261" s="130"/>
      <c r="H1261" s="3"/>
    </row>
    <row r="1262" ht="14.25" customHeight="1">
      <c r="B1262" s="124"/>
      <c r="C1262" s="99"/>
      <c r="D1262" s="99"/>
      <c r="E1262" s="130"/>
      <c r="F1262" s="3"/>
      <c r="G1262" s="130"/>
      <c r="H1262" s="3"/>
    </row>
    <row r="1263" ht="14.25" customHeight="1">
      <c r="B1263" s="124"/>
      <c r="C1263" s="99"/>
      <c r="D1263" s="99"/>
      <c r="E1263" s="130"/>
      <c r="F1263" s="3"/>
      <c r="G1263" s="130"/>
      <c r="H1263" s="3"/>
    </row>
    <row r="1264" ht="14.25" customHeight="1">
      <c r="B1264" s="124"/>
      <c r="C1264" s="99"/>
      <c r="D1264" s="99"/>
      <c r="E1264" s="130"/>
      <c r="F1264" s="3"/>
      <c r="G1264" s="130"/>
      <c r="H1264" s="3"/>
    </row>
    <row r="1265" ht="14.25" customHeight="1">
      <c r="B1265" s="124"/>
      <c r="C1265" s="99"/>
      <c r="D1265" s="99"/>
      <c r="E1265" s="130"/>
      <c r="F1265" s="3"/>
      <c r="G1265" s="130"/>
      <c r="H1265" s="3"/>
    </row>
    <row r="1266" ht="14.25" customHeight="1">
      <c r="B1266" s="124"/>
      <c r="C1266" s="99"/>
      <c r="D1266" s="99"/>
      <c r="E1266" s="130"/>
      <c r="F1266" s="3"/>
      <c r="G1266" s="130"/>
      <c r="H1266" s="3"/>
    </row>
    <row r="1267" ht="14.25" customHeight="1">
      <c r="B1267" s="124"/>
      <c r="C1267" s="99"/>
      <c r="D1267" s="99"/>
      <c r="E1267" s="130"/>
      <c r="F1267" s="3"/>
      <c r="G1267" s="130"/>
      <c r="H1267" s="3"/>
    </row>
    <row r="1268" ht="14.25" customHeight="1">
      <c r="B1268" s="124"/>
      <c r="C1268" s="99"/>
      <c r="D1268" s="99"/>
      <c r="E1268" s="130"/>
      <c r="F1268" s="3"/>
      <c r="G1268" s="130"/>
      <c r="H1268" s="3"/>
    </row>
    <row r="1269" ht="14.25" customHeight="1">
      <c r="B1269" s="124"/>
      <c r="C1269" s="99"/>
      <c r="D1269" s="99"/>
      <c r="E1269" s="130"/>
      <c r="F1269" s="3"/>
      <c r="G1269" s="130"/>
      <c r="H1269" s="3"/>
    </row>
    <row r="1270" ht="14.25" customHeight="1">
      <c r="B1270" s="124"/>
      <c r="C1270" s="99"/>
      <c r="D1270" s="99"/>
      <c r="E1270" s="130"/>
      <c r="F1270" s="3"/>
      <c r="G1270" s="130"/>
      <c r="H1270" s="3"/>
    </row>
    <row r="1271" ht="14.25" customHeight="1">
      <c r="B1271" s="124"/>
      <c r="C1271" s="99"/>
      <c r="D1271" s="99"/>
      <c r="E1271" s="130"/>
      <c r="F1271" s="3"/>
      <c r="G1271" s="130"/>
      <c r="H1271" s="3"/>
    </row>
    <row r="1272" ht="14.25" customHeight="1">
      <c r="B1272" s="124"/>
      <c r="C1272" s="99"/>
      <c r="D1272" s="99"/>
      <c r="E1272" s="130"/>
      <c r="F1272" s="3"/>
      <c r="G1272" s="130"/>
      <c r="H1272" s="3"/>
    </row>
    <row r="1273" ht="14.25" customHeight="1">
      <c r="B1273" s="124"/>
      <c r="C1273" s="99"/>
      <c r="D1273" s="99"/>
      <c r="E1273" s="130"/>
      <c r="F1273" s="3"/>
      <c r="G1273" s="130"/>
      <c r="H1273" s="3"/>
    </row>
    <row r="1274" ht="14.25" customHeight="1">
      <c r="B1274" s="124"/>
      <c r="C1274" s="99"/>
      <c r="D1274" s="99"/>
      <c r="E1274" s="130"/>
      <c r="F1274" s="3"/>
      <c r="G1274" s="130"/>
      <c r="H1274" s="3"/>
    </row>
    <row r="1275" ht="14.25" customHeight="1">
      <c r="B1275" s="124"/>
      <c r="C1275" s="99"/>
      <c r="D1275" s="99"/>
      <c r="E1275" s="130"/>
      <c r="F1275" s="3"/>
      <c r="G1275" s="130"/>
      <c r="H1275" s="3"/>
    </row>
    <row r="1276" ht="14.25" customHeight="1">
      <c r="B1276" s="124"/>
      <c r="C1276" s="99"/>
      <c r="D1276" s="99"/>
      <c r="E1276" s="130"/>
      <c r="F1276" s="3"/>
      <c r="G1276" s="130"/>
      <c r="H1276" s="3"/>
    </row>
    <row r="1277" ht="14.25" customHeight="1">
      <c r="B1277" s="124"/>
      <c r="C1277" s="99"/>
      <c r="D1277" s="99"/>
      <c r="E1277" s="130"/>
      <c r="F1277" s="3"/>
      <c r="G1277" s="130"/>
      <c r="H1277" s="3"/>
    </row>
    <row r="1278" ht="14.25" customHeight="1">
      <c r="B1278" s="124"/>
      <c r="C1278" s="99"/>
      <c r="D1278" s="99"/>
      <c r="E1278" s="130"/>
      <c r="F1278" s="3"/>
      <c r="G1278" s="130"/>
      <c r="H1278" s="3"/>
    </row>
    <row r="1279" ht="14.25" customHeight="1">
      <c r="B1279" s="124"/>
      <c r="C1279" s="99"/>
      <c r="D1279" s="99"/>
      <c r="E1279" s="130"/>
      <c r="F1279" s="3"/>
      <c r="G1279" s="130"/>
      <c r="H1279" s="3"/>
    </row>
    <row r="1280" ht="14.25" customHeight="1">
      <c r="B1280" s="124"/>
      <c r="C1280" s="99"/>
      <c r="D1280" s="99"/>
      <c r="E1280" s="130"/>
      <c r="F1280" s="3"/>
      <c r="G1280" s="130"/>
      <c r="H1280" s="3"/>
    </row>
    <row r="1281" ht="14.25" customHeight="1">
      <c r="B1281" s="124"/>
      <c r="C1281" s="99"/>
      <c r="D1281" s="99"/>
      <c r="E1281" s="130"/>
      <c r="F1281" s="3"/>
      <c r="G1281" s="130"/>
      <c r="H1281" s="3"/>
    </row>
    <row r="1282" ht="14.25" customHeight="1">
      <c r="B1282" s="124"/>
      <c r="C1282" s="99"/>
      <c r="D1282" s="99"/>
      <c r="E1282" s="130"/>
      <c r="F1282" s="3"/>
      <c r="G1282" s="130"/>
      <c r="H1282" s="3"/>
    </row>
    <row r="1283" ht="14.25" customHeight="1">
      <c r="B1283" s="124"/>
      <c r="C1283" s="99"/>
      <c r="D1283" s="99"/>
      <c r="E1283" s="130"/>
      <c r="F1283" s="3"/>
      <c r="G1283" s="130"/>
      <c r="H1283" s="3"/>
    </row>
    <row r="1284" ht="14.25" customHeight="1">
      <c r="B1284" s="124"/>
      <c r="C1284" s="99"/>
      <c r="D1284" s="99"/>
      <c r="E1284" s="130"/>
      <c r="F1284" s="3"/>
      <c r="G1284" s="130"/>
      <c r="H1284" s="3"/>
    </row>
    <row r="1285" ht="14.25" customHeight="1">
      <c r="B1285" s="124"/>
      <c r="C1285" s="99"/>
      <c r="D1285" s="99"/>
      <c r="E1285" s="130"/>
      <c r="F1285" s="3"/>
      <c r="G1285" s="130"/>
      <c r="H1285" s="3"/>
    </row>
    <row r="1286" ht="14.25" customHeight="1">
      <c r="B1286" s="124"/>
      <c r="C1286" s="99"/>
      <c r="D1286" s="99"/>
      <c r="E1286" s="130"/>
      <c r="F1286" s="3"/>
      <c r="G1286" s="130"/>
      <c r="H1286" s="3"/>
    </row>
    <row r="1287" ht="14.25" customHeight="1">
      <c r="B1287" s="124"/>
      <c r="C1287" s="99"/>
      <c r="D1287" s="99"/>
      <c r="E1287" s="130"/>
      <c r="F1287" s="3"/>
      <c r="G1287" s="130"/>
      <c r="H1287" s="3"/>
    </row>
    <row r="1288" ht="14.25" customHeight="1">
      <c r="B1288" s="124"/>
      <c r="C1288" s="99"/>
      <c r="D1288" s="99"/>
      <c r="E1288" s="130"/>
      <c r="F1288" s="3"/>
      <c r="G1288" s="130"/>
      <c r="H1288" s="3"/>
    </row>
    <row r="1289" ht="14.25" customHeight="1">
      <c r="B1289" s="124"/>
      <c r="C1289" s="99"/>
      <c r="D1289" s="99"/>
      <c r="E1289" s="130"/>
      <c r="F1289" s="3"/>
      <c r="G1289" s="130"/>
      <c r="H1289" s="3"/>
    </row>
    <row r="1290" ht="14.25" customHeight="1">
      <c r="B1290" s="124"/>
      <c r="C1290" s="99"/>
      <c r="D1290" s="99"/>
      <c r="E1290" s="130"/>
      <c r="F1290" s="3"/>
      <c r="G1290" s="130"/>
      <c r="H1290" s="3"/>
    </row>
    <row r="1291" ht="14.25" customHeight="1">
      <c r="B1291" s="124"/>
      <c r="C1291" s="99"/>
      <c r="D1291" s="99"/>
      <c r="E1291" s="130"/>
      <c r="F1291" s="3"/>
      <c r="G1291" s="130"/>
      <c r="H1291" s="3"/>
    </row>
    <row r="1292" ht="14.25" customHeight="1">
      <c r="B1292" s="124"/>
      <c r="C1292" s="99"/>
      <c r="D1292" s="99"/>
      <c r="E1292" s="130"/>
      <c r="F1292" s="3"/>
      <c r="G1292" s="130"/>
      <c r="H1292" s="3"/>
    </row>
    <row r="1293" ht="14.25" customHeight="1">
      <c r="B1293" s="124"/>
      <c r="C1293" s="99"/>
      <c r="D1293" s="99"/>
      <c r="E1293" s="130"/>
      <c r="F1293" s="3"/>
      <c r="G1293" s="130"/>
      <c r="H1293" s="3"/>
    </row>
    <row r="1294" ht="14.25" customHeight="1">
      <c r="B1294" s="124"/>
      <c r="C1294" s="99"/>
      <c r="D1294" s="99"/>
      <c r="E1294" s="130"/>
      <c r="F1294" s="3"/>
      <c r="G1294" s="130"/>
      <c r="H1294" s="3"/>
    </row>
    <row r="1295" ht="14.25" customHeight="1">
      <c r="B1295" s="124"/>
      <c r="C1295" s="99"/>
      <c r="D1295" s="99"/>
      <c r="E1295" s="130"/>
      <c r="F1295" s="3"/>
      <c r="G1295" s="130"/>
      <c r="H1295" s="3"/>
    </row>
    <row r="1296" ht="14.25" customHeight="1">
      <c r="B1296" s="124"/>
      <c r="C1296" s="99"/>
      <c r="D1296" s="99"/>
      <c r="E1296" s="130"/>
      <c r="F1296" s="3"/>
      <c r="G1296" s="130"/>
      <c r="H1296" s="3"/>
    </row>
    <row r="1297" ht="14.25" customHeight="1">
      <c r="B1297" s="124"/>
      <c r="C1297" s="99"/>
      <c r="D1297" s="99"/>
      <c r="E1297" s="130"/>
      <c r="F1297" s="3"/>
      <c r="G1297" s="130"/>
      <c r="H1297" s="3"/>
    </row>
    <row r="1298" ht="14.25" customHeight="1">
      <c r="B1298" s="124"/>
      <c r="C1298" s="99"/>
      <c r="D1298" s="99"/>
      <c r="E1298" s="130"/>
      <c r="F1298" s="3"/>
      <c r="G1298" s="130"/>
      <c r="H1298" s="3"/>
    </row>
    <row r="1299" ht="14.25" customHeight="1">
      <c r="B1299" s="124"/>
      <c r="C1299" s="99"/>
      <c r="D1299" s="99"/>
      <c r="E1299" s="130"/>
      <c r="F1299" s="3"/>
      <c r="G1299" s="130"/>
      <c r="H1299" s="3"/>
    </row>
    <row r="1300" ht="14.25" customHeight="1">
      <c r="B1300" s="124"/>
      <c r="C1300" s="99"/>
      <c r="D1300" s="99"/>
      <c r="E1300" s="130"/>
      <c r="F1300" s="3"/>
      <c r="G1300" s="130"/>
      <c r="H1300" s="3"/>
    </row>
    <row r="1301" ht="14.25" customHeight="1">
      <c r="B1301" s="124"/>
      <c r="C1301" s="99"/>
      <c r="D1301" s="99"/>
      <c r="E1301" s="130"/>
      <c r="F1301" s="3"/>
      <c r="G1301" s="130"/>
      <c r="H1301" s="3"/>
    </row>
    <row r="1302" ht="14.25" customHeight="1">
      <c r="B1302" s="124"/>
      <c r="C1302" s="99"/>
      <c r="D1302" s="99"/>
      <c r="E1302" s="130"/>
      <c r="F1302" s="3"/>
      <c r="G1302" s="130"/>
      <c r="H1302" s="3"/>
    </row>
    <row r="1303" ht="14.25" customHeight="1">
      <c r="B1303" s="124"/>
      <c r="C1303" s="99"/>
      <c r="D1303" s="99"/>
      <c r="E1303" s="130"/>
      <c r="F1303" s="3"/>
      <c r="G1303" s="130"/>
      <c r="H1303" s="3"/>
    </row>
    <row r="1304" ht="14.25" customHeight="1">
      <c r="B1304" s="124"/>
      <c r="C1304" s="99"/>
      <c r="D1304" s="99"/>
      <c r="E1304" s="130"/>
      <c r="F1304" s="3"/>
      <c r="G1304" s="130"/>
      <c r="H1304" s="3"/>
    </row>
    <row r="1305" ht="14.25" customHeight="1">
      <c r="B1305" s="124"/>
      <c r="C1305" s="99"/>
      <c r="D1305" s="99"/>
      <c r="E1305" s="130"/>
      <c r="F1305" s="3"/>
      <c r="G1305" s="130"/>
      <c r="H1305" s="3"/>
    </row>
    <row r="1306" ht="14.25" customHeight="1">
      <c r="B1306" s="124"/>
      <c r="C1306" s="99"/>
      <c r="D1306" s="99"/>
      <c r="E1306" s="130"/>
      <c r="F1306" s="3"/>
      <c r="G1306" s="130"/>
      <c r="H1306" s="3"/>
    </row>
    <row r="1307" ht="14.25" customHeight="1">
      <c r="B1307" s="124"/>
      <c r="C1307" s="99"/>
      <c r="D1307" s="99"/>
      <c r="E1307" s="130"/>
      <c r="F1307" s="3"/>
      <c r="G1307" s="130"/>
      <c r="H1307" s="3"/>
    </row>
    <row r="1308" ht="14.25" customHeight="1">
      <c r="B1308" s="124"/>
      <c r="C1308" s="99"/>
      <c r="D1308" s="99"/>
      <c r="E1308" s="130"/>
      <c r="F1308" s="3"/>
      <c r="G1308" s="130"/>
      <c r="H1308" s="3"/>
    </row>
    <row r="1309" ht="14.25" customHeight="1">
      <c r="B1309" s="124"/>
      <c r="C1309" s="99"/>
      <c r="D1309" s="99"/>
      <c r="E1309" s="130"/>
      <c r="F1309" s="3"/>
      <c r="G1309" s="130"/>
      <c r="H1309" s="3"/>
    </row>
    <row r="1310" ht="14.25" customHeight="1">
      <c r="B1310" s="124"/>
      <c r="C1310" s="99"/>
      <c r="D1310" s="99"/>
      <c r="E1310" s="130"/>
      <c r="F1310" s="3"/>
      <c r="G1310" s="130"/>
      <c r="H1310" s="3"/>
    </row>
    <row r="1311" ht="14.25" customHeight="1">
      <c r="B1311" s="124"/>
      <c r="C1311" s="99"/>
      <c r="D1311" s="99"/>
      <c r="E1311" s="130"/>
      <c r="F1311" s="3"/>
      <c r="G1311" s="130"/>
      <c r="H1311" s="3"/>
    </row>
    <row r="1312" ht="14.25" customHeight="1">
      <c r="B1312" s="124"/>
      <c r="C1312" s="99"/>
      <c r="D1312" s="99"/>
      <c r="E1312" s="130"/>
      <c r="F1312" s="3"/>
      <c r="G1312" s="130"/>
      <c r="H1312" s="3"/>
    </row>
    <row r="1313" ht="14.25" customHeight="1">
      <c r="B1313" s="124"/>
      <c r="C1313" s="99"/>
      <c r="D1313" s="99"/>
      <c r="E1313" s="130"/>
      <c r="F1313" s="3"/>
      <c r="G1313" s="130"/>
      <c r="H1313" s="3"/>
    </row>
    <row r="1314" ht="14.25" customHeight="1">
      <c r="B1314" s="124"/>
      <c r="C1314" s="99"/>
      <c r="D1314" s="99"/>
      <c r="E1314" s="130"/>
      <c r="F1314" s="3"/>
      <c r="G1314" s="130"/>
      <c r="H1314" s="3"/>
    </row>
    <row r="1315" ht="14.25" customHeight="1">
      <c r="B1315" s="124"/>
      <c r="C1315" s="99"/>
      <c r="D1315" s="99"/>
      <c r="E1315" s="130"/>
      <c r="F1315" s="3"/>
      <c r="G1315" s="130"/>
      <c r="H1315" s="3"/>
    </row>
    <row r="1316" ht="14.25" customHeight="1">
      <c r="B1316" s="124"/>
      <c r="C1316" s="99"/>
      <c r="D1316" s="99"/>
      <c r="E1316" s="130"/>
      <c r="F1316" s="3"/>
      <c r="G1316" s="130"/>
      <c r="H1316" s="3"/>
    </row>
    <row r="1317" ht="14.25" customHeight="1">
      <c r="B1317" s="124"/>
      <c r="C1317" s="99"/>
      <c r="D1317" s="99"/>
      <c r="E1317" s="130"/>
      <c r="F1317" s="3"/>
      <c r="G1317" s="130"/>
      <c r="H1317" s="3"/>
    </row>
    <row r="1318" ht="14.25" customHeight="1">
      <c r="B1318" s="124"/>
      <c r="C1318" s="99"/>
      <c r="D1318" s="99"/>
      <c r="E1318" s="130"/>
      <c r="F1318" s="3"/>
      <c r="G1318" s="130"/>
      <c r="H1318" s="3"/>
    </row>
    <row r="1319" ht="14.25" customHeight="1">
      <c r="B1319" s="124"/>
      <c r="C1319" s="99"/>
      <c r="D1319" s="99"/>
      <c r="E1319" s="130"/>
      <c r="F1319" s="3"/>
      <c r="G1319" s="130"/>
      <c r="H1319" s="3"/>
    </row>
    <row r="1320" ht="14.25" customHeight="1">
      <c r="B1320" s="124"/>
      <c r="C1320" s="99"/>
      <c r="D1320" s="99"/>
      <c r="E1320" s="130"/>
      <c r="F1320" s="3"/>
      <c r="G1320" s="130"/>
      <c r="H1320" s="3"/>
    </row>
    <row r="1321" ht="14.25" customHeight="1">
      <c r="B1321" s="124"/>
      <c r="C1321" s="99"/>
      <c r="D1321" s="99"/>
      <c r="E1321" s="130"/>
      <c r="F1321" s="3"/>
      <c r="G1321" s="130"/>
      <c r="H1321" s="3"/>
    </row>
    <row r="1322" ht="14.25" customHeight="1">
      <c r="B1322" s="124"/>
      <c r="C1322" s="99"/>
      <c r="D1322" s="99"/>
      <c r="E1322" s="130"/>
      <c r="F1322" s="3"/>
      <c r="G1322" s="130"/>
      <c r="H1322" s="3"/>
    </row>
    <row r="1323" ht="14.25" customHeight="1">
      <c r="B1323" s="124"/>
      <c r="C1323" s="99"/>
      <c r="D1323" s="99"/>
      <c r="E1323" s="130"/>
      <c r="F1323" s="3"/>
      <c r="G1323" s="130"/>
      <c r="H1323" s="3"/>
    </row>
    <row r="1324" ht="14.25" customHeight="1">
      <c r="B1324" s="124"/>
      <c r="C1324" s="99"/>
      <c r="D1324" s="99"/>
      <c r="E1324" s="130"/>
      <c r="F1324" s="3"/>
      <c r="G1324" s="130"/>
      <c r="H1324" s="3"/>
    </row>
    <row r="1325" ht="14.25" customHeight="1">
      <c r="B1325" s="124"/>
      <c r="C1325" s="99"/>
      <c r="D1325" s="99"/>
      <c r="E1325" s="130"/>
      <c r="F1325" s="3"/>
      <c r="G1325" s="130"/>
      <c r="H1325" s="3"/>
    </row>
    <row r="1326" ht="14.25" customHeight="1">
      <c r="B1326" s="124"/>
      <c r="C1326" s="99"/>
      <c r="D1326" s="99"/>
      <c r="E1326" s="130"/>
      <c r="F1326" s="3"/>
      <c r="G1326" s="130"/>
      <c r="H1326" s="3"/>
    </row>
    <row r="1327" ht="14.25" customHeight="1">
      <c r="B1327" s="124"/>
      <c r="C1327" s="99"/>
      <c r="D1327" s="99"/>
      <c r="E1327" s="130"/>
      <c r="F1327" s="3"/>
      <c r="G1327" s="130"/>
      <c r="H1327" s="3"/>
    </row>
    <row r="1328" ht="14.25" customHeight="1">
      <c r="B1328" s="124"/>
      <c r="C1328" s="99"/>
      <c r="D1328" s="99"/>
      <c r="E1328" s="130"/>
      <c r="F1328" s="3"/>
      <c r="G1328" s="130"/>
      <c r="H1328" s="3"/>
    </row>
    <row r="1329" ht="14.25" customHeight="1">
      <c r="B1329" s="124"/>
      <c r="C1329" s="99"/>
      <c r="D1329" s="99"/>
      <c r="E1329" s="130"/>
      <c r="F1329" s="3"/>
      <c r="G1329" s="130"/>
      <c r="H1329" s="3"/>
    </row>
    <row r="1330" ht="14.25" customHeight="1">
      <c r="B1330" s="124"/>
      <c r="C1330" s="99"/>
      <c r="D1330" s="99"/>
      <c r="E1330" s="130"/>
      <c r="F1330" s="3"/>
      <c r="G1330" s="130"/>
      <c r="H1330" s="3"/>
    </row>
    <row r="1331" ht="14.25" customHeight="1">
      <c r="B1331" s="124"/>
      <c r="C1331" s="99"/>
      <c r="D1331" s="99"/>
      <c r="E1331" s="130"/>
      <c r="F1331" s="3"/>
      <c r="G1331" s="130"/>
      <c r="H1331" s="3"/>
    </row>
    <row r="1332" ht="14.25" customHeight="1">
      <c r="B1332" s="124"/>
      <c r="C1332" s="99"/>
      <c r="D1332" s="99"/>
      <c r="E1332" s="130"/>
      <c r="F1332" s="3"/>
      <c r="G1332" s="130"/>
      <c r="H1332" s="3"/>
    </row>
    <row r="1333" ht="14.25" customHeight="1">
      <c r="B1333" s="124"/>
      <c r="C1333" s="99"/>
      <c r="D1333" s="99"/>
      <c r="E1333" s="130"/>
      <c r="F1333" s="3"/>
      <c r="G1333" s="130"/>
      <c r="H1333" s="3"/>
    </row>
    <row r="1334" ht="14.25" customHeight="1">
      <c r="B1334" s="124"/>
      <c r="C1334" s="99"/>
      <c r="D1334" s="99"/>
      <c r="E1334" s="130"/>
      <c r="F1334" s="3"/>
      <c r="G1334" s="130"/>
      <c r="H1334" s="3"/>
    </row>
    <row r="1335" ht="14.25" customHeight="1">
      <c r="B1335" s="124"/>
      <c r="C1335" s="99"/>
      <c r="D1335" s="99"/>
      <c r="E1335" s="130"/>
      <c r="F1335" s="3"/>
      <c r="G1335" s="130"/>
      <c r="H1335" s="3"/>
    </row>
    <row r="1336" ht="14.25" customHeight="1">
      <c r="B1336" s="124"/>
      <c r="C1336" s="99"/>
      <c r="D1336" s="99"/>
      <c r="E1336" s="130"/>
      <c r="F1336" s="3"/>
      <c r="G1336" s="130"/>
      <c r="H1336" s="3"/>
    </row>
    <row r="1337" ht="14.25" customHeight="1">
      <c r="B1337" s="124"/>
      <c r="C1337" s="99"/>
      <c r="D1337" s="99"/>
      <c r="E1337" s="130"/>
      <c r="F1337" s="3"/>
      <c r="G1337" s="130"/>
      <c r="H1337" s="3"/>
    </row>
    <row r="1338" ht="14.25" customHeight="1">
      <c r="B1338" s="124"/>
      <c r="C1338" s="99"/>
      <c r="D1338" s="99"/>
      <c r="E1338" s="130"/>
      <c r="F1338" s="3"/>
      <c r="G1338" s="130"/>
      <c r="H1338" s="3"/>
    </row>
    <row r="1339" ht="14.25" customHeight="1">
      <c r="B1339" s="124"/>
      <c r="C1339" s="99"/>
      <c r="D1339" s="99"/>
      <c r="E1339" s="130"/>
      <c r="F1339" s="3"/>
      <c r="G1339" s="130"/>
      <c r="H1339" s="3"/>
    </row>
    <row r="1340" ht="14.25" customHeight="1">
      <c r="B1340" s="124"/>
      <c r="C1340" s="99"/>
      <c r="D1340" s="99"/>
      <c r="E1340" s="130"/>
      <c r="F1340" s="3"/>
      <c r="G1340" s="130"/>
      <c r="H1340" s="3"/>
    </row>
    <row r="1341" ht="14.25" customHeight="1">
      <c r="B1341" s="124"/>
      <c r="C1341" s="99"/>
      <c r="D1341" s="99"/>
      <c r="E1341" s="130"/>
      <c r="F1341" s="3"/>
      <c r="G1341" s="130"/>
      <c r="H1341" s="3"/>
    </row>
    <row r="1342" ht="14.25" customHeight="1">
      <c r="B1342" s="124"/>
      <c r="C1342" s="99"/>
      <c r="D1342" s="99"/>
      <c r="E1342" s="130"/>
      <c r="F1342" s="3"/>
      <c r="G1342" s="130"/>
      <c r="H1342" s="3"/>
    </row>
    <row r="1343" ht="14.25" customHeight="1">
      <c r="B1343" s="124"/>
      <c r="C1343" s="99"/>
      <c r="D1343" s="99"/>
      <c r="E1343" s="130"/>
      <c r="F1343" s="3"/>
      <c r="G1343" s="130"/>
      <c r="H1343" s="3"/>
    </row>
    <row r="1344" ht="14.25" customHeight="1">
      <c r="B1344" s="124"/>
      <c r="C1344" s="99"/>
      <c r="D1344" s="99"/>
      <c r="E1344" s="130"/>
      <c r="F1344" s="3"/>
      <c r="G1344" s="130"/>
      <c r="H1344" s="3"/>
    </row>
    <row r="1345" ht="14.25" customHeight="1">
      <c r="B1345" s="124"/>
      <c r="C1345" s="99"/>
      <c r="D1345" s="99"/>
      <c r="E1345" s="130"/>
      <c r="F1345" s="3"/>
      <c r="G1345" s="130"/>
      <c r="H1345" s="3"/>
    </row>
    <row r="1346" ht="14.25" customHeight="1">
      <c r="B1346" s="124"/>
      <c r="C1346" s="99"/>
      <c r="D1346" s="99"/>
      <c r="E1346" s="130"/>
      <c r="F1346" s="3"/>
      <c r="G1346" s="130"/>
      <c r="H1346" s="3"/>
    </row>
    <row r="1347" ht="14.25" customHeight="1">
      <c r="B1347" s="124"/>
      <c r="C1347" s="99"/>
      <c r="D1347" s="99"/>
      <c r="E1347" s="130"/>
      <c r="F1347" s="3"/>
      <c r="G1347" s="130"/>
      <c r="H1347" s="3"/>
    </row>
    <row r="1348" ht="14.25" customHeight="1">
      <c r="B1348" s="124"/>
      <c r="C1348" s="99"/>
      <c r="D1348" s="99"/>
      <c r="E1348" s="130"/>
      <c r="F1348" s="3"/>
      <c r="G1348" s="130"/>
      <c r="H1348" s="3"/>
    </row>
    <row r="1349" ht="14.25" customHeight="1">
      <c r="B1349" s="124"/>
      <c r="C1349" s="99"/>
      <c r="D1349" s="99"/>
      <c r="E1349" s="130"/>
      <c r="F1349" s="3"/>
      <c r="G1349" s="130"/>
      <c r="H1349" s="3"/>
    </row>
    <row r="1350" ht="14.25" customHeight="1">
      <c r="B1350" s="124"/>
      <c r="C1350" s="99"/>
      <c r="D1350" s="99"/>
      <c r="E1350" s="130"/>
      <c r="F1350" s="3"/>
      <c r="G1350" s="130"/>
      <c r="H1350" s="3"/>
    </row>
    <row r="1351" ht="14.25" customHeight="1">
      <c r="B1351" s="124"/>
      <c r="C1351" s="99"/>
      <c r="D1351" s="99"/>
      <c r="E1351" s="130"/>
      <c r="F1351" s="3"/>
      <c r="G1351" s="130"/>
      <c r="H1351" s="3"/>
    </row>
    <row r="1352" ht="14.25" customHeight="1">
      <c r="B1352" s="124"/>
      <c r="C1352" s="99"/>
      <c r="D1352" s="99"/>
      <c r="E1352" s="130"/>
      <c r="F1352" s="3"/>
      <c r="G1352" s="130"/>
      <c r="H1352" s="3"/>
    </row>
    <row r="1353" ht="14.25" customHeight="1">
      <c r="B1353" s="124"/>
      <c r="C1353" s="99"/>
      <c r="D1353" s="99"/>
      <c r="E1353" s="130"/>
      <c r="F1353" s="3"/>
      <c r="G1353" s="130"/>
      <c r="H1353" s="3"/>
    </row>
    <row r="1354" ht="14.25" customHeight="1">
      <c r="B1354" s="124"/>
      <c r="C1354" s="99"/>
      <c r="D1354" s="99"/>
      <c r="E1354" s="130"/>
      <c r="F1354" s="3"/>
      <c r="G1354" s="130"/>
      <c r="H1354" s="3"/>
    </row>
    <row r="1355" ht="14.25" customHeight="1">
      <c r="B1355" s="124"/>
      <c r="C1355" s="99"/>
      <c r="D1355" s="99"/>
      <c r="E1355" s="130"/>
      <c r="F1355" s="3"/>
      <c r="G1355" s="130"/>
      <c r="H1355" s="3"/>
    </row>
    <row r="1356" ht="14.25" customHeight="1">
      <c r="B1356" s="124"/>
      <c r="C1356" s="99"/>
      <c r="D1356" s="99"/>
      <c r="E1356" s="130"/>
      <c r="F1356" s="3"/>
      <c r="G1356" s="130"/>
      <c r="H1356" s="3"/>
    </row>
    <row r="1357" ht="14.25" customHeight="1">
      <c r="B1357" s="124"/>
      <c r="C1357" s="99"/>
      <c r="D1357" s="99"/>
      <c r="E1357" s="130"/>
      <c r="F1357" s="3"/>
      <c r="G1357" s="130"/>
      <c r="H1357" s="3"/>
    </row>
    <row r="1358" ht="14.25" customHeight="1">
      <c r="B1358" s="124"/>
      <c r="C1358" s="99"/>
      <c r="D1358" s="99"/>
      <c r="E1358" s="130"/>
      <c r="F1358" s="3"/>
      <c r="G1358" s="130"/>
      <c r="H1358" s="3"/>
    </row>
    <row r="1359" ht="14.25" customHeight="1">
      <c r="B1359" s="124"/>
      <c r="C1359" s="99"/>
      <c r="D1359" s="99"/>
      <c r="E1359" s="130"/>
      <c r="F1359" s="3"/>
      <c r="G1359" s="130"/>
      <c r="H1359" s="3"/>
    </row>
    <row r="1360" ht="14.25" customHeight="1">
      <c r="B1360" s="124"/>
      <c r="C1360" s="99"/>
      <c r="D1360" s="99"/>
      <c r="E1360" s="130"/>
      <c r="F1360" s="3"/>
      <c r="G1360" s="130"/>
      <c r="H1360" s="3"/>
    </row>
    <row r="1361" ht="14.25" customHeight="1">
      <c r="B1361" s="124"/>
      <c r="C1361" s="99"/>
      <c r="D1361" s="99"/>
      <c r="E1361" s="130"/>
      <c r="F1361" s="3"/>
      <c r="G1361" s="130"/>
      <c r="H1361" s="3"/>
    </row>
    <row r="1362" ht="14.25" customHeight="1">
      <c r="B1362" s="124"/>
      <c r="C1362" s="99"/>
      <c r="D1362" s="99"/>
      <c r="E1362" s="130"/>
      <c r="F1362" s="3"/>
      <c r="G1362" s="130"/>
      <c r="H1362" s="3"/>
    </row>
    <row r="1363" ht="14.25" customHeight="1">
      <c r="B1363" s="124"/>
      <c r="C1363" s="99"/>
      <c r="D1363" s="99"/>
      <c r="E1363" s="130"/>
      <c r="F1363" s="3"/>
      <c r="G1363" s="130"/>
      <c r="H1363" s="3"/>
    </row>
    <row r="1364" ht="14.25" customHeight="1">
      <c r="B1364" s="124"/>
      <c r="C1364" s="99"/>
      <c r="D1364" s="99"/>
      <c r="E1364" s="130"/>
      <c r="F1364" s="3"/>
      <c r="G1364" s="130"/>
      <c r="H1364" s="3"/>
    </row>
    <row r="1365" ht="14.25" customHeight="1">
      <c r="B1365" s="124"/>
      <c r="C1365" s="99"/>
      <c r="D1365" s="99"/>
      <c r="E1365" s="130"/>
      <c r="F1365" s="3"/>
      <c r="G1365" s="130"/>
      <c r="H1365" s="3"/>
    </row>
    <row r="1366" ht="14.25" customHeight="1">
      <c r="B1366" s="124"/>
      <c r="C1366" s="99"/>
      <c r="D1366" s="99"/>
      <c r="E1366" s="130"/>
      <c r="F1366" s="3"/>
      <c r="G1366" s="130"/>
      <c r="H1366" s="3"/>
    </row>
    <row r="1367" ht="14.25" customHeight="1">
      <c r="B1367" s="124"/>
      <c r="C1367" s="99"/>
      <c r="D1367" s="99"/>
      <c r="E1367" s="130"/>
      <c r="F1367" s="3"/>
      <c r="G1367" s="130"/>
      <c r="H1367" s="3"/>
    </row>
    <row r="1368" ht="14.25" customHeight="1">
      <c r="B1368" s="124"/>
      <c r="C1368" s="99"/>
      <c r="D1368" s="99"/>
      <c r="E1368" s="130"/>
      <c r="F1368" s="3"/>
      <c r="G1368" s="130"/>
      <c r="H1368" s="3"/>
    </row>
    <row r="1369" ht="14.25" customHeight="1">
      <c r="B1369" s="124"/>
      <c r="C1369" s="99"/>
      <c r="D1369" s="99"/>
      <c r="E1369" s="130"/>
      <c r="F1369" s="3"/>
      <c r="G1369" s="130"/>
      <c r="H1369" s="3"/>
    </row>
    <row r="1370" ht="14.25" customHeight="1">
      <c r="B1370" s="124"/>
      <c r="C1370" s="99"/>
      <c r="D1370" s="99"/>
      <c r="E1370" s="130"/>
      <c r="F1370" s="3"/>
      <c r="G1370" s="130"/>
      <c r="H1370" s="3"/>
    </row>
    <row r="1371" ht="14.25" customHeight="1">
      <c r="B1371" s="124"/>
      <c r="C1371" s="99"/>
      <c r="D1371" s="99"/>
      <c r="E1371" s="130"/>
      <c r="F1371" s="3"/>
      <c r="G1371" s="130"/>
      <c r="H1371" s="3"/>
    </row>
    <row r="1372" ht="14.25" customHeight="1">
      <c r="B1372" s="124"/>
      <c r="C1372" s="99"/>
      <c r="D1372" s="99"/>
      <c r="E1372" s="130"/>
      <c r="F1372" s="3"/>
      <c r="G1372" s="130"/>
      <c r="H1372" s="3"/>
    </row>
    <row r="1373" ht="14.25" customHeight="1">
      <c r="B1373" s="124"/>
      <c r="C1373" s="99"/>
      <c r="D1373" s="99"/>
      <c r="E1373" s="130"/>
      <c r="F1373" s="3"/>
      <c r="G1373" s="130"/>
      <c r="H1373" s="3"/>
    </row>
    <row r="1374" ht="14.25" customHeight="1">
      <c r="B1374" s="124"/>
      <c r="C1374" s="99"/>
      <c r="D1374" s="99"/>
      <c r="E1374" s="130"/>
      <c r="F1374" s="3"/>
      <c r="G1374" s="130"/>
      <c r="H1374" s="3"/>
    </row>
    <row r="1375" ht="14.25" customHeight="1">
      <c r="B1375" s="124"/>
      <c r="C1375" s="99"/>
      <c r="D1375" s="99"/>
      <c r="E1375" s="130"/>
      <c r="F1375" s="3"/>
      <c r="G1375" s="130"/>
      <c r="H1375" s="3"/>
    </row>
    <row r="1376" ht="14.25" customHeight="1">
      <c r="B1376" s="124"/>
      <c r="C1376" s="99"/>
      <c r="D1376" s="99"/>
      <c r="E1376" s="130"/>
      <c r="F1376" s="3"/>
      <c r="G1376" s="130"/>
      <c r="H1376" s="3"/>
    </row>
    <row r="1377" ht="14.25" customHeight="1">
      <c r="B1377" s="124"/>
      <c r="C1377" s="99"/>
      <c r="D1377" s="99"/>
      <c r="E1377" s="130"/>
      <c r="F1377" s="3"/>
      <c r="G1377" s="130"/>
      <c r="H1377" s="3"/>
    </row>
    <row r="1378" ht="14.25" customHeight="1">
      <c r="B1378" s="124"/>
      <c r="C1378" s="99"/>
      <c r="D1378" s="99"/>
      <c r="E1378" s="130"/>
      <c r="F1378" s="3"/>
      <c r="G1378" s="130"/>
      <c r="H1378" s="3"/>
    </row>
    <row r="1379" ht="14.25" customHeight="1">
      <c r="B1379" s="124"/>
      <c r="C1379" s="99"/>
      <c r="D1379" s="99"/>
      <c r="E1379" s="130"/>
      <c r="F1379" s="3"/>
      <c r="G1379" s="130"/>
      <c r="H1379" s="3"/>
    </row>
    <row r="1380" ht="14.25" customHeight="1">
      <c r="B1380" s="124"/>
      <c r="C1380" s="99"/>
      <c r="D1380" s="99"/>
      <c r="E1380" s="130"/>
      <c r="F1380" s="3"/>
      <c r="G1380" s="130"/>
      <c r="H1380" s="3"/>
    </row>
    <row r="1381" ht="14.25" customHeight="1">
      <c r="B1381" s="124"/>
      <c r="C1381" s="99"/>
      <c r="D1381" s="99"/>
      <c r="E1381" s="130"/>
      <c r="F1381" s="3"/>
      <c r="G1381" s="130"/>
      <c r="H1381" s="3"/>
    </row>
    <row r="1382" ht="14.25" customHeight="1">
      <c r="B1382" s="124"/>
      <c r="C1382" s="99"/>
      <c r="D1382" s="99"/>
      <c r="E1382" s="130"/>
      <c r="F1382" s="3"/>
      <c r="G1382" s="130"/>
      <c r="H1382" s="3"/>
    </row>
    <row r="1383" ht="14.25" customHeight="1">
      <c r="B1383" s="124"/>
      <c r="C1383" s="99"/>
      <c r="D1383" s="99"/>
      <c r="E1383" s="130"/>
      <c r="F1383" s="3"/>
      <c r="G1383" s="130"/>
      <c r="H1383" s="3"/>
    </row>
    <row r="1384" ht="14.25" customHeight="1">
      <c r="B1384" s="124"/>
      <c r="C1384" s="99"/>
      <c r="D1384" s="99"/>
      <c r="E1384" s="130"/>
      <c r="F1384" s="3"/>
      <c r="G1384" s="130"/>
      <c r="H1384" s="3"/>
    </row>
    <row r="1385" ht="14.25" customHeight="1">
      <c r="B1385" s="124"/>
      <c r="C1385" s="99"/>
      <c r="D1385" s="99"/>
      <c r="E1385" s="130"/>
      <c r="F1385" s="3"/>
      <c r="G1385" s="130"/>
      <c r="H1385" s="3"/>
    </row>
    <row r="1386" ht="14.25" customHeight="1">
      <c r="B1386" s="124"/>
      <c r="C1386" s="99"/>
      <c r="D1386" s="99"/>
      <c r="E1386" s="130"/>
      <c r="F1386" s="3"/>
      <c r="G1386" s="130"/>
      <c r="H1386" s="3"/>
    </row>
    <row r="1387" ht="14.25" customHeight="1">
      <c r="B1387" s="124"/>
      <c r="C1387" s="99"/>
      <c r="D1387" s="99"/>
      <c r="E1387" s="130"/>
      <c r="F1387" s="3"/>
      <c r="G1387" s="130"/>
      <c r="H1387" s="3"/>
    </row>
    <row r="1388" ht="14.25" customHeight="1">
      <c r="B1388" s="124"/>
      <c r="C1388" s="99"/>
      <c r="D1388" s="99"/>
      <c r="E1388" s="130"/>
      <c r="F1388" s="3"/>
      <c r="G1388" s="130"/>
      <c r="H1388" s="3"/>
    </row>
    <row r="1389" ht="14.25" customHeight="1">
      <c r="B1389" s="124"/>
      <c r="C1389" s="99"/>
      <c r="D1389" s="99"/>
      <c r="E1389" s="130"/>
      <c r="F1389" s="3"/>
      <c r="G1389" s="130"/>
      <c r="H1389" s="3"/>
    </row>
    <row r="1390" ht="14.25" customHeight="1">
      <c r="B1390" s="124"/>
      <c r="C1390" s="99"/>
      <c r="D1390" s="99"/>
      <c r="E1390" s="130"/>
      <c r="F1390" s="3"/>
      <c r="G1390" s="130"/>
      <c r="H1390" s="3"/>
    </row>
    <row r="1391" ht="14.25" customHeight="1">
      <c r="B1391" s="124"/>
      <c r="C1391" s="99"/>
      <c r="D1391" s="99"/>
      <c r="E1391" s="130"/>
      <c r="F1391" s="3"/>
      <c r="G1391" s="130"/>
      <c r="H1391" s="3"/>
    </row>
    <row r="1392" ht="14.25" customHeight="1">
      <c r="B1392" s="124"/>
      <c r="C1392" s="99"/>
      <c r="D1392" s="99"/>
      <c r="E1392" s="130"/>
      <c r="F1392" s="3"/>
      <c r="G1392" s="130"/>
      <c r="H1392" s="3"/>
    </row>
    <row r="1393" ht="14.25" customHeight="1">
      <c r="B1393" s="124"/>
      <c r="C1393" s="99"/>
      <c r="D1393" s="99"/>
      <c r="E1393" s="130"/>
      <c r="F1393" s="3"/>
      <c r="G1393" s="130"/>
      <c r="H1393" s="3"/>
    </row>
    <row r="1394" ht="14.25" customHeight="1">
      <c r="B1394" s="124"/>
      <c r="C1394" s="99"/>
      <c r="D1394" s="99"/>
      <c r="E1394" s="130"/>
      <c r="F1394" s="3"/>
      <c r="G1394" s="130"/>
      <c r="H1394" s="3"/>
    </row>
    <row r="1395" ht="14.25" customHeight="1">
      <c r="B1395" s="124"/>
      <c r="C1395" s="99"/>
      <c r="D1395" s="99"/>
      <c r="E1395" s="130"/>
      <c r="F1395" s="3"/>
      <c r="G1395" s="130"/>
      <c r="H1395" s="3"/>
    </row>
    <row r="1396" ht="14.25" customHeight="1">
      <c r="B1396" s="124"/>
      <c r="C1396" s="99"/>
      <c r="D1396" s="99"/>
      <c r="E1396" s="130"/>
      <c r="F1396" s="3"/>
      <c r="G1396" s="130"/>
      <c r="H1396" s="3"/>
    </row>
    <row r="1397" ht="14.25" customHeight="1">
      <c r="B1397" s="124"/>
      <c r="C1397" s="99"/>
      <c r="D1397" s="99"/>
      <c r="E1397" s="130"/>
      <c r="F1397" s="3"/>
      <c r="G1397" s="130"/>
      <c r="H1397" s="3"/>
    </row>
    <row r="1398" ht="14.25" customHeight="1">
      <c r="B1398" s="124"/>
      <c r="C1398" s="99"/>
      <c r="D1398" s="99"/>
      <c r="E1398" s="130"/>
      <c r="F1398" s="3"/>
      <c r="G1398" s="130"/>
      <c r="H1398" s="3"/>
    </row>
    <row r="1399" ht="14.25" customHeight="1">
      <c r="B1399" s="124"/>
      <c r="C1399" s="99"/>
      <c r="D1399" s="99"/>
      <c r="E1399" s="130"/>
      <c r="F1399" s="3"/>
      <c r="G1399" s="130"/>
      <c r="H1399" s="3"/>
    </row>
    <row r="1400" ht="14.25" customHeight="1">
      <c r="B1400" s="124"/>
      <c r="C1400" s="99"/>
      <c r="D1400" s="99"/>
      <c r="E1400" s="130"/>
      <c r="F1400" s="3"/>
      <c r="G1400" s="130"/>
      <c r="H1400" s="3"/>
    </row>
    <row r="1401" ht="14.25" customHeight="1">
      <c r="B1401" s="124"/>
      <c r="C1401" s="99"/>
      <c r="D1401" s="99"/>
      <c r="E1401" s="130"/>
      <c r="F1401" s="3"/>
      <c r="G1401" s="130"/>
      <c r="H1401" s="3"/>
    </row>
    <row r="1402" ht="14.25" customHeight="1">
      <c r="B1402" s="124"/>
      <c r="C1402" s="99"/>
      <c r="D1402" s="99"/>
      <c r="E1402" s="130"/>
      <c r="F1402" s="3"/>
      <c r="G1402" s="130"/>
      <c r="H1402" s="3"/>
    </row>
    <row r="1403" ht="14.25" customHeight="1">
      <c r="B1403" s="124"/>
      <c r="C1403" s="99"/>
      <c r="D1403" s="99"/>
      <c r="E1403" s="130"/>
      <c r="F1403" s="3"/>
      <c r="G1403" s="130"/>
      <c r="H1403" s="3"/>
    </row>
    <row r="1404" ht="14.25" customHeight="1">
      <c r="B1404" s="124"/>
      <c r="C1404" s="99"/>
      <c r="D1404" s="99"/>
      <c r="E1404" s="130"/>
      <c r="F1404" s="3"/>
      <c r="G1404" s="130"/>
      <c r="H1404" s="3"/>
    </row>
    <row r="1405" ht="14.25" customHeight="1">
      <c r="B1405" s="124"/>
      <c r="C1405" s="99"/>
      <c r="D1405" s="99"/>
      <c r="E1405" s="130"/>
      <c r="F1405" s="3"/>
      <c r="G1405" s="130"/>
      <c r="H1405" s="3"/>
    </row>
    <row r="1406" ht="14.25" customHeight="1">
      <c r="B1406" s="124"/>
      <c r="C1406" s="99"/>
      <c r="D1406" s="99"/>
      <c r="E1406" s="130"/>
      <c r="F1406" s="3"/>
      <c r="G1406" s="130"/>
      <c r="H1406" s="3"/>
    </row>
    <row r="1407" ht="14.25" customHeight="1">
      <c r="B1407" s="124"/>
      <c r="C1407" s="99"/>
      <c r="D1407" s="99"/>
      <c r="E1407" s="130"/>
      <c r="F1407" s="3"/>
      <c r="G1407" s="130"/>
      <c r="H1407" s="3"/>
    </row>
    <row r="1408" ht="14.25" customHeight="1">
      <c r="B1408" s="124"/>
      <c r="C1408" s="99"/>
      <c r="D1408" s="99"/>
      <c r="E1408" s="130"/>
      <c r="F1408" s="3"/>
      <c r="G1408" s="130"/>
      <c r="H1408" s="3"/>
    </row>
    <row r="1409" ht="14.25" customHeight="1">
      <c r="B1409" s="124"/>
      <c r="C1409" s="99"/>
      <c r="D1409" s="99"/>
      <c r="E1409" s="130"/>
      <c r="F1409" s="3"/>
      <c r="G1409" s="130"/>
      <c r="H1409" s="3"/>
    </row>
    <row r="1410" ht="14.25" customHeight="1">
      <c r="B1410" s="124"/>
      <c r="C1410" s="99"/>
      <c r="D1410" s="99"/>
      <c r="E1410" s="130"/>
      <c r="F1410" s="3"/>
      <c r="G1410" s="130"/>
      <c r="H1410" s="3"/>
    </row>
    <row r="1411" ht="14.25" customHeight="1">
      <c r="B1411" s="124"/>
      <c r="C1411" s="99"/>
      <c r="D1411" s="99"/>
      <c r="E1411" s="130"/>
      <c r="F1411" s="3"/>
      <c r="G1411" s="130"/>
      <c r="H1411" s="3"/>
    </row>
    <row r="1412" ht="14.25" customHeight="1">
      <c r="B1412" s="124"/>
      <c r="C1412" s="99"/>
      <c r="D1412" s="99"/>
      <c r="E1412" s="130"/>
      <c r="F1412" s="3"/>
      <c r="G1412" s="130"/>
      <c r="H1412" s="3"/>
    </row>
    <row r="1413" ht="14.25" customHeight="1">
      <c r="B1413" s="124"/>
      <c r="C1413" s="99"/>
      <c r="D1413" s="99"/>
      <c r="E1413" s="130"/>
      <c r="F1413" s="3"/>
      <c r="G1413" s="130"/>
      <c r="H1413" s="3"/>
    </row>
    <row r="1414" ht="14.25" customHeight="1">
      <c r="B1414" s="124"/>
      <c r="C1414" s="99"/>
      <c r="D1414" s="99"/>
      <c r="E1414" s="130"/>
      <c r="F1414" s="3"/>
      <c r="G1414" s="130"/>
      <c r="H1414" s="3"/>
    </row>
    <row r="1415" ht="14.25" customHeight="1">
      <c r="B1415" s="124"/>
      <c r="C1415" s="99"/>
      <c r="D1415" s="99"/>
      <c r="E1415" s="130"/>
      <c r="F1415" s="3"/>
      <c r="G1415" s="130"/>
      <c r="H1415" s="3"/>
    </row>
    <row r="1416" ht="14.25" customHeight="1">
      <c r="B1416" s="124"/>
      <c r="C1416" s="99"/>
      <c r="D1416" s="99"/>
      <c r="E1416" s="130"/>
      <c r="F1416" s="3"/>
      <c r="G1416" s="130"/>
      <c r="H1416" s="3"/>
    </row>
    <row r="1417" ht="14.25" customHeight="1">
      <c r="B1417" s="124"/>
      <c r="C1417" s="99"/>
      <c r="D1417" s="99"/>
      <c r="E1417" s="130"/>
      <c r="F1417" s="3"/>
      <c r="G1417" s="130"/>
      <c r="H1417" s="3"/>
    </row>
    <row r="1418" ht="14.25" customHeight="1">
      <c r="B1418" s="124"/>
      <c r="C1418" s="99"/>
      <c r="D1418" s="99"/>
      <c r="E1418" s="130"/>
      <c r="F1418" s="3"/>
      <c r="G1418" s="130"/>
      <c r="H1418" s="3"/>
    </row>
    <row r="1419" ht="14.25" customHeight="1">
      <c r="B1419" s="124"/>
      <c r="C1419" s="99"/>
      <c r="D1419" s="99"/>
      <c r="E1419" s="130"/>
      <c r="F1419" s="3"/>
      <c r="G1419" s="130"/>
      <c r="H1419" s="3"/>
    </row>
    <row r="1420" ht="14.25" customHeight="1">
      <c r="B1420" s="124"/>
      <c r="C1420" s="99"/>
      <c r="D1420" s="99"/>
      <c r="E1420" s="130"/>
      <c r="F1420" s="3"/>
      <c r="G1420" s="130"/>
      <c r="H1420" s="3"/>
    </row>
    <row r="1421" ht="14.25" customHeight="1">
      <c r="B1421" s="124"/>
      <c r="C1421" s="99"/>
      <c r="D1421" s="99"/>
      <c r="E1421" s="130"/>
      <c r="F1421" s="3"/>
      <c r="G1421" s="130"/>
      <c r="H1421" s="3"/>
    </row>
    <row r="1422" ht="14.25" customHeight="1">
      <c r="B1422" s="124"/>
      <c r="C1422" s="99"/>
      <c r="D1422" s="99"/>
      <c r="E1422" s="130"/>
      <c r="F1422" s="3"/>
      <c r="G1422" s="130"/>
      <c r="H1422" s="3"/>
    </row>
    <row r="1423" ht="14.25" customHeight="1">
      <c r="B1423" s="124"/>
      <c r="C1423" s="99"/>
      <c r="D1423" s="99"/>
      <c r="E1423" s="130"/>
      <c r="F1423" s="3"/>
      <c r="G1423" s="130"/>
      <c r="H1423" s="3"/>
    </row>
    <row r="1424" ht="14.25" customHeight="1">
      <c r="B1424" s="124"/>
      <c r="C1424" s="99"/>
      <c r="D1424" s="99"/>
      <c r="E1424" s="130"/>
      <c r="F1424" s="3"/>
      <c r="G1424" s="130"/>
      <c r="H1424" s="3"/>
    </row>
    <row r="1425" ht="14.25" customHeight="1">
      <c r="B1425" s="124"/>
      <c r="C1425" s="99"/>
      <c r="D1425" s="99"/>
      <c r="E1425" s="130"/>
      <c r="F1425" s="3"/>
      <c r="G1425" s="130"/>
      <c r="H1425" s="3"/>
    </row>
    <row r="1426" ht="14.25" customHeight="1">
      <c r="B1426" s="124"/>
      <c r="C1426" s="99"/>
      <c r="D1426" s="99"/>
      <c r="E1426" s="130"/>
      <c r="F1426" s="3"/>
      <c r="G1426" s="130"/>
      <c r="H1426" s="3"/>
    </row>
    <row r="1427" ht="14.25" customHeight="1">
      <c r="B1427" s="124"/>
      <c r="C1427" s="99"/>
      <c r="D1427" s="99"/>
      <c r="E1427" s="130"/>
      <c r="F1427" s="3"/>
      <c r="G1427" s="130"/>
      <c r="H1427" s="3"/>
    </row>
    <row r="1428" ht="14.25" customHeight="1">
      <c r="B1428" s="124"/>
      <c r="C1428" s="99"/>
      <c r="D1428" s="99"/>
      <c r="E1428" s="130"/>
      <c r="F1428" s="3"/>
      <c r="G1428" s="130"/>
      <c r="H1428" s="3"/>
    </row>
    <row r="1429" ht="14.25" customHeight="1">
      <c r="B1429" s="124"/>
      <c r="C1429" s="99"/>
      <c r="D1429" s="99"/>
      <c r="E1429" s="130"/>
      <c r="F1429" s="3"/>
      <c r="G1429" s="130"/>
      <c r="H1429" s="3"/>
    </row>
    <row r="1430" ht="14.25" customHeight="1">
      <c r="B1430" s="124"/>
      <c r="C1430" s="99"/>
      <c r="D1430" s="99"/>
      <c r="E1430" s="130"/>
      <c r="F1430" s="3"/>
      <c r="G1430" s="130"/>
      <c r="H1430" s="3"/>
    </row>
    <row r="1431" ht="14.25" customHeight="1">
      <c r="B1431" s="124"/>
      <c r="C1431" s="99"/>
      <c r="D1431" s="99"/>
      <c r="E1431" s="130"/>
      <c r="F1431" s="3"/>
      <c r="G1431" s="130"/>
      <c r="H1431" s="3"/>
    </row>
    <row r="1432" ht="14.25" customHeight="1">
      <c r="B1432" s="124"/>
      <c r="C1432" s="99"/>
      <c r="D1432" s="99"/>
      <c r="E1432" s="130"/>
      <c r="F1432" s="3"/>
      <c r="G1432" s="130"/>
      <c r="H1432" s="3"/>
    </row>
    <row r="1433" ht="14.25" customHeight="1">
      <c r="B1433" s="124"/>
      <c r="C1433" s="99"/>
      <c r="D1433" s="99"/>
      <c r="E1433" s="130"/>
      <c r="F1433" s="3"/>
      <c r="G1433" s="130"/>
      <c r="H1433" s="3"/>
    </row>
    <row r="1434" ht="14.25" customHeight="1">
      <c r="B1434" s="124"/>
      <c r="C1434" s="99"/>
      <c r="D1434" s="99"/>
      <c r="E1434" s="130"/>
      <c r="F1434" s="3"/>
      <c r="G1434" s="130"/>
      <c r="H1434" s="3"/>
    </row>
    <row r="1435" ht="14.25" customHeight="1">
      <c r="B1435" s="124"/>
      <c r="C1435" s="99"/>
      <c r="D1435" s="99"/>
      <c r="E1435" s="130"/>
      <c r="F1435" s="3"/>
      <c r="G1435" s="130"/>
      <c r="H1435" s="3"/>
    </row>
    <row r="1436" ht="14.25" customHeight="1">
      <c r="B1436" s="124"/>
      <c r="C1436" s="99"/>
      <c r="D1436" s="99"/>
      <c r="E1436" s="130"/>
      <c r="F1436" s="3"/>
      <c r="G1436" s="130"/>
      <c r="H1436" s="3"/>
    </row>
    <row r="1437" ht="14.25" customHeight="1">
      <c r="B1437" s="124"/>
      <c r="C1437" s="99"/>
      <c r="D1437" s="99"/>
      <c r="E1437" s="130"/>
      <c r="F1437" s="3"/>
      <c r="G1437" s="130"/>
      <c r="H1437" s="3"/>
    </row>
    <row r="1438" ht="14.25" customHeight="1">
      <c r="B1438" s="124"/>
      <c r="C1438" s="99"/>
      <c r="D1438" s="99"/>
      <c r="E1438" s="130"/>
      <c r="F1438" s="3"/>
      <c r="G1438" s="130"/>
      <c r="H1438" s="3"/>
    </row>
    <row r="1439" ht="14.25" customHeight="1">
      <c r="B1439" s="124"/>
      <c r="C1439" s="99"/>
      <c r="D1439" s="99"/>
      <c r="E1439" s="130"/>
      <c r="F1439" s="3"/>
      <c r="G1439" s="130"/>
      <c r="H1439" s="3"/>
    </row>
    <row r="1440" ht="14.25" customHeight="1">
      <c r="B1440" s="124"/>
      <c r="C1440" s="99"/>
      <c r="D1440" s="99"/>
      <c r="E1440" s="130"/>
      <c r="F1440" s="3"/>
      <c r="G1440" s="130"/>
      <c r="H1440" s="3"/>
    </row>
    <row r="1441" ht="14.25" customHeight="1">
      <c r="B1441" s="124"/>
      <c r="C1441" s="99"/>
      <c r="D1441" s="99"/>
      <c r="E1441" s="130"/>
      <c r="F1441" s="3"/>
      <c r="G1441" s="130"/>
      <c r="H1441" s="3"/>
    </row>
    <row r="1442" ht="14.25" customHeight="1">
      <c r="B1442" s="124"/>
      <c r="C1442" s="99"/>
      <c r="D1442" s="99"/>
      <c r="E1442" s="130"/>
      <c r="F1442" s="3"/>
      <c r="G1442" s="130"/>
      <c r="H1442" s="3"/>
    </row>
    <row r="1443" ht="14.25" customHeight="1">
      <c r="B1443" s="124"/>
      <c r="C1443" s="99"/>
      <c r="D1443" s="99"/>
      <c r="E1443" s="130"/>
      <c r="F1443" s="3"/>
      <c r="G1443" s="130"/>
      <c r="H1443" s="3"/>
    </row>
    <row r="1444" ht="14.25" customHeight="1">
      <c r="B1444" s="124"/>
      <c r="C1444" s="99"/>
      <c r="D1444" s="99"/>
      <c r="E1444" s="130"/>
      <c r="F1444" s="3"/>
      <c r="G1444" s="130"/>
      <c r="H1444" s="3"/>
    </row>
    <row r="1445" ht="14.25" customHeight="1">
      <c r="B1445" s="124"/>
      <c r="C1445" s="99"/>
      <c r="D1445" s="99"/>
      <c r="E1445" s="130"/>
      <c r="F1445" s="3"/>
      <c r="G1445" s="130"/>
      <c r="H1445" s="3"/>
    </row>
    <row r="1446" ht="14.25" customHeight="1">
      <c r="B1446" s="124"/>
      <c r="C1446" s="99"/>
      <c r="D1446" s="99"/>
      <c r="E1446" s="130"/>
      <c r="F1446" s="3"/>
      <c r="G1446" s="130"/>
      <c r="H1446" s="3"/>
    </row>
    <row r="1447" ht="14.25" customHeight="1">
      <c r="B1447" s="124"/>
      <c r="C1447" s="99"/>
      <c r="D1447" s="99"/>
      <c r="E1447" s="130"/>
      <c r="F1447" s="3"/>
      <c r="G1447" s="130"/>
      <c r="H1447" s="3"/>
    </row>
    <row r="1448" ht="14.25" customHeight="1">
      <c r="B1448" s="124"/>
      <c r="C1448" s="99"/>
      <c r="D1448" s="99"/>
      <c r="E1448" s="130"/>
      <c r="F1448" s="3"/>
      <c r="G1448" s="130"/>
      <c r="H1448" s="3"/>
    </row>
    <row r="1449" ht="14.25" customHeight="1">
      <c r="B1449" s="124"/>
      <c r="C1449" s="99"/>
      <c r="D1449" s="99"/>
      <c r="E1449" s="130"/>
      <c r="F1449" s="3"/>
      <c r="G1449" s="130"/>
      <c r="H1449" s="3"/>
    </row>
    <row r="1450" ht="14.25" customHeight="1">
      <c r="B1450" s="124"/>
      <c r="C1450" s="99"/>
      <c r="D1450" s="99"/>
      <c r="E1450" s="130"/>
      <c r="F1450" s="3"/>
      <c r="G1450" s="130"/>
      <c r="H1450" s="3"/>
    </row>
    <row r="1451" ht="14.25" customHeight="1">
      <c r="B1451" s="124"/>
      <c r="C1451" s="99"/>
      <c r="D1451" s="99"/>
      <c r="E1451" s="130"/>
      <c r="F1451" s="3"/>
      <c r="G1451" s="130"/>
      <c r="H1451" s="3"/>
    </row>
    <row r="1452" ht="14.25" customHeight="1">
      <c r="B1452" s="124"/>
      <c r="C1452" s="99"/>
      <c r="D1452" s="99"/>
      <c r="E1452" s="130"/>
      <c r="F1452" s="3"/>
      <c r="G1452" s="130"/>
      <c r="H1452" s="3"/>
    </row>
    <row r="1453" ht="14.25" customHeight="1">
      <c r="B1453" s="124"/>
      <c r="C1453" s="99"/>
      <c r="D1453" s="99"/>
      <c r="E1453" s="130"/>
      <c r="F1453" s="3"/>
      <c r="G1453" s="130"/>
      <c r="H1453" s="3"/>
    </row>
    <row r="1454" ht="14.25" customHeight="1">
      <c r="B1454" s="124"/>
      <c r="C1454" s="99"/>
      <c r="D1454" s="99"/>
      <c r="E1454" s="130"/>
      <c r="F1454" s="3"/>
      <c r="G1454" s="130"/>
      <c r="H1454" s="3"/>
    </row>
    <row r="1455" ht="14.25" customHeight="1">
      <c r="B1455" s="124"/>
      <c r="C1455" s="99"/>
      <c r="D1455" s="99"/>
      <c r="E1455" s="130"/>
      <c r="F1455" s="3"/>
      <c r="G1455" s="130"/>
      <c r="H1455" s="3"/>
    </row>
    <row r="1456" ht="14.25" customHeight="1">
      <c r="B1456" s="124"/>
      <c r="C1456" s="99"/>
      <c r="D1456" s="99"/>
      <c r="E1456" s="130"/>
      <c r="F1456" s="3"/>
      <c r="G1456" s="130"/>
      <c r="H1456" s="3"/>
    </row>
    <row r="1457" ht="14.25" customHeight="1">
      <c r="B1457" s="124"/>
      <c r="C1457" s="99"/>
      <c r="D1457" s="99"/>
      <c r="E1457" s="130"/>
      <c r="F1457" s="3"/>
      <c r="G1457" s="130"/>
      <c r="H1457" s="3"/>
    </row>
    <row r="1458" ht="14.25" customHeight="1">
      <c r="B1458" s="124"/>
      <c r="C1458" s="99"/>
      <c r="D1458" s="99"/>
      <c r="E1458" s="130"/>
      <c r="F1458" s="3"/>
      <c r="G1458" s="130"/>
      <c r="H1458" s="3"/>
    </row>
    <row r="1459" ht="14.25" customHeight="1">
      <c r="B1459" s="124"/>
      <c r="C1459" s="99"/>
      <c r="D1459" s="99"/>
      <c r="E1459" s="130"/>
      <c r="F1459" s="3"/>
      <c r="G1459" s="130"/>
      <c r="H1459" s="3"/>
    </row>
    <row r="1460" ht="14.25" customHeight="1">
      <c r="B1460" s="124"/>
      <c r="C1460" s="99"/>
      <c r="D1460" s="99"/>
      <c r="E1460" s="130"/>
      <c r="F1460" s="3"/>
      <c r="G1460" s="130"/>
      <c r="H1460" s="3"/>
    </row>
    <row r="1461" ht="14.25" customHeight="1">
      <c r="B1461" s="124"/>
      <c r="C1461" s="99"/>
      <c r="D1461" s="99"/>
      <c r="E1461" s="130"/>
      <c r="F1461" s="3"/>
      <c r="G1461" s="130"/>
      <c r="H1461" s="3"/>
    </row>
    <row r="1462" ht="14.25" customHeight="1">
      <c r="B1462" s="124"/>
      <c r="C1462" s="99"/>
      <c r="D1462" s="99"/>
      <c r="E1462" s="130"/>
      <c r="F1462" s="3"/>
      <c r="G1462" s="130"/>
      <c r="H1462" s="3"/>
    </row>
    <row r="1463" ht="14.25" customHeight="1">
      <c r="B1463" s="124"/>
      <c r="C1463" s="99"/>
      <c r="D1463" s="99"/>
      <c r="E1463" s="130"/>
      <c r="F1463" s="3"/>
      <c r="G1463" s="130"/>
      <c r="H1463" s="3"/>
    </row>
    <row r="1464" ht="14.25" customHeight="1">
      <c r="B1464" s="124"/>
      <c r="C1464" s="99"/>
      <c r="D1464" s="99"/>
      <c r="E1464" s="130"/>
      <c r="F1464" s="3"/>
      <c r="G1464" s="130"/>
      <c r="H1464" s="3"/>
    </row>
    <row r="1465" ht="14.25" customHeight="1">
      <c r="B1465" s="124"/>
      <c r="C1465" s="99"/>
      <c r="D1465" s="99"/>
      <c r="E1465" s="130"/>
      <c r="F1465" s="3"/>
      <c r="G1465" s="130"/>
      <c r="H1465" s="3"/>
    </row>
    <row r="1466" ht="14.25" customHeight="1">
      <c r="B1466" s="124"/>
      <c r="C1466" s="99"/>
      <c r="D1466" s="99"/>
      <c r="E1466" s="130"/>
      <c r="F1466" s="3"/>
      <c r="G1466" s="130"/>
      <c r="H1466" s="3"/>
    </row>
    <row r="1467" ht="14.25" customHeight="1">
      <c r="B1467" s="124"/>
      <c r="C1467" s="99"/>
      <c r="D1467" s="99"/>
      <c r="E1467" s="130"/>
      <c r="F1467" s="3"/>
      <c r="G1467" s="130"/>
      <c r="H1467" s="3"/>
    </row>
    <row r="1468" ht="14.25" customHeight="1">
      <c r="B1468" s="124"/>
      <c r="C1468" s="99"/>
      <c r="D1468" s="99"/>
      <c r="E1468" s="130"/>
      <c r="F1468" s="3"/>
      <c r="G1468" s="130"/>
      <c r="H1468" s="3"/>
    </row>
    <row r="1469" ht="14.25" customHeight="1">
      <c r="B1469" s="124"/>
      <c r="C1469" s="99"/>
      <c r="D1469" s="99"/>
      <c r="E1469" s="130"/>
      <c r="F1469" s="3"/>
      <c r="G1469" s="130"/>
      <c r="H1469" s="3"/>
    </row>
    <row r="1470" ht="14.25" customHeight="1">
      <c r="B1470" s="124"/>
      <c r="C1470" s="99"/>
      <c r="D1470" s="99"/>
      <c r="E1470" s="130"/>
      <c r="F1470" s="3"/>
      <c r="G1470" s="130"/>
      <c r="H1470" s="3"/>
    </row>
    <row r="1471" ht="14.25" customHeight="1">
      <c r="B1471" s="124"/>
      <c r="C1471" s="99"/>
      <c r="D1471" s="99"/>
      <c r="E1471" s="130"/>
      <c r="F1471" s="3"/>
      <c r="G1471" s="130"/>
      <c r="H1471" s="3"/>
    </row>
    <row r="1472" ht="14.25" customHeight="1">
      <c r="B1472" s="124"/>
      <c r="C1472" s="99"/>
      <c r="D1472" s="99"/>
      <c r="E1472" s="130"/>
      <c r="F1472" s="3"/>
      <c r="G1472" s="130"/>
      <c r="H1472" s="3"/>
    </row>
    <row r="1473" ht="14.25" customHeight="1">
      <c r="B1473" s="124"/>
      <c r="C1473" s="99"/>
      <c r="D1473" s="99"/>
      <c r="E1473" s="130"/>
      <c r="F1473" s="3"/>
      <c r="G1473" s="130"/>
      <c r="H1473" s="3"/>
    </row>
    <row r="1474" ht="14.25" customHeight="1">
      <c r="B1474" s="124"/>
      <c r="C1474" s="99"/>
      <c r="D1474" s="99"/>
      <c r="E1474" s="130"/>
      <c r="F1474" s="3"/>
      <c r="G1474" s="130"/>
      <c r="H1474" s="3"/>
    </row>
    <row r="1475" ht="14.25" customHeight="1">
      <c r="B1475" s="124"/>
      <c r="C1475" s="99"/>
      <c r="D1475" s="99"/>
      <c r="E1475" s="130"/>
      <c r="F1475" s="3"/>
      <c r="G1475" s="130"/>
      <c r="H1475" s="3"/>
    </row>
    <row r="1476" ht="14.25" customHeight="1">
      <c r="B1476" s="124"/>
      <c r="C1476" s="99"/>
      <c r="D1476" s="99"/>
      <c r="E1476" s="130"/>
      <c r="F1476" s="3"/>
      <c r="G1476" s="130"/>
      <c r="H1476" s="3"/>
    </row>
    <row r="1477" ht="14.25" customHeight="1">
      <c r="B1477" s="124"/>
      <c r="C1477" s="99"/>
      <c r="D1477" s="99"/>
      <c r="E1477" s="130"/>
      <c r="F1477" s="3"/>
      <c r="G1477" s="130"/>
      <c r="H1477" s="3"/>
    </row>
    <row r="1478" ht="14.25" customHeight="1">
      <c r="B1478" s="124"/>
      <c r="C1478" s="99"/>
      <c r="D1478" s="99"/>
      <c r="E1478" s="130"/>
      <c r="F1478" s="3"/>
      <c r="G1478" s="130"/>
      <c r="H1478" s="3"/>
    </row>
    <row r="1479" ht="14.25" customHeight="1">
      <c r="B1479" s="124"/>
      <c r="C1479" s="99"/>
      <c r="D1479" s="99"/>
      <c r="E1479" s="130"/>
      <c r="F1479" s="3"/>
      <c r="G1479" s="130"/>
      <c r="H1479" s="3"/>
    </row>
    <row r="1480" ht="14.25" customHeight="1">
      <c r="B1480" s="124"/>
      <c r="C1480" s="99"/>
      <c r="D1480" s="99"/>
      <c r="E1480" s="130"/>
      <c r="F1480" s="3"/>
      <c r="G1480" s="130"/>
      <c r="H1480" s="3"/>
    </row>
    <row r="1481" ht="14.25" customHeight="1">
      <c r="B1481" s="124"/>
      <c r="C1481" s="99"/>
      <c r="D1481" s="99"/>
      <c r="E1481" s="130"/>
      <c r="F1481" s="3"/>
      <c r="G1481" s="130"/>
      <c r="H1481" s="3"/>
    </row>
    <row r="1482" ht="14.25" customHeight="1">
      <c r="B1482" s="124"/>
      <c r="C1482" s="99"/>
      <c r="D1482" s="99"/>
      <c r="E1482" s="130"/>
      <c r="F1482" s="3"/>
      <c r="G1482" s="130"/>
      <c r="H1482" s="3"/>
    </row>
    <row r="1483" ht="14.25" customHeight="1">
      <c r="B1483" s="124"/>
      <c r="C1483" s="99"/>
      <c r="D1483" s="99"/>
      <c r="E1483" s="130"/>
      <c r="F1483" s="3"/>
      <c r="G1483" s="130"/>
      <c r="H1483" s="3"/>
    </row>
    <row r="1484" ht="14.25" customHeight="1">
      <c r="B1484" s="124"/>
      <c r="C1484" s="99"/>
      <c r="D1484" s="99"/>
      <c r="E1484" s="130"/>
      <c r="F1484" s="3"/>
      <c r="G1484" s="130"/>
      <c r="H1484" s="3"/>
    </row>
    <row r="1485" ht="14.25" customHeight="1">
      <c r="B1485" s="124"/>
      <c r="C1485" s="99"/>
      <c r="D1485" s="99"/>
      <c r="E1485" s="130"/>
      <c r="F1485" s="3"/>
      <c r="G1485" s="130"/>
      <c r="H1485" s="3"/>
    </row>
    <row r="1486" ht="14.25" customHeight="1">
      <c r="B1486" s="124"/>
      <c r="C1486" s="99"/>
      <c r="D1486" s="99"/>
      <c r="E1486" s="130"/>
      <c r="F1486" s="3"/>
      <c r="G1486" s="130"/>
      <c r="H1486" s="3"/>
    </row>
    <row r="1487" ht="14.25" customHeight="1">
      <c r="B1487" s="124"/>
      <c r="C1487" s="99"/>
      <c r="D1487" s="99"/>
      <c r="E1487" s="130"/>
      <c r="F1487" s="3"/>
      <c r="G1487" s="130"/>
      <c r="H1487" s="3"/>
    </row>
    <row r="1488" ht="14.25" customHeight="1">
      <c r="B1488" s="124"/>
      <c r="C1488" s="99"/>
      <c r="D1488" s="99"/>
      <c r="E1488" s="130"/>
      <c r="F1488" s="3"/>
      <c r="G1488" s="130"/>
      <c r="H1488" s="3"/>
    </row>
    <row r="1489" ht="14.25" customHeight="1">
      <c r="B1489" s="124"/>
      <c r="C1489" s="99"/>
      <c r="D1489" s="99"/>
      <c r="E1489" s="130"/>
      <c r="F1489" s="3"/>
      <c r="G1489" s="130"/>
      <c r="H1489" s="3"/>
    </row>
    <row r="1490" ht="14.25" customHeight="1">
      <c r="B1490" s="124"/>
      <c r="C1490" s="99"/>
      <c r="D1490" s="99"/>
      <c r="E1490" s="130"/>
      <c r="F1490" s="3"/>
      <c r="G1490" s="130"/>
      <c r="H1490" s="3"/>
    </row>
    <row r="1491" ht="14.25" customHeight="1">
      <c r="B1491" s="124"/>
      <c r="C1491" s="99"/>
      <c r="D1491" s="99"/>
      <c r="E1491" s="130"/>
      <c r="F1491" s="3"/>
      <c r="G1491" s="130"/>
      <c r="H1491" s="3"/>
    </row>
    <row r="1492" ht="14.25" customHeight="1">
      <c r="B1492" s="124"/>
      <c r="C1492" s="99"/>
      <c r="D1492" s="99"/>
      <c r="E1492" s="130"/>
      <c r="F1492" s="3"/>
      <c r="G1492" s="130"/>
      <c r="H1492" s="3"/>
    </row>
    <row r="1493" ht="14.25" customHeight="1">
      <c r="B1493" s="124"/>
      <c r="C1493" s="99"/>
      <c r="D1493" s="99"/>
      <c r="E1493" s="130"/>
      <c r="F1493" s="3"/>
      <c r="G1493" s="130"/>
      <c r="H1493" s="3"/>
    </row>
    <row r="1494" ht="14.25" customHeight="1">
      <c r="B1494" s="124"/>
      <c r="C1494" s="99"/>
      <c r="D1494" s="99"/>
      <c r="E1494" s="130"/>
      <c r="F1494" s="3"/>
      <c r="G1494" s="130"/>
      <c r="H1494" s="3"/>
    </row>
    <row r="1495" ht="14.25" customHeight="1">
      <c r="B1495" s="124"/>
      <c r="C1495" s="99"/>
      <c r="D1495" s="99"/>
      <c r="E1495" s="130"/>
      <c r="F1495" s="3"/>
      <c r="G1495" s="130"/>
      <c r="H1495" s="3"/>
    </row>
    <row r="1496" ht="14.25" customHeight="1">
      <c r="B1496" s="124"/>
      <c r="C1496" s="99"/>
      <c r="D1496" s="99"/>
      <c r="E1496" s="130"/>
      <c r="F1496" s="3"/>
      <c r="G1496" s="130"/>
      <c r="H1496" s="3"/>
    </row>
    <row r="1497" ht="14.25" customHeight="1">
      <c r="B1497" s="124"/>
      <c r="C1497" s="99"/>
      <c r="D1497" s="99"/>
      <c r="E1497" s="130"/>
      <c r="F1497" s="3"/>
      <c r="G1497" s="130"/>
      <c r="H1497" s="3"/>
    </row>
    <row r="1498" ht="14.25" customHeight="1">
      <c r="B1498" s="124"/>
      <c r="C1498" s="99"/>
      <c r="D1498" s="99"/>
      <c r="E1498" s="130"/>
      <c r="F1498" s="3"/>
      <c r="G1498" s="130"/>
      <c r="H1498" s="3"/>
    </row>
    <row r="1499" ht="14.25" customHeight="1">
      <c r="B1499" s="124"/>
      <c r="C1499" s="99"/>
      <c r="D1499" s="99"/>
      <c r="E1499" s="130"/>
      <c r="F1499" s="3"/>
      <c r="G1499" s="130"/>
      <c r="H1499" s="3"/>
    </row>
    <row r="1500" ht="14.25" customHeight="1">
      <c r="B1500" s="124"/>
      <c r="C1500" s="99"/>
      <c r="D1500" s="99"/>
      <c r="E1500" s="130"/>
      <c r="F1500" s="3"/>
      <c r="G1500" s="130"/>
      <c r="H1500" s="3"/>
    </row>
    <row r="1501" ht="14.25" customHeight="1">
      <c r="B1501" s="124"/>
      <c r="C1501" s="99"/>
      <c r="D1501" s="99"/>
      <c r="E1501" s="130"/>
      <c r="F1501" s="3"/>
      <c r="G1501" s="130"/>
      <c r="H1501" s="3"/>
    </row>
    <row r="1502" ht="14.25" customHeight="1">
      <c r="B1502" s="124"/>
      <c r="C1502" s="99"/>
      <c r="D1502" s="99"/>
      <c r="E1502" s="130"/>
      <c r="F1502" s="3"/>
      <c r="G1502" s="130"/>
      <c r="H1502" s="3"/>
    </row>
    <row r="1503" ht="14.25" customHeight="1">
      <c r="B1503" s="124"/>
      <c r="C1503" s="99"/>
      <c r="D1503" s="99"/>
      <c r="E1503" s="130"/>
      <c r="F1503" s="3"/>
      <c r="G1503" s="130"/>
      <c r="H1503" s="3"/>
    </row>
    <row r="1504" ht="14.25" customHeight="1">
      <c r="B1504" s="124"/>
      <c r="C1504" s="99"/>
      <c r="D1504" s="99"/>
      <c r="E1504" s="130"/>
      <c r="F1504" s="3"/>
      <c r="G1504" s="130"/>
      <c r="H1504" s="3"/>
    </row>
    <row r="1505" ht="14.25" customHeight="1">
      <c r="B1505" s="124"/>
      <c r="C1505" s="99"/>
      <c r="D1505" s="99"/>
      <c r="E1505" s="130"/>
      <c r="F1505" s="3"/>
      <c r="G1505" s="130"/>
      <c r="H1505" s="3"/>
    </row>
    <row r="1506" ht="14.25" customHeight="1">
      <c r="B1506" s="124"/>
      <c r="C1506" s="99"/>
      <c r="D1506" s="99"/>
      <c r="E1506" s="130"/>
      <c r="F1506" s="3"/>
      <c r="G1506" s="130"/>
      <c r="H1506" s="3"/>
    </row>
    <row r="1507" ht="14.25" customHeight="1">
      <c r="B1507" s="124"/>
      <c r="C1507" s="99"/>
      <c r="D1507" s="99"/>
      <c r="E1507" s="130"/>
      <c r="F1507" s="3"/>
      <c r="G1507" s="130"/>
      <c r="H1507" s="3"/>
    </row>
    <row r="1508" ht="14.25" customHeight="1">
      <c r="B1508" s="124"/>
      <c r="C1508" s="99"/>
      <c r="D1508" s="99"/>
      <c r="E1508" s="130"/>
      <c r="F1508" s="3"/>
      <c r="G1508" s="130"/>
      <c r="H1508" s="3"/>
    </row>
    <row r="1509" ht="14.25" customHeight="1">
      <c r="B1509" s="124"/>
      <c r="C1509" s="99"/>
      <c r="D1509" s="99"/>
      <c r="E1509" s="130"/>
      <c r="F1509" s="3"/>
      <c r="G1509" s="130"/>
      <c r="H1509" s="3"/>
    </row>
    <row r="1510" ht="14.25" customHeight="1">
      <c r="B1510" s="124"/>
      <c r="C1510" s="99"/>
      <c r="D1510" s="99"/>
      <c r="E1510" s="130"/>
      <c r="F1510" s="3"/>
      <c r="G1510" s="130"/>
      <c r="H1510" s="3"/>
    </row>
    <row r="1511" ht="14.25" customHeight="1">
      <c r="B1511" s="124"/>
      <c r="C1511" s="99"/>
      <c r="D1511" s="99"/>
      <c r="E1511" s="130"/>
      <c r="F1511" s="3"/>
      <c r="G1511" s="130"/>
      <c r="H1511" s="3"/>
    </row>
    <row r="1512" ht="14.25" customHeight="1">
      <c r="B1512" s="124"/>
      <c r="C1512" s="99"/>
      <c r="D1512" s="99"/>
      <c r="E1512" s="130"/>
      <c r="F1512" s="3"/>
      <c r="G1512" s="130"/>
      <c r="H1512" s="3"/>
    </row>
    <row r="1513" ht="14.25" customHeight="1">
      <c r="B1513" s="124"/>
      <c r="C1513" s="99"/>
      <c r="D1513" s="99"/>
      <c r="E1513" s="130"/>
      <c r="F1513" s="3"/>
      <c r="G1513" s="130"/>
      <c r="H1513" s="3"/>
    </row>
    <row r="1514" ht="14.25" customHeight="1">
      <c r="B1514" s="124"/>
      <c r="C1514" s="99"/>
      <c r="D1514" s="99"/>
      <c r="E1514" s="130"/>
      <c r="F1514" s="3"/>
      <c r="G1514" s="130"/>
      <c r="H1514" s="3"/>
    </row>
    <row r="1515" ht="14.25" customHeight="1">
      <c r="B1515" s="124"/>
      <c r="C1515" s="99"/>
      <c r="D1515" s="99"/>
      <c r="E1515" s="130"/>
      <c r="F1515" s="3"/>
      <c r="G1515" s="130"/>
      <c r="H1515" s="3"/>
    </row>
    <row r="1516" ht="14.25" customHeight="1">
      <c r="B1516" s="124"/>
      <c r="C1516" s="99"/>
      <c r="D1516" s="99"/>
      <c r="E1516" s="130"/>
      <c r="F1516" s="3"/>
      <c r="G1516" s="130"/>
      <c r="H1516" s="3"/>
    </row>
    <row r="1517" ht="14.25" customHeight="1">
      <c r="B1517" s="124"/>
      <c r="C1517" s="99"/>
      <c r="D1517" s="99"/>
      <c r="E1517" s="130"/>
      <c r="F1517" s="3"/>
      <c r="G1517" s="130"/>
      <c r="H1517" s="3"/>
    </row>
    <row r="1518" ht="14.25" customHeight="1">
      <c r="B1518" s="124"/>
      <c r="C1518" s="99"/>
      <c r="D1518" s="99"/>
      <c r="E1518" s="130"/>
      <c r="F1518" s="3"/>
      <c r="G1518" s="130"/>
      <c r="H1518" s="3"/>
    </row>
    <row r="1519" ht="14.25" customHeight="1">
      <c r="B1519" s="124"/>
      <c r="C1519" s="99"/>
      <c r="D1519" s="99"/>
      <c r="E1519" s="130"/>
      <c r="F1519" s="3"/>
      <c r="G1519" s="130"/>
      <c r="H1519" s="3"/>
    </row>
    <row r="1520" ht="14.25" customHeight="1">
      <c r="B1520" s="124"/>
      <c r="C1520" s="99"/>
      <c r="D1520" s="99"/>
      <c r="E1520" s="130"/>
      <c r="F1520" s="3"/>
      <c r="G1520" s="130"/>
      <c r="H1520" s="3"/>
    </row>
    <row r="1521" ht="14.25" customHeight="1">
      <c r="B1521" s="124"/>
      <c r="C1521" s="99"/>
      <c r="D1521" s="99"/>
      <c r="E1521" s="130"/>
      <c r="F1521" s="3"/>
      <c r="G1521" s="130"/>
      <c r="H1521" s="3"/>
    </row>
    <row r="1522" ht="14.25" customHeight="1">
      <c r="B1522" s="124"/>
      <c r="C1522" s="99"/>
      <c r="D1522" s="99"/>
      <c r="E1522" s="130"/>
      <c r="F1522" s="3"/>
      <c r="G1522" s="130"/>
      <c r="H1522" s="3"/>
    </row>
    <row r="1523" ht="14.25" customHeight="1">
      <c r="B1523" s="124"/>
      <c r="C1523" s="99"/>
      <c r="D1523" s="99"/>
      <c r="E1523" s="130"/>
      <c r="F1523" s="3"/>
      <c r="G1523" s="130"/>
      <c r="H1523" s="3"/>
    </row>
    <row r="1524" ht="14.25" customHeight="1">
      <c r="B1524" s="124"/>
      <c r="C1524" s="99"/>
      <c r="D1524" s="99"/>
      <c r="E1524" s="130"/>
      <c r="F1524" s="3"/>
      <c r="G1524" s="130"/>
      <c r="H1524" s="3"/>
    </row>
    <row r="1525" ht="14.25" customHeight="1">
      <c r="B1525" s="124"/>
      <c r="C1525" s="99"/>
      <c r="D1525" s="99"/>
      <c r="E1525" s="130"/>
      <c r="F1525" s="3"/>
      <c r="G1525" s="130"/>
      <c r="H1525" s="3"/>
    </row>
    <row r="1526" ht="14.25" customHeight="1">
      <c r="B1526" s="124"/>
      <c r="C1526" s="99"/>
      <c r="D1526" s="99"/>
      <c r="E1526" s="130"/>
      <c r="F1526" s="3"/>
      <c r="G1526" s="130"/>
      <c r="H1526" s="3"/>
    </row>
    <row r="1527" ht="14.25" customHeight="1">
      <c r="B1527" s="124"/>
      <c r="C1527" s="99"/>
      <c r="D1527" s="99"/>
      <c r="E1527" s="130"/>
      <c r="F1527" s="3"/>
      <c r="G1527" s="130"/>
      <c r="H1527" s="3"/>
    </row>
    <row r="1528" ht="14.25" customHeight="1">
      <c r="B1528" s="124"/>
      <c r="C1528" s="99"/>
      <c r="D1528" s="99"/>
      <c r="E1528" s="130"/>
      <c r="F1528" s="3"/>
      <c r="G1528" s="130"/>
      <c r="H1528" s="3"/>
    </row>
    <row r="1529" ht="14.25" customHeight="1">
      <c r="B1529" s="124"/>
      <c r="C1529" s="99"/>
      <c r="D1529" s="99"/>
      <c r="E1529" s="130"/>
      <c r="F1529" s="3"/>
      <c r="G1529" s="130"/>
      <c r="H1529" s="3"/>
    </row>
    <row r="1530" ht="14.25" customHeight="1">
      <c r="B1530" s="124"/>
      <c r="C1530" s="99"/>
      <c r="D1530" s="99"/>
      <c r="E1530" s="130"/>
      <c r="F1530" s="3"/>
      <c r="G1530" s="130"/>
      <c r="H1530" s="3"/>
    </row>
    <row r="1531" ht="14.25" customHeight="1">
      <c r="B1531" s="124"/>
      <c r="C1531" s="99"/>
      <c r="D1531" s="99"/>
      <c r="E1531" s="130"/>
      <c r="F1531" s="3"/>
      <c r="G1531" s="130"/>
      <c r="H1531" s="3"/>
    </row>
    <row r="1532" ht="14.25" customHeight="1">
      <c r="B1532" s="124"/>
      <c r="C1532" s="99"/>
      <c r="D1532" s="99"/>
      <c r="E1532" s="130"/>
      <c r="F1532" s="3"/>
      <c r="G1532" s="130"/>
      <c r="H1532" s="3"/>
    </row>
    <row r="1533" ht="14.25" customHeight="1">
      <c r="B1533" s="124"/>
      <c r="C1533" s="99"/>
      <c r="D1533" s="99"/>
      <c r="E1533" s="130"/>
      <c r="F1533" s="3"/>
      <c r="G1533" s="130"/>
      <c r="H1533" s="3"/>
    </row>
    <row r="1534" ht="14.25" customHeight="1">
      <c r="B1534" s="124"/>
      <c r="C1534" s="99"/>
      <c r="D1534" s="99"/>
      <c r="E1534" s="130"/>
      <c r="F1534" s="3"/>
      <c r="G1534" s="130"/>
      <c r="H1534" s="3"/>
    </row>
    <row r="1535" ht="14.25" customHeight="1">
      <c r="B1535" s="124"/>
      <c r="C1535" s="99"/>
      <c r="D1535" s="99"/>
      <c r="E1535" s="130"/>
      <c r="F1535" s="3"/>
      <c r="G1535" s="130"/>
      <c r="H1535" s="3"/>
    </row>
    <row r="1536" ht="14.25" customHeight="1">
      <c r="B1536" s="124"/>
      <c r="C1536" s="99"/>
      <c r="D1536" s="99"/>
      <c r="E1536" s="130"/>
      <c r="F1536" s="3"/>
      <c r="G1536" s="130"/>
      <c r="H1536" s="3"/>
    </row>
    <row r="1537" ht="14.25" customHeight="1">
      <c r="B1537" s="124"/>
      <c r="C1537" s="99"/>
      <c r="D1537" s="99"/>
      <c r="E1537" s="130"/>
      <c r="F1537" s="3"/>
      <c r="G1537" s="130"/>
      <c r="H1537" s="3"/>
    </row>
    <row r="1538" ht="14.25" customHeight="1">
      <c r="B1538" s="124"/>
      <c r="C1538" s="99"/>
      <c r="D1538" s="99"/>
      <c r="E1538" s="130"/>
      <c r="F1538" s="3"/>
      <c r="G1538" s="130"/>
      <c r="H1538" s="3"/>
    </row>
    <row r="1539" ht="14.25" customHeight="1">
      <c r="B1539" s="124"/>
      <c r="C1539" s="99"/>
      <c r="D1539" s="99"/>
      <c r="E1539" s="130"/>
      <c r="F1539" s="3"/>
      <c r="G1539" s="130"/>
      <c r="H1539" s="3"/>
    </row>
    <row r="1540" ht="14.25" customHeight="1">
      <c r="B1540" s="124"/>
      <c r="C1540" s="99"/>
      <c r="D1540" s="99"/>
      <c r="E1540" s="130"/>
      <c r="F1540" s="3"/>
      <c r="G1540" s="130"/>
      <c r="H1540" s="3"/>
    </row>
    <row r="1541" ht="14.25" customHeight="1">
      <c r="B1541" s="124"/>
      <c r="C1541" s="99"/>
      <c r="D1541" s="99"/>
      <c r="E1541" s="130"/>
      <c r="F1541" s="3"/>
      <c r="G1541" s="130"/>
      <c r="H1541" s="3"/>
    </row>
    <row r="1542" ht="14.25" customHeight="1">
      <c r="B1542" s="124"/>
      <c r="C1542" s="99"/>
      <c r="D1542" s="99"/>
      <c r="E1542" s="130"/>
      <c r="F1542" s="3"/>
      <c r="G1542" s="130"/>
      <c r="H1542" s="3"/>
    </row>
    <row r="1543" ht="14.25" customHeight="1">
      <c r="B1543" s="124"/>
      <c r="C1543" s="99"/>
      <c r="D1543" s="99"/>
      <c r="E1543" s="130"/>
      <c r="F1543" s="3"/>
      <c r="G1543" s="130"/>
      <c r="H1543" s="3"/>
    </row>
    <row r="1544" ht="14.25" customHeight="1">
      <c r="B1544" s="124"/>
      <c r="C1544" s="99"/>
      <c r="D1544" s="99"/>
      <c r="E1544" s="130"/>
      <c r="F1544" s="3"/>
      <c r="G1544" s="130"/>
      <c r="H1544" s="3"/>
    </row>
    <row r="1545" ht="14.25" customHeight="1">
      <c r="B1545" s="124"/>
      <c r="C1545" s="99"/>
      <c r="D1545" s="99"/>
      <c r="E1545" s="130"/>
      <c r="F1545" s="3"/>
      <c r="G1545" s="130"/>
      <c r="H1545" s="3"/>
    </row>
    <row r="1546" ht="14.25" customHeight="1">
      <c r="B1546" s="124"/>
      <c r="C1546" s="99"/>
      <c r="D1546" s="99"/>
      <c r="E1546" s="130"/>
      <c r="F1546" s="3"/>
      <c r="G1546" s="130"/>
      <c r="H1546" s="3"/>
    </row>
    <row r="1547" ht="14.25" customHeight="1">
      <c r="B1547" s="124"/>
      <c r="C1547" s="99"/>
      <c r="D1547" s="99"/>
      <c r="E1547" s="130"/>
      <c r="F1547" s="3"/>
      <c r="G1547" s="130"/>
      <c r="H1547" s="3"/>
    </row>
    <row r="1548" ht="14.25" customHeight="1">
      <c r="B1548" s="124"/>
      <c r="C1548" s="99"/>
      <c r="D1548" s="99"/>
      <c r="E1548" s="130"/>
      <c r="F1548" s="3"/>
      <c r="G1548" s="130"/>
      <c r="H1548" s="3"/>
    </row>
    <row r="1549" ht="14.25" customHeight="1">
      <c r="B1549" s="124"/>
      <c r="C1549" s="99"/>
      <c r="D1549" s="99"/>
      <c r="E1549" s="130"/>
      <c r="F1549" s="3"/>
      <c r="G1549" s="130"/>
      <c r="H1549" s="3"/>
    </row>
    <row r="1550" ht="14.25" customHeight="1">
      <c r="B1550" s="124"/>
      <c r="C1550" s="99"/>
      <c r="D1550" s="99"/>
      <c r="E1550" s="130"/>
      <c r="F1550" s="3"/>
      <c r="G1550" s="130"/>
      <c r="H1550" s="3"/>
    </row>
    <row r="1551" ht="14.25" customHeight="1">
      <c r="B1551" s="124"/>
      <c r="C1551" s="99"/>
      <c r="D1551" s="99"/>
      <c r="E1551" s="130"/>
      <c r="F1551" s="3"/>
      <c r="G1551" s="130"/>
      <c r="H1551" s="3"/>
    </row>
    <row r="1552" ht="14.25" customHeight="1">
      <c r="B1552" s="124"/>
      <c r="C1552" s="99"/>
      <c r="D1552" s="99"/>
      <c r="E1552" s="130"/>
      <c r="F1552" s="3"/>
      <c r="G1552" s="130"/>
      <c r="H1552" s="3"/>
    </row>
    <row r="1553" ht="14.25" customHeight="1">
      <c r="B1553" s="124"/>
      <c r="C1553" s="99"/>
      <c r="D1553" s="99"/>
      <c r="E1553" s="130"/>
      <c r="F1553" s="3"/>
      <c r="G1553" s="130"/>
      <c r="H1553" s="3"/>
    </row>
    <row r="1554" ht="14.25" customHeight="1">
      <c r="B1554" s="124"/>
      <c r="C1554" s="99"/>
      <c r="D1554" s="99"/>
      <c r="E1554" s="130"/>
      <c r="F1554" s="3"/>
      <c r="G1554" s="130"/>
      <c r="H1554" s="3"/>
    </row>
    <row r="1555" ht="14.25" customHeight="1">
      <c r="B1555" s="124"/>
      <c r="C1555" s="99"/>
      <c r="D1555" s="99"/>
      <c r="E1555" s="130"/>
      <c r="F1555" s="3"/>
      <c r="G1555" s="130"/>
      <c r="H1555" s="3"/>
    </row>
    <row r="1556" ht="14.25" customHeight="1">
      <c r="B1556" s="124"/>
      <c r="C1556" s="99"/>
      <c r="D1556" s="99"/>
      <c r="E1556" s="130"/>
      <c r="F1556" s="3"/>
      <c r="G1556" s="130"/>
      <c r="H1556" s="3"/>
    </row>
    <row r="1557" ht="14.25" customHeight="1">
      <c r="B1557" s="124"/>
      <c r="C1557" s="99"/>
      <c r="D1557" s="99"/>
      <c r="E1557" s="130"/>
      <c r="F1557" s="3"/>
      <c r="G1557" s="130"/>
      <c r="H1557" s="3"/>
    </row>
    <row r="1558" ht="14.25" customHeight="1">
      <c r="B1558" s="124"/>
      <c r="C1558" s="99"/>
      <c r="D1558" s="99"/>
      <c r="E1558" s="130"/>
      <c r="F1558" s="3"/>
      <c r="G1558" s="130"/>
      <c r="H1558" s="3"/>
    </row>
    <row r="1559" ht="14.25" customHeight="1">
      <c r="B1559" s="124"/>
      <c r="C1559" s="99"/>
      <c r="D1559" s="99"/>
      <c r="E1559" s="130"/>
      <c r="F1559" s="3"/>
      <c r="G1559" s="130"/>
      <c r="H1559" s="3"/>
    </row>
    <row r="1560" ht="14.25" customHeight="1">
      <c r="B1560" s="124"/>
      <c r="C1560" s="99"/>
      <c r="D1560" s="99"/>
      <c r="E1560" s="130"/>
      <c r="F1560" s="3"/>
      <c r="G1560" s="130"/>
      <c r="H1560" s="3"/>
    </row>
    <row r="1561" ht="14.25" customHeight="1">
      <c r="B1561" s="124"/>
      <c r="C1561" s="99"/>
      <c r="D1561" s="99"/>
      <c r="E1561" s="130"/>
      <c r="F1561" s="3"/>
      <c r="G1561" s="130"/>
      <c r="H1561" s="3"/>
    </row>
    <row r="1562" ht="14.25" customHeight="1">
      <c r="B1562" s="124"/>
      <c r="C1562" s="99"/>
      <c r="D1562" s="99"/>
      <c r="E1562" s="130"/>
      <c r="F1562" s="3"/>
      <c r="G1562" s="130"/>
      <c r="H1562" s="3"/>
    </row>
    <row r="1563" ht="14.25" customHeight="1">
      <c r="B1563" s="124"/>
      <c r="C1563" s="99"/>
      <c r="D1563" s="99"/>
      <c r="E1563" s="130"/>
      <c r="F1563" s="3"/>
      <c r="G1563" s="130"/>
      <c r="H1563" s="3"/>
    </row>
    <row r="1564" ht="14.25" customHeight="1">
      <c r="B1564" s="124"/>
      <c r="C1564" s="99"/>
      <c r="D1564" s="99"/>
      <c r="E1564" s="130"/>
      <c r="F1564" s="3"/>
      <c r="G1564" s="130"/>
      <c r="H1564" s="3"/>
    </row>
    <row r="1565" ht="14.25" customHeight="1">
      <c r="B1565" s="124"/>
      <c r="C1565" s="99"/>
      <c r="D1565" s="99"/>
      <c r="E1565" s="130"/>
      <c r="F1565" s="3"/>
      <c r="G1565" s="130"/>
      <c r="H1565" s="3"/>
    </row>
    <row r="1566" ht="14.25" customHeight="1">
      <c r="B1566" s="124"/>
      <c r="C1566" s="99"/>
      <c r="D1566" s="99"/>
      <c r="E1566" s="130"/>
      <c r="F1566" s="3"/>
      <c r="G1566" s="130"/>
      <c r="H1566" s="3"/>
    </row>
    <row r="1567" ht="14.25" customHeight="1">
      <c r="B1567" s="124"/>
      <c r="C1567" s="99"/>
      <c r="D1567" s="99"/>
      <c r="E1567" s="130"/>
      <c r="F1567" s="3"/>
      <c r="G1567" s="130"/>
      <c r="H1567" s="3"/>
    </row>
    <row r="1568" ht="14.25" customHeight="1">
      <c r="B1568" s="124"/>
      <c r="C1568" s="99"/>
      <c r="D1568" s="99"/>
      <c r="E1568" s="130"/>
      <c r="F1568" s="3"/>
      <c r="G1568" s="130"/>
      <c r="H1568" s="3"/>
    </row>
    <row r="1569" ht="14.25" customHeight="1">
      <c r="B1569" s="124"/>
      <c r="C1569" s="99"/>
      <c r="D1569" s="99"/>
      <c r="E1569" s="130"/>
      <c r="F1569" s="3"/>
      <c r="G1569" s="130"/>
      <c r="H1569" s="3"/>
    </row>
    <row r="1570" ht="14.25" customHeight="1">
      <c r="B1570" s="124"/>
      <c r="C1570" s="99"/>
      <c r="D1570" s="99"/>
      <c r="E1570" s="130"/>
      <c r="F1570" s="3"/>
      <c r="G1570" s="130"/>
      <c r="H1570" s="3"/>
    </row>
    <row r="1571" ht="14.25" customHeight="1">
      <c r="B1571" s="124"/>
      <c r="C1571" s="99"/>
      <c r="D1571" s="99"/>
      <c r="E1571" s="130"/>
      <c r="F1571" s="3"/>
      <c r="G1571" s="130"/>
      <c r="H1571" s="3"/>
    </row>
    <row r="1572" ht="14.25" customHeight="1">
      <c r="B1572" s="124"/>
      <c r="C1572" s="99"/>
      <c r="D1572" s="99"/>
      <c r="E1572" s="130"/>
      <c r="F1572" s="3"/>
      <c r="G1572" s="130"/>
      <c r="H1572" s="3"/>
    </row>
    <row r="1573" ht="14.25" customHeight="1">
      <c r="B1573" s="124"/>
      <c r="C1573" s="99"/>
      <c r="D1573" s="99"/>
      <c r="E1573" s="130"/>
      <c r="F1573" s="3"/>
      <c r="G1573" s="130"/>
      <c r="H1573" s="3"/>
    </row>
    <row r="1574" ht="14.25" customHeight="1">
      <c r="B1574" s="124"/>
      <c r="C1574" s="99"/>
      <c r="D1574" s="99"/>
      <c r="E1574" s="130"/>
      <c r="F1574" s="3"/>
      <c r="G1574" s="130"/>
      <c r="H1574" s="3"/>
    </row>
    <row r="1575" ht="14.25" customHeight="1">
      <c r="B1575" s="124"/>
      <c r="C1575" s="99"/>
      <c r="D1575" s="99"/>
      <c r="E1575" s="130"/>
      <c r="F1575" s="3"/>
      <c r="G1575" s="130"/>
      <c r="H1575" s="3"/>
    </row>
    <row r="1576" ht="14.25" customHeight="1">
      <c r="B1576" s="124"/>
      <c r="C1576" s="99"/>
      <c r="D1576" s="99"/>
      <c r="E1576" s="130"/>
      <c r="F1576" s="3"/>
      <c r="G1576" s="130"/>
      <c r="H1576" s="3"/>
    </row>
    <row r="1577" ht="14.25" customHeight="1">
      <c r="B1577" s="124"/>
      <c r="C1577" s="99"/>
      <c r="D1577" s="99"/>
      <c r="E1577" s="130"/>
      <c r="F1577" s="3"/>
      <c r="G1577" s="130"/>
      <c r="H1577" s="3"/>
    </row>
    <row r="1578" ht="14.25" customHeight="1">
      <c r="B1578" s="124"/>
      <c r="C1578" s="99"/>
      <c r="D1578" s="99"/>
      <c r="E1578" s="130"/>
      <c r="F1578" s="3"/>
      <c r="G1578" s="130"/>
      <c r="H1578" s="3"/>
    </row>
    <row r="1579" ht="14.25" customHeight="1">
      <c r="B1579" s="124"/>
      <c r="C1579" s="99"/>
      <c r="D1579" s="99"/>
      <c r="E1579" s="130"/>
      <c r="F1579" s="3"/>
      <c r="G1579" s="130"/>
      <c r="H1579" s="3"/>
    </row>
    <row r="1580" ht="14.25" customHeight="1">
      <c r="B1580" s="124"/>
      <c r="C1580" s="99"/>
      <c r="D1580" s="99"/>
      <c r="E1580" s="130"/>
      <c r="F1580" s="3"/>
      <c r="G1580" s="130"/>
      <c r="H1580" s="3"/>
    </row>
    <row r="1581" ht="14.25" customHeight="1">
      <c r="B1581" s="124"/>
      <c r="C1581" s="99"/>
      <c r="D1581" s="99"/>
      <c r="E1581" s="130"/>
      <c r="F1581" s="3"/>
      <c r="G1581" s="130"/>
      <c r="H1581" s="3"/>
    </row>
    <row r="1582" ht="14.25" customHeight="1">
      <c r="B1582" s="124"/>
      <c r="C1582" s="99"/>
      <c r="D1582" s="99"/>
      <c r="E1582" s="130"/>
      <c r="F1582" s="3"/>
      <c r="G1582" s="130"/>
      <c r="H1582" s="3"/>
    </row>
    <row r="1583" ht="14.25" customHeight="1">
      <c r="B1583" s="124"/>
      <c r="C1583" s="99"/>
      <c r="D1583" s="99"/>
      <c r="E1583" s="130"/>
      <c r="F1583" s="3"/>
      <c r="G1583" s="130"/>
      <c r="H1583" s="3"/>
    </row>
    <row r="1584" ht="14.25" customHeight="1">
      <c r="B1584" s="124"/>
      <c r="C1584" s="99"/>
      <c r="D1584" s="99"/>
      <c r="E1584" s="130"/>
      <c r="F1584" s="3"/>
      <c r="G1584" s="130"/>
      <c r="H1584" s="3"/>
    </row>
    <row r="1585" ht="14.25" customHeight="1">
      <c r="B1585" s="124"/>
      <c r="C1585" s="99"/>
      <c r="D1585" s="99"/>
      <c r="E1585" s="130"/>
      <c r="F1585" s="3"/>
      <c r="G1585" s="130"/>
      <c r="H1585" s="3"/>
    </row>
    <row r="1586" ht="14.25" customHeight="1">
      <c r="B1586" s="124"/>
      <c r="C1586" s="99"/>
      <c r="D1586" s="99"/>
      <c r="E1586" s="130"/>
      <c r="F1586" s="3"/>
      <c r="G1586" s="130"/>
      <c r="H1586" s="3"/>
    </row>
    <row r="1587" ht="14.25" customHeight="1">
      <c r="B1587" s="124"/>
      <c r="C1587" s="99"/>
      <c r="D1587" s="99"/>
      <c r="E1587" s="130"/>
      <c r="F1587" s="3"/>
      <c r="G1587" s="130"/>
      <c r="H1587" s="3"/>
    </row>
    <row r="1588" ht="14.25" customHeight="1">
      <c r="B1588" s="124"/>
      <c r="C1588" s="99"/>
      <c r="D1588" s="99"/>
      <c r="E1588" s="130"/>
      <c r="F1588" s="3"/>
      <c r="G1588" s="130"/>
      <c r="H1588" s="3"/>
    </row>
    <row r="1589" ht="14.25" customHeight="1">
      <c r="B1589" s="124"/>
      <c r="C1589" s="99"/>
      <c r="D1589" s="99"/>
      <c r="E1589" s="130"/>
      <c r="F1589" s="3"/>
      <c r="G1589" s="130"/>
      <c r="H1589" s="3"/>
    </row>
    <row r="1590" ht="14.25" customHeight="1">
      <c r="B1590" s="124"/>
      <c r="C1590" s="99"/>
      <c r="D1590" s="99"/>
      <c r="E1590" s="130"/>
      <c r="F1590" s="3"/>
      <c r="G1590" s="130"/>
      <c r="H1590" s="3"/>
    </row>
    <row r="1591" ht="14.25" customHeight="1">
      <c r="B1591" s="124"/>
      <c r="C1591" s="99"/>
      <c r="D1591" s="99"/>
      <c r="E1591" s="130"/>
      <c r="F1591" s="3"/>
      <c r="G1591" s="130"/>
      <c r="H1591" s="3"/>
    </row>
    <row r="1592" ht="14.25" customHeight="1">
      <c r="B1592" s="124"/>
      <c r="C1592" s="99"/>
      <c r="D1592" s="99"/>
      <c r="E1592" s="130"/>
      <c r="F1592" s="3"/>
      <c r="G1592" s="130"/>
      <c r="H1592" s="3"/>
    </row>
    <row r="1593" ht="14.25" customHeight="1">
      <c r="B1593" s="124"/>
      <c r="C1593" s="99"/>
      <c r="D1593" s="99"/>
      <c r="E1593" s="130"/>
      <c r="F1593" s="3"/>
      <c r="G1593" s="130"/>
      <c r="H1593" s="3"/>
    </row>
    <row r="1594" ht="14.25" customHeight="1">
      <c r="B1594" s="124"/>
      <c r="C1594" s="99"/>
      <c r="D1594" s="99"/>
      <c r="E1594" s="130"/>
      <c r="F1594" s="3"/>
      <c r="G1594" s="130"/>
      <c r="H1594" s="3"/>
    </row>
    <row r="1595" ht="14.25" customHeight="1">
      <c r="B1595" s="124"/>
      <c r="C1595" s="99"/>
      <c r="D1595" s="99"/>
      <c r="E1595" s="130"/>
      <c r="F1595" s="3"/>
      <c r="G1595" s="130"/>
      <c r="H1595" s="3"/>
    </row>
    <row r="1596" ht="14.25" customHeight="1">
      <c r="B1596" s="124"/>
      <c r="C1596" s="99"/>
      <c r="D1596" s="99"/>
      <c r="E1596" s="130"/>
      <c r="F1596" s="3"/>
      <c r="G1596" s="130"/>
      <c r="H1596" s="3"/>
    </row>
    <row r="1597" ht="14.25" customHeight="1">
      <c r="B1597" s="124"/>
      <c r="C1597" s="99"/>
      <c r="D1597" s="99"/>
      <c r="E1597" s="130"/>
      <c r="F1597" s="3"/>
      <c r="G1597" s="130"/>
      <c r="H1597" s="3"/>
    </row>
    <row r="1598" ht="14.25" customHeight="1">
      <c r="B1598" s="124"/>
      <c r="C1598" s="99"/>
      <c r="D1598" s="99"/>
      <c r="E1598" s="130"/>
      <c r="F1598" s="3"/>
      <c r="G1598" s="130"/>
      <c r="H1598" s="3"/>
    </row>
    <row r="1599" ht="14.25" customHeight="1">
      <c r="B1599" s="124"/>
      <c r="C1599" s="99"/>
      <c r="D1599" s="99"/>
      <c r="E1599" s="130"/>
      <c r="F1599" s="3"/>
      <c r="G1599" s="130"/>
      <c r="H1599" s="3"/>
    </row>
    <row r="1600" ht="14.25" customHeight="1">
      <c r="B1600" s="124"/>
      <c r="C1600" s="99"/>
      <c r="D1600" s="99"/>
      <c r="E1600" s="130"/>
      <c r="F1600" s="3"/>
      <c r="G1600" s="130"/>
      <c r="H1600" s="3"/>
    </row>
    <row r="1601" ht="14.25" customHeight="1">
      <c r="B1601" s="124"/>
      <c r="C1601" s="99"/>
      <c r="D1601" s="99"/>
      <c r="E1601" s="130"/>
      <c r="F1601" s="3"/>
      <c r="G1601" s="130"/>
      <c r="H1601" s="3"/>
    </row>
    <row r="1602" ht="14.25" customHeight="1">
      <c r="B1602" s="124"/>
      <c r="C1602" s="99"/>
      <c r="D1602" s="99"/>
      <c r="E1602" s="130"/>
      <c r="F1602" s="3"/>
      <c r="G1602" s="130"/>
      <c r="H1602" s="3"/>
    </row>
    <row r="1603" ht="14.25" customHeight="1">
      <c r="B1603" s="124"/>
      <c r="C1603" s="99"/>
      <c r="D1603" s="99"/>
      <c r="E1603" s="130"/>
      <c r="F1603" s="3"/>
      <c r="G1603" s="130"/>
      <c r="H1603" s="3"/>
    </row>
    <row r="1604" ht="14.25" customHeight="1">
      <c r="B1604" s="124"/>
      <c r="C1604" s="99"/>
      <c r="D1604" s="99"/>
      <c r="E1604" s="130"/>
      <c r="F1604" s="3"/>
      <c r="G1604" s="130"/>
      <c r="H1604" s="3"/>
    </row>
    <row r="1605" ht="14.25" customHeight="1">
      <c r="B1605" s="124"/>
      <c r="C1605" s="99"/>
      <c r="D1605" s="99"/>
      <c r="E1605" s="130"/>
      <c r="F1605" s="3"/>
      <c r="G1605" s="130"/>
      <c r="H1605" s="3"/>
    </row>
    <row r="1606" ht="14.25" customHeight="1">
      <c r="B1606" s="124"/>
      <c r="C1606" s="99"/>
      <c r="D1606" s="99"/>
      <c r="E1606" s="130"/>
      <c r="F1606" s="3"/>
      <c r="G1606" s="130"/>
      <c r="H1606" s="3"/>
    </row>
    <row r="1607" ht="14.25" customHeight="1">
      <c r="B1607" s="124"/>
      <c r="C1607" s="99"/>
      <c r="D1607" s="99"/>
      <c r="E1607" s="130"/>
      <c r="F1607" s="3"/>
      <c r="G1607" s="130"/>
      <c r="H1607" s="3"/>
    </row>
    <row r="1608" ht="14.25" customHeight="1">
      <c r="B1608" s="124"/>
      <c r="C1608" s="99"/>
      <c r="D1608" s="99"/>
      <c r="E1608" s="130"/>
      <c r="F1608" s="3"/>
      <c r="G1608" s="130"/>
      <c r="H1608" s="3"/>
    </row>
    <row r="1609" ht="14.25" customHeight="1">
      <c r="B1609" s="124"/>
      <c r="C1609" s="99"/>
      <c r="D1609" s="99"/>
      <c r="E1609" s="130"/>
      <c r="F1609" s="3"/>
      <c r="G1609" s="130"/>
      <c r="H1609" s="3"/>
    </row>
    <row r="1610" ht="14.25" customHeight="1">
      <c r="B1610" s="124"/>
      <c r="C1610" s="99"/>
      <c r="D1610" s="99"/>
      <c r="E1610" s="130"/>
      <c r="F1610" s="3"/>
      <c r="G1610" s="130"/>
      <c r="H1610" s="3"/>
    </row>
    <row r="1611" ht="14.25" customHeight="1">
      <c r="B1611" s="124"/>
      <c r="C1611" s="99"/>
      <c r="D1611" s="99"/>
      <c r="E1611" s="130"/>
      <c r="F1611" s="3"/>
      <c r="G1611" s="130"/>
      <c r="H1611" s="3"/>
    </row>
    <row r="1612" ht="14.25" customHeight="1">
      <c r="B1612" s="124"/>
      <c r="C1612" s="99"/>
      <c r="D1612" s="99"/>
      <c r="E1612" s="130"/>
      <c r="F1612" s="3"/>
      <c r="G1612" s="130"/>
      <c r="H1612" s="3"/>
    </row>
    <row r="1613" ht="14.25" customHeight="1">
      <c r="B1613" s="124"/>
      <c r="C1613" s="99"/>
      <c r="D1613" s="99"/>
      <c r="E1613" s="130"/>
      <c r="F1613" s="3"/>
      <c r="G1613" s="130"/>
      <c r="H1613" s="3"/>
    </row>
    <row r="1614" ht="14.25" customHeight="1">
      <c r="B1614" s="124"/>
      <c r="C1614" s="99"/>
      <c r="D1614" s="99"/>
      <c r="E1614" s="130"/>
      <c r="F1614" s="3"/>
      <c r="G1614" s="130"/>
      <c r="H1614" s="3"/>
    </row>
    <row r="1615" ht="14.25" customHeight="1">
      <c r="B1615" s="124"/>
      <c r="C1615" s="99"/>
      <c r="D1615" s="99"/>
      <c r="E1615" s="130"/>
      <c r="F1615" s="3"/>
      <c r="G1615" s="130"/>
      <c r="H1615" s="3"/>
    </row>
    <row r="1616" ht="14.25" customHeight="1">
      <c r="B1616" s="124"/>
      <c r="C1616" s="99"/>
      <c r="D1616" s="99"/>
      <c r="E1616" s="130"/>
      <c r="F1616" s="3"/>
      <c r="G1616" s="130"/>
      <c r="H1616" s="3"/>
    </row>
    <row r="1617" ht="14.25" customHeight="1">
      <c r="B1617" s="124"/>
      <c r="C1617" s="99"/>
      <c r="D1617" s="99"/>
      <c r="E1617" s="130"/>
      <c r="F1617" s="3"/>
      <c r="G1617" s="130"/>
      <c r="H1617" s="3"/>
    </row>
    <row r="1618" ht="14.25" customHeight="1">
      <c r="B1618" s="124"/>
      <c r="C1618" s="99"/>
      <c r="D1618" s="99"/>
      <c r="E1618" s="130"/>
      <c r="F1618" s="3"/>
      <c r="G1618" s="130"/>
      <c r="H1618" s="3"/>
    </row>
    <row r="1619" ht="14.25" customHeight="1">
      <c r="B1619" s="124"/>
      <c r="C1619" s="99"/>
      <c r="D1619" s="99"/>
      <c r="E1619" s="130"/>
      <c r="F1619" s="3"/>
      <c r="G1619" s="130"/>
      <c r="H1619" s="3"/>
    </row>
    <row r="1620" ht="14.25" customHeight="1">
      <c r="B1620" s="124"/>
      <c r="C1620" s="99"/>
      <c r="D1620" s="99"/>
      <c r="E1620" s="130"/>
      <c r="F1620" s="3"/>
      <c r="G1620" s="130"/>
      <c r="H1620" s="3"/>
    </row>
    <row r="1621" ht="14.25" customHeight="1">
      <c r="B1621" s="124"/>
      <c r="C1621" s="99"/>
      <c r="D1621" s="99"/>
      <c r="E1621" s="130"/>
      <c r="F1621" s="3"/>
      <c r="G1621" s="130"/>
      <c r="H1621" s="3"/>
    </row>
    <row r="1622" ht="14.25" customHeight="1">
      <c r="B1622" s="124"/>
      <c r="C1622" s="99"/>
      <c r="D1622" s="99"/>
      <c r="E1622" s="130"/>
      <c r="F1622" s="3"/>
      <c r="G1622" s="130"/>
      <c r="H1622" s="3"/>
    </row>
    <row r="1623" ht="14.25" customHeight="1">
      <c r="B1623" s="124"/>
      <c r="C1623" s="99"/>
      <c r="D1623" s="99"/>
      <c r="E1623" s="130"/>
      <c r="F1623" s="3"/>
      <c r="G1623" s="130"/>
      <c r="H1623" s="3"/>
    </row>
    <row r="1624" ht="14.25" customHeight="1">
      <c r="B1624" s="124"/>
      <c r="C1624" s="99"/>
      <c r="D1624" s="99"/>
      <c r="E1624" s="130"/>
      <c r="F1624" s="3"/>
      <c r="G1624" s="130"/>
      <c r="H1624" s="3"/>
    </row>
    <row r="1625" ht="14.25" customHeight="1">
      <c r="B1625" s="124"/>
      <c r="C1625" s="99"/>
      <c r="D1625" s="99"/>
      <c r="E1625" s="130"/>
      <c r="F1625" s="3"/>
      <c r="G1625" s="130"/>
      <c r="H1625" s="3"/>
    </row>
    <row r="1626" ht="14.25" customHeight="1">
      <c r="B1626" s="124"/>
      <c r="C1626" s="99"/>
      <c r="D1626" s="99"/>
      <c r="E1626" s="130"/>
      <c r="F1626" s="3"/>
      <c r="G1626" s="130"/>
      <c r="H1626" s="3"/>
    </row>
    <row r="1627" ht="14.25" customHeight="1">
      <c r="B1627" s="124"/>
      <c r="C1627" s="99"/>
      <c r="D1627" s="99"/>
      <c r="E1627" s="130"/>
      <c r="F1627" s="3"/>
      <c r="G1627" s="130"/>
      <c r="H1627" s="3"/>
    </row>
    <row r="1628" ht="14.25" customHeight="1">
      <c r="B1628" s="124"/>
      <c r="C1628" s="99"/>
      <c r="D1628" s="99"/>
      <c r="E1628" s="130"/>
      <c r="F1628" s="3"/>
      <c r="G1628" s="130"/>
      <c r="H1628" s="3"/>
    </row>
    <row r="1629" ht="14.25" customHeight="1">
      <c r="B1629" s="124"/>
      <c r="C1629" s="99"/>
      <c r="D1629" s="99"/>
      <c r="E1629" s="130"/>
      <c r="F1629" s="3"/>
      <c r="G1629" s="130"/>
      <c r="H1629" s="3"/>
    </row>
    <row r="1630" ht="14.25" customHeight="1">
      <c r="B1630" s="124"/>
      <c r="C1630" s="99"/>
      <c r="D1630" s="99"/>
      <c r="E1630" s="130"/>
      <c r="F1630" s="3"/>
      <c r="G1630" s="130"/>
      <c r="H1630" s="3"/>
    </row>
    <row r="1631" ht="14.25" customHeight="1">
      <c r="B1631" s="124"/>
      <c r="C1631" s="99"/>
      <c r="D1631" s="99"/>
      <c r="E1631" s="130"/>
      <c r="F1631" s="3"/>
      <c r="G1631" s="130"/>
      <c r="H1631" s="3"/>
    </row>
    <row r="1632" ht="14.25" customHeight="1">
      <c r="B1632" s="124"/>
      <c r="C1632" s="99"/>
      <c r="D1632" s="99"/>
      <c r="E1632" s="130"/>
      <c r="F1632" s="3"/>
      <c r="G1632" s="130"/>
      <c r="H1632" s="3"/>
    </row>
    <row r="1633" ht="14.25" customHeight="1">
      <c r="B1633" s="124"/>
      <c r="C1633" s="99"/>
      <c r="D1633" s="99"/>
      <c r="E1633" s="130"/>
      <c r="F1633" s="3"/>
      <c r="G1633" s="130"/>
      <c r="H1633" s="3"/>
    </row>
    <row r="1634" ht="14.25" customHeight="1">
      <c r="B1634" s="124"/>
      <c r="C1634" s="99"/>
      <c r="D1634" s="99"/>
      <c r="E1634" s="130"/>
      <c r="F1634" s="3"/>
      <c r="G1634" s="130"/>
      <c r="H1634" s="3"/>
    </row>
    <row r="1635" ht="14.25" customHeight="1">
      <c r="B1635" s="124"/>
      <c r="C1635" s="99"/>
      <c r="D1635" s="99"/>
      <c r="E1635" s="130"/>
      <c r="F1635" s="3"/>
      <c r="G1635" s="130"/>
      <c r="H1635" s="3"/>
    </row>
    <row r="1636" ht="14.25" customHeight="1">
      <c r="B1636" s="124"/>
      <c r="C1636" s="99"/>
      <c r="D1636" s="99"/>
      <c r="E1636" s="130"/>
      <c r="F1636" s="3"/>
      <c r="G1636" s="130"/>
      <c r="H1636" s="3"/>
    </row>
    <row r="1637" ht="14.25" customHeight="1">
      <c r="B1637" s="124"/>
      <c r="C1637" s="99"/>
      <c r="D1637" s="99"/>
      <c r="E1637" s="130"/>
      <c r="F1637" s="3"/>
      <c r="G1637" s="130"/>
      <c r="H1637" s="3"/>
    </row>
    <row r="1638" ht="14.25" customHeight="1">
      <c r="B1638" s="124"/>
      <c r="C1638" s="99"/>
      <c r="D1638" s="99"/>
      <c r="E1638" s="130"/>
      <c r="F1638" s="3"/>
      <c r="G1638" s="130"/>
      <c r="H1638" s="3"/>
    </row>
    <row r="1639" ht="14.25" customHeight="1">
      <c r="B1639" s="124"/>
      <c r="C1639" s="99"/>
      <c r="D1639" s="99"/>
      <c r="E1639" s="130"/>
      <c r="F1639" s="3"/>
      <c r="G1639" s="130"/>
      <c r="H1639" s="3"/>
    </row>
    <row r="1640" ht="14.25" customHeight="1">
      <c r="B1640" s="124"/>
      <c r="C1640" s="99"/>
      <c r="D1640" s="99"/>
      <c r="E1640" s="130"/>
      <c r="F1640" s="3"/>
      <c r="G1640" s="130"/>
      <c r="H1640" s="3"/>
    </row>
    <row r="1641" ht="14.25" customHeight="1">
      <c r="B1641" s="124"/>
      <c r="C1641" s="99"/>
      <c r="D1641" s="99"/>
      <c r="E1641" s="130"/>
      <c r="F1641" s="3"/>
      <c r="G1641" s="130"/>
      <c r="H1641" s="3"/>
    </row>
    <row r="1642" ht="14.25" customHeight="1">
      <c r="B1642" s="124"/>
      <c r="C1642" s="99"/>
      <c r="D1642" s="99"/>
      <c r="E1642" s="130"/>
      <c r="F1642" s="3"/>
      <c r="G1642" s="130"/>
      <c r="H1642" s="3"/>
    </row>
    <row r="1643" ht="14.25" customHeight="1">
      <c r="B1643" s="124"/>
      <c r="C1643" s="99"/>
      <c r="D1643" s="99"/>
      <c r="E1643" s="130"/>
      <c r="F1643" s="3"/>
      <c r="G1643" s="130"/>
      <c r="H1643" s="3"/>
    </row>
    <row r="1644" ht="14.25" customHeight="1">
      <c r="B1644" s="124"/>
      <c r="C1644" s="99"/>
      <c r="D1644" s="99"/>
      <c r="E1644" s="130"/>
      <c r="F1644" s="3"/>
      <c r="G1644" s="130"/>
      <c r="H1644" s="3"/>
    </row>
    <row r="1645" ht="14.25" customHeight="1">
      <c r="B1645" s="124"/>
      <c r="C1645" s="99"/>
      <c r="D1645" s="99"/>
      <c r="E1645" s="130"/>
      <c r="F1645" s="3"/>
      <c r="G1645" s="130"/>
      <c r="H1645" s="3"/>
    </row>
    <row r="1646" ht="14.25" customHeight="1">
      <c r="B1646" s="124"/>
      <c r="C1646" s="99"/>
      <c r="D1646" s="99"/>
      <c r="E1646" s="130"/>
      <c r="F1646" s="3"/>
      <c r="G1646" s="130"/>
      <c r="H1646" s="3"/>
    </row>
    <row r="1647" ht="14.25" customHeight="1">
      <c r="B1647" s="124"/>
      <c r="C1647" s="99"/>
      <c r="D1647" s="99"/>
      <c r="E1647" s="130"/>
      <c r="F1647" s="3"/>
      <c r="G1647" s="130"/>
      <c r="H1647" s="3"/>
    </row>
    <row r="1648" ht="14.25" customHeight="1">
      <c r="B1648" s="124"/>
      <c r="C1648" s="99"/>
      <c r="D1648" s="99"/>
      <c r="E1648" s="130"/>
      <c r="F1648" s="3"/>
      <c r="G1648" s="130"/>
      <c r="H1648" s="3"/>
    </row>
    <row r="1649" ht="14.25" customHeight="1">
      <c r="B1649" s="124"/>
      <c r="C1649" s="99"/>
      <c r="D1649" s="99"/>
      <c r="E1649" s="130"/>
      <c r="F1649" s="3"/>
      <c r="G1649" s="130"/>
      <c r="H1649" s="3"/>
    </row>
    <row r="1650" ht="14.25" customHeight="1">
      <c r="B1650" s="124"/>
      <c r="C1650" s="99"/>
      <c r="D1650" s="99"/>
      <c r="E1650" s="130"/>
      <c r="F1650" s="3"/>
      <c r="G1650" s="130"/>
      <c r="H1650" s="3"/>
    </row>
    <row r="1651" ht="14.25" customHeight="1">
      <c r="B1651" s="124"/>
      <c r="C1651" s="99"/>
      <c r="D1651" s="99"/>
      <c r="E1651" s="130"/>
      <c r="F1651" s="3"/>
      <c r="G1651" s="130"/>
      <c r="H1651" s="3"/>
    </row>
    <row r="1652" ht="14.25" customHeight="1">
      <c r="B1652" s="124"/>
      <c r="C1652" s="99"/>
      <c r="D1652" s="99"/>
      <c r="E1652" s="130"/>
      <c r="F1652" s="3"/>
      <c r="G1652" s="130"/>
      <c r="H1652" s="3"/>
    </row>
    <row r="1653" ht="14.25" customHeight="1">
      <c r="B1653" s="124"/>
      <c r="C1653" s="99"/>
      <c r="D1653" s="99"/>
      <c r="E1653" s="130"/>
      <c r="F1653" s="3"/>
      <c r="G1653" s="130"/>
      <c r="H1653" s="3"/>
    </row>
    <row r="1654" ht="14.25" customHeight="1">
      <c r="B1654" s="124"/>
      <c r="C1654" s="99"/>
      <c r="D1654" s="99"/>
      <c r="E1654" s="130"/>
      <c r="F1654" s="3"/>
      <c r="G1654" s="130"/>
      <c r="H1654" s="3"/>
    </row>
    <row r="1655" ht="14.25" customHeight="1">
      <c r="B1655" s="124"/>
      <c r="C1655" s="99"/>
      <c r="D1655" s="99"/>
      <c r="E1655" s="130"/>
      <c r="F1655" s="3"/>
      <c r="G1655" s="130"/>
      <c r="H1655" s="3"/>
    </row>
    <row r="1656" ht="14.25" customHeight="1">
      <c r="B1656" s="124"/>
      <c r="C1656" s="99"/>
      <c r="D1656" s="99"/>
      <c r="E1656" s="130"/>
      <c r="F1656" s="3"/>
      <c r="G1656" s="130"/>
      <c r="H1656" s="3"/>
    </row>
    <row r="1657" ht="14.25" customHeight="1">
      <c r="B1657" s="124"/>
      <c r="C1657" s="99"/>
      <c r="D1657" s="99"/>
      <c r="E1657" s="130"/>
      <c r="F1657" s="3"/>
      <c r="G1657" s="130"/>
      <c r="H1657" s="3"/>
    </row>
    <row r="1658" ht="14.25" customHeight="1">
      <c r="B1658" s="124"/>
      <c r="C1658" s="99"/>
      <c r="D1658" s="99"/>
      <c r="E1658" s="130"/>
      <c r="F1658" s="3"/>
      <c r="G1658" s="130"/>
      <c r="H1658" s="3"/>
    </row>
    <row r="1659" ht="14.25" customHeight="1">
      <c r="B1659" s="124"/>
      <c r="C1659" s="99"/>
      <c r="D1659" s="99"/>
      <c r="E1659" s="130"/>
      <c r="F1659" s="3"/>
      <c r="G1659" s="130"/>
      <c r="H1659" s="3"/>
    </row>
    <row r="1660" ht="14.25" customHeight="1">
      <c r="B1660" s="124"/>
      <c r="C1660" s="99"/>
      <c r="D1660" s="99"/>
      <c r="E1660" s="130"/>
      <c r="F1660" s="3"/>
      <c r="G1660" s="130"/>
      <c r="H1660" s="3"/>
    </row>
    <row r="1661" ht="14.25" customHeight="1">
      <c r="B1661" s="124"/>
      <c r="C1661" s="99"/>
      <c r="D1661" s="99"/>
      <c r="E1661" s="130"/>
      <c r="F1661" s="3"/>
      <c r="G1661" s="130"/>
      <c r="H1661" s="3"/>
    </row>
    <row r="1662" ht="14.25" customHeight="1">
      <c r="B1662" s="124"/>
      <c r="C1662" s="99"/>
      <c r="D1662" s="99"/>
      <c r="E1662" s="130"/>
      <c r="F1662" s="3"/>
      <c r="G1662" s="130"/>
      <c r="H1662" s="3"/>
    </row>
    <row r="1663" ht="14.25" customHeight="1">
      <c r="B1663" s="124"/>
      <c r="C1663" s="99"/>
      <c r="D1663" s="99"/>
      <c r="E1663" s="130"/>
      <c r="F1663" s="3"/>
      <c r="G1663" s="130"/>
      <c r="H1663" s="3"/>
    </row>
    <row r="1664" ht="14.25" customHeight="1">
      <c r="B1664" s="124"/>
      <c r="C1664" s="99"/>
      <c r="D1664" s="99"/>
      <c r="E1664" s="130"/>
      <c r="F1664" s="3"/>
      <c r="G1664" s="130"/>
      <c r="H1664" s="3"/>
    </row>
    <row r="1665" ht="14.25" customHeight="1">
      <c r="B1665" s="124"/>
      <c r="C1665" s="99"/>
      <c r="D1665" s="99"/>
      <c r="E1665" s="130"/>
      <c r="F1665" s="3"/>
      <c r="G1665" s="130"/>
      <c r="H1665" s="3"/>
    </row>
    <row r="1666" ht="14.25" customHeight="1">
      <c r="B1666" s="124"/>
      <c r="C1666" s="99"/>
      <c r="D1666" s="99"/>
      <c r="E1666" s="130"/>
      <c r="F1666" s="3"/>
      <c r="G1666" s="130"/>
      <c r="H1666" s="3"/>
    </row>
    <row r="1667" ht="14.25" customHeight="1">
      <c r="B1667" s="124"/>
      <c r="C1667" s="99"/>
      <c r="D1667" s="99"/>
      <c r="E1667" s="130"/>
      <c r="F1667" s="3"/>
      <c r="G1667" s="130"/>
      <c r="H1667" s="3"/>
    </row>
    <row r="1668" ht="14.25" customHeight="1">
      <c r="B1668" s="124"/>
      <c r="C1668" s="99"/>
      <c r="D1668" s="99"/>
      <c r="E1668" s="130"/>
      <c r="F1668" s="3"/>
      <c r="G1668" s="130"/>
      <c r="H1668" s="3"/>
    </row>
    <row r="1669" ht="14.25" customHeight="1">
      <c r="B1669" s="124"/>
      <c r="C1669" s="99"/>
      <c r="D1669" s="99"/>
      <c r="E1669" s="130"/>
      <c r="F1669" s="3"/>
      <c r="G1669" s="130"/>
      <c r="H1669" s="3"/>
    </row>
    <row r="1670" ht="14.25" customHeight="1">
      <c r="B1670" s="124"/>
      <c r="C1670" s="99"/>
      <c r="D1670" s="99"/>
      <c r="E1670" s="130"/>
      <c r="F1670" s="3"/>
      <c r="G1670" s="130"/>
      <c r="H1670" s="3"/>
    </row>
    <row r="1671" ht="14.25" customHeight="1">
      <c r="B1671" s="124"/>
      <c r="C1671" s="99"/>
      <c r="D1671" s="99"/>
      <c r="E1671" s="130"/>
      <c r="F1671" s="3"/>
      <c r="G1671" s="130"/>
      <c r="H1671" s="3"/>
    </row>
    <row r="1672" ht="14.25" customHeight="1">
      <c r="B1672" s="124"/>
      <c r="C1672" s="99"/>
      <c r="D1672" s="99"/>
      <c r="E1672" s="130"/>
      <c r="F1672" s="3"/>
      <c r="G1672" s="130"/>
      <c r="H1672" s="3"/>
    </row>
    <row r="1673" ht="14.25" customHeight="1">
      <c r="B1673" s="124"/>
      <c r="C1673" s="99"/>
      <c r="D1673" s="99"/>
      <c r="E1673" s="130"/>
      <c r="F1673" s="3"/>
      <c r="G1673" s="130"/>
      <c r="H1673" s="3"/>
    </row>
    <row r="1674" ht="14.25" customHeight="1">
      <c r="B1674" s="124"/>
      <c r="C1674" s="99"/>
      <c r="D1674" s="99"/>
      <c r="E1674" s="130"/>
      <c r="F1674" s="3"/>
      <c r="G1674" s="130"/>
      <c r="H1674" s="3"/>
    </row>
    <row r="1675" ht="14.25" customHeight="1">
      <c r="B1675" s="124"/>
      <c r="C1675" s="99"/>
      <c r="D1675" s="99"/>
      <c r="E1675" s="130"/>
      <c r="F1675" s="3"/>
      <c r="G1675" s="130"/>
      <c r="H1675" s="3"/>
    </row>
    <row r="1676" ht="14.25" customHeight="1">
      <c r="B1676" s="124"/>
      <c r="C1676" s="99"/>
      <c r="D1676" s="99"/>
      <c r="E1676" s="130"/>
      <c r="F1676" s="3"/>
      <c r="G1676" s="130"/>
      <c r="H1676" s="3"/>
    </row>
    <row r="1677" ht="14.25" customHeight="1">
      <c r="B1677" s="124"/>
      <c r="C1677" s="99"/>
      <c r="D1677" s="99"/>
      <c r="E1677" s="130"/>
      <c r="F1677" s="3"/>
      <c r="G1677" s="130"/>
      <c r="H1677" s="3"/>
    </row>
    <row r="1678" ht="14.25" customHeight="1">
      <c r="B1678" s="124"/>
      <c r="C1678" s="99"/>
      <c r="D1678" s="99"/>
      <c r="E1678" s="130"/>
      <c r="F1678" s="3"/>
      <c r="G1678" s="130"/>
      <c r="H1678" s="3"/>
    </row>
    <row r="1679" ht="14.25" customHeight="1">
      <c r="B1679" s="124"/>
      <c r="C1679" s="99"/>
      <c r="D1679" s="99"/>
      <c r="E1679" s="130"/>
      <c r="F1679" s="3"/>
      <c r="G1679" s="130"/>
      <c r="H1679" s="3"/>
    </row>
    <row r="1680" ht="14.25" customHeight="1">
      <c r="B1680" s="124"/>
      <c r="C1680" s="99"/>
      <c r="D1680" s="99"/>
      <c r="E1680" s="130"/>
      <c r="F1680" s="3"/>
      <c r="G1680" s="130"/>
      <c r="H1680" s="3"/>
    </row>
    <row r="1681" ht="14.25" customHeight="1">
      <c r="B1681" s="124"/>
      <c r="C1681" s="99"/>
      <c r="D1681" s="99"/>
      <c r="E1681" s="130"/>
      <c r="F1681" s="3"/>
      <c r="G1681" s="130"/>
      <c r="H1681" s="3"/>
    </row>
    <row r="1682" ht="14.25" customHeight="1">
      <c r="B1682" s="124"/>
      <c r="C1682" s="99"/>
      <c r="D1682" s="99"/>
      <c r="E1682" s="130"/>
      <c r="F1682" s="3"/>
      <c r="G1682" s="130"/>
      <c r="H1682" s="3"/>
    </row>
    <row r="1683" ht="14.25" customHeight="1">
      <c r="B1683" s="124"/>
      <c r="C1683" s="99"/>
      <c r="D1683" s="99"/>
      <c r="E1683" s="130"/>
      <c r="F1683" s="3"/>
      <c r="G1683" s="130"/>
      <c r="H1683" s="3"/>
    </row>
    <row r="1684" ht="14.25" customHeight="1">
      <c r="B1684" s="124"/>
      <c r="C1684" s="99"/>
      <c r="D1684" s="99"/>
      <c r="E1684" s="130"/>
      <c r="F1684" s="3"/>
      <c r="G1684" s="130"/>
      <c r="H1684" s="3"/>
    </row>
    <row r="1685" ht="14.25" customHeight="1">
      <c r="B1685" s="124"/>
      <c r="C1685" s="99"/>
      <c r="D1685" s="99"/>
      <c r="E1685" s="130"/>
      <c r="F1685" s="3"/>
      <c r="G1685" s="130"/>
      <c r="H1685" s="3"/>
    </row>
    <row r="1686" ht="14.25" customHeight="1">
      <c r="B1686" s="124"/>
      <c r="C1686" s="99"/>
      <c r="D1686" s="99"/>
      <c r="E1686" s="130"/>
      <c r="F1686" s="3"/>
      <c r="G1686" s="130"/>
      <c r="H1686" s="3"/>
    </row>
    <row r="1687" ht="14.25" customHeight="1">
      <c r="B1687" s="124"/>
      <c r="C1687" s="99"/>
      <c r="D1687" s="99"/>
      <c r="E1687" s="130"/>
      <c r="F1687" s="3"/>
      <c r="G1687" s="130"/>
      <c r="H1687" s="3"/>
    </row>
    <row r="1688" ht="14.25" customHeight="1">
      <c r="B1688" s="124"/>
      <c r="C1688" s="99"/>
      <c r="D1688" s="99"/>
      <c r="E1688" s="130"/>
      <c r="F1688" s="3"/>
      <c r="G1688" s="130"/>
      <c r="H1688" s="3"/>
    </row>
    <row r="1689" ht="14.25" customHeight="1">
      <c r="B1689" s="124"/>
      <c r="C1689" s="99"/>
      <c r="D1689" s="99"/>
      <c r="E1689" s="130"/>
      <c r="F1689" s="3"/>
      <c r="G1689" s="130"/>
      <c r="H1689" s="3"/>
    </row>
    <row r="1690" ht="14.25" customHeight="1">
      <c r="B1690" s="124"/>
      <c r="C1690" s="99"/>
      <c r="D1690" s="99"/>
      <c r="E1690" s="130"/>
      <c r="F1690" s="3"/>
      <c r="G1690" s="130"/>
      <c r="H1690" s="3"/>
    </row>
    <row r="1691" ht="14.25" customHeight="1">
      <c r="B1691" s="124"/>
      <c r="C1691" s="99"/>
      <c r="D1691" s="99"/>
      <c r="E1691" s="130"/>
      <c r="F1691" s="3"/>
      <c r="G1691" s="130"/>
      <c r="H1691" s="3"/>
    </row>
    <row r="1692" ht="14.25" customHeight="1">
      <c r="B1692" s="124"/>
      <c r="C1692" s="99"/>
      <c r="D1692" s="99"/>
      <c r="E1692" s="130"/>
      <c r="F1692" s="3"/>
      <c r="G1692" s="130"/>
      <c r="H1692" s="3"/>
    </row>
    <row r="1693" ht="14.25" customHeight="1">
      <c r="B1693" s="124"/>
      <c r="C1693" s="99"/>
      <c r="D1693" s="99"/>
      <c r="E1693" s="130"/>
      <c r="F1693" s="3"/>
      <c r="G1693" s="130"/>
      <c r="H1693" s="3"/>
    </row>
    <row r="1694" ht="14.25" customHeight="1">
      <c r="B1694" s="124"/>
      <c r="C1694" s="99"/>
      <c r="D1694" s="99"/>
      <c r="E1694" s="130"/>
      <c r="F1694" s="3"/>
      <c r="G1694" s="130"/>
      <c r="H1694" s="3"/>
    </row>
    <row r="1695" ht="14.25" customHeight="1">
      <c r="B1695" s="124"/>
      <c r="C1695" s="99"/>
      <c r="D1695" s="99"/>
      <c r="E1695" s="130"/>
      <c r="F1695" s="3"/>
      <c r="G1695" s="130"/>
      <c r="H1695" s="3"/>
    </row>
    <row r="1696" ht="14.25" customHeight="1">
      <c r="B1696" s="124"/>
      <c r="C1696" s="99"/>
      <c r="D1696" s="99"/>
      <c r="E1696" s="130"/>
      <c r="F1696" s="3"/>
      <c r="G1696" s="130"/>
      <c r="H1696" s="3"/>
    </row>
    <row r="1697" ht="14.25" customHeight="1">
      <c r="B1697" s="124"/>
      <c r="C1697" s="99"/>
      <c r="D1697" s="99"/>
      <c r="E1697" s="130"/>
      <c r="F1697" s="3"/>
      <c r="G1697" s="130"/>
      <c r="H1697" s="3"/>
    </row>
    <row r="1698" ht="14.25" customHeight="1">
      <c r="B1698" s="124"/>
      <c r="C1698" s="99"/>
      <c r="D1698" s="99"/>
      <c r="E1698" s="130"/>
      <c r="F1698" s="3"/>
      <c r="G1698" s="130"/>
      <c r="H1698" s="3"/>
    </row>
    <row r="1699" ht="14.25" customHeight="1">
      <c r="B1699" s="124"/>
      <c r="C1699" s="99"/>
      <c r="D1699" s="99"/>
      <c r="E1699" s="130"/>
      <c r="F1699" s="3"/>
      <c r="G1699" s="130"/>
      <c r="H1699" s="3"/>
    </row>
    <row r="1700" ht="14.25" customHeight="1">
      <c r="B1700" s="124"/>
      <c r="C1700" s="99"/>
      <c r="D1700" s="99"/>
      <c r="E1700" s="130"/>
      <c r="F1700" s="3"/>
      <c r="G1700" s="130"/>
      <c r="H1700" s="3"/>
    </row>
    <row r="1701" ht="14.25" customHeight="1">
      <c r="B1701" s="124"/>
      <c r="C1701" s="99"/>
      <c r="D1701" s="99"/>
      <c r="E1701" s="130"/>
      <c r="F1701" s="3"/>
      <c r="G1701" s="130"/>
      <c r="H1701" s="3"/>
    </row>
    <row r="1702" ht="14.25" customHeight="1">
      <c r="B1702" s="124"/>
      <c r="C1702" s="99"/>
      <c r="D1702" s="99"/>
      <c r="E1702" s="130"/>
      <c r="F1702" s="3"/>
      <c r="G1702" s="130"/>
      <c r="H1702" s="3"/>
    </row>
    <row r="1703" ht="14.25" customHeight="1">
      <c r="B1703" s="124"/>
      <c r="C1703" s="99"/>
      <c r="D1703" s="99"/>
      <c r="E1703" s="130"/>
      <c r="F1703" s="3"/>
      <c r="G1703" s="130"/>
      <c r="H1703" s="3"/>
    </row>
    <row r="1704" ht="14.25" customHeight="1">
      <c r="B1704" s="124"/>
      <c r="C1704" s="99"/>
      <c r="D1704" s="99"/>
      <c r="E1704" s="130"/>
      <c r="F1704" s="3"/>
      <c r="G1704" s="130"/>
      <c r="H1704" s="3"/>
    </row>
    <row r="1705" ht="14.25" customHeight="1">
      <c r="B1705" s="124"/>
      <c r="C1705" s="99"/>
      <c r="D1705" s="99"/>
      <c r="E1705" s="130"/>
      <c r="F1705" s="3"/>
      <c r="G1705" s="130"/>
      <c r="H1705" s="3"/>
    </row>
    <row r="1706" ht="14.25" customHeight="1">
      <c r="B1706" s="124"/>
      <c r="C1706" s="99"/>
      <c r="D1706" s="99"/>
      <c r="E1706" s="130"/>
      <c r="F1706" s="3"/>
      <c r="G1706" s="130"/>
      <c r="H1706" s="3"/>
    </row>
    <row r="1707" ht="14.25" customHeight="1">
      <c r="B1707" s="124"/>
      <c r="C1707" s="99"/>
      <c r="D1707" s="99"/>
      <c r="E1707" s="130"/>
      <c r="F1707" s="3"/>
      <c r="G1707" s="130"/>
      <c r="H1707" s="3"/>
    </row>
    <row r="1708" ht="14.25" customHeight="1">
      <c r="B1708" s="124"/>
      <c r="C1708" s="99"/>
      <c r="D1708" s="99"/>
      <c r="E1708" s="130"/>
      <c r="F1708" s="3"/>
      <c r="G1708" s="130"/>
      <c r="H1708" s="3"/>
    </row>
    <row r="1709" ht="14.25" customHeight="1">
      <c r="B1709" s="124"/>
      <c r="C1709" s="99"/>
      <c r="D1709" s="99"/>
      <c r="E1709" s="130"/>
      <c r="F1709" s="3"/>
      <c r="G1709" s="130"/>
      <c r="H1709" s="3"/>
    </row>
    <row r="1710" ht="14.25" customHeight="1">
      <c r="B1710" s="124"/>
      <c r="C1710" s="99"/>
      <c r="D1710" s="99"/>
      <c r="E1710" s="130"/>
      <c r="F1710" s="3"/>
      <c r="G1710" s="130"/>
      <c r="H1710" s="3"/>
    </row>
    <row r="1711" ht="14.25" customHeight="1">
      <c r="B1711" s="124"/>
      <c r="C1711" s="99"/>
      <c r="D1711" s="99"/>
      <c r="E1711" s="130"/>
      <c r="F1711" s="3"/>
      <c r="G1711" s="130"/>
      <c r="H1711" s="3"/>
    </row>
    <row r="1712" ht="14.25" customHeight="1">
      <c r="B1712" s="124"/>
      <c r="C1712" s="99"/>
      <c r="D1712" s="99"/>
      <c r="E1712" s="130"/>
      <c r="F1712" s="3"/>
      <c r="G1712" s="130"/>
      <c r="H1712" s="3"/>
    </row>
    <row r="1713" ht="14.25" customHeight="1">
      <c r="B1713" s="124"/>
      <c r="C1713" s="99"/>
      <c r="D1713" s="99"/>
      <c r="E1713" s="130"/>
      <c r="F1713" s="3"/>
      <c r="G1713" s="130"/>
      <c r="H1713" s="3"/>
    </row>
    <row r="1714" ht="14.25" customHeight="1">
      <c r="B1714" s="124"/>
      <c r="C1714" s="99"/>
      <c r="D1714" s="99"/>
      <c r="E1714" s="130"/>
      <c r="F1714" s="3"/>
      <c r="G1714" s="130"/>
      <c r="H1714" s="3"/>
    </row>
    <row r="1715" ht="14.25" customHeight="1">
      <c r="B1715" s="124"/>
      <c r="C1715" s="99"/>
      <c r="D1715" s="99"/>
      <c r="E1715" s="130"/>
      <c r="F1715" s="3"/>
      <c r="G1715" s="130"/>
      <c r="H1715" s="3"/>
    </row>
    <row r="1716" ht="14.25" customHeight="1">
      <c r="B1716" s="124"/>
      <c r="C1716" s="99"/>
      <c r="D1716" s="99"/>
      <c r="E1716" s="130"/>
      <c r="F1716" s="3"/>
      <c r="G1716" s="130"/>
      <c r="H1716" s="3"/>
    </row>
    <row r="1717" ht="14.25" customHeight="1">
      <c r="B1717" s="124"/>
      <c r="C1717" s="99"/>
      <c r="D1717" s="99"/>
      <c r="E1717" s="130"/>
      <c r="F1717" s="3"/>
      <c r="G1717" s="130"/>
      <c r="H1717" s="3"/>
    </row>
    <row r="1718" ht="14.25" customHeight="1">
      <c r="B1718" s="124"/>
      <c r="C1718" s="99"/>
      <c r="D1718" s="99"/>
      <c r="E1718" s="130"/>
      <c r="F1718" s="3"/>
      <c r="G1718" s="130"/>
      <c r="H1718" s="3"/>
    </row>
    <row r="1719" ht="14.25" customHeight="1">
      <c r="B1719" s="124"/>
      <c r="C1719" s="99"/>
      <c r="D1719" s="99"/>
      <c r="E1719" s="130"/>
      <c r="F1719" s="3"/>
      <c r="G1719" s="130"/>
      <c r="H1719" s="3"/>
    </row>
    <row r="1720" ht="14.25" customHeight="1">
      <c r="B1720" s="124"/>
      <c r="C1720" s="99"/>
      <c r="D1720" s="99"/>
      <c r="E1720" s="130"/>
      <c r="F1720" s="3"/>
      <c r="G1720" s="130"/>
      <c r="H1720" s="3"/>
    </row>
    <row r="1721" ht="14.25" customHeight="1">
      <c r="B1721" s="124"/>
      <c r="C1721" s="99"/>
      <c r="D1721" s="99"/>
      <c r="E1721" s="130"/>
      <c r="F1721" s="3"/>
      <c r="G1721" s="130"/>
      <c r="H1721" s="3"/>
    </row>
    <row r="1722" ht="14.25" customHeight="1">
      <c r="B1722" s="124"/>
      <c r="C1722" s="99"/>
      <c r="D1722" s="99"/>
      <c r="E1722" s="130"/>
      <c r="F1722" s="3"/>
      <c r="G1722" s="130"/>
      <c r="H1722" s="3"/>
    </row>
    <row r="1723" ht="14.25" customHeight="1">
      <c r="B1723" s="124"/>
      <c r="C1723" s="99"/>
      <c r="D1723" s="99"/>
      <c r="E1723" s="130"/>
      <c r="F1723" s="3"/>
      <c r="G1723" s="130"/>
      <c r="H1723" s="3"/>
    </row>
    <row r="1724" ht="14.25" customHeight="1">
      <c r="B1724" s="124"/>
      <c r="C1724" s="99"/>
      <c r="D1724" s="99"/>
      <c r="E1724" s="130"/>
      <c r="F1724" s="3"/>
      <c r="G1724" s="130"/>
      <c r="H1724" s="3"/>
    </row>
    <row r="1725" ht="14.25" customHeight="1">
      <c r="B1725" s="124"/>
      <c r="C1725" s="99"/>
      <c r="D1725" s="99"/>
      <c r="E1725" s="130"/>
      <c r="F1725" s="3"/>
      <c r="G1725" s="130"/>
      <c r="H1725" s="3"/>
    </row>
    <row r="1726" ht="14.25" customHeight="1">
      <c r="B1726" s="124"/>
      <c r="C1726" s="99"/>
      <c r="D1726" s="99"/>
      <c r="E1726" s="130"/>
      <c r="F1726" s="3"/>
      <c r="G1726" s="130"/>
      <c r="H1726" s="3"/>
    </row>
    <row r="1727" ht="14.25" customHeight="1">
      <c r="B1727" s="124"/>
      <c r="C1727" s="99"/>
      <c r="D1727" s="99"/>
      <c r="E1727" s="130"/>
      <c r="F1727" s="3"/>
      <c r="G1727" s="130"/>
      <c r="H1727" s="3"/>
    </row>
    <row r="1728" ht="14.25" customHeight="1">
      <c r="B1728" s="124"/>
      <c r="C1728" s="99"/>
      <c r="D1728" s="99"/>
      <c r="E1728" s="130"/>
      <c r="F1728" s="3"/>
      <c r="G1728" s="130"/>
      <c r="H1728" s="3"/>
    </row>
    <row r="1729" ht="14.25" customHeight="1">
      <c r="B1729" s="124"/>
      <c r="C1729" s="99"/>
      <c r="D1729" s="99"/>
      <c r="E1729" s="130"/>
      <c r="F1729" s="3"/>
      <c r="G1729" s="130"/>
      <c r="H1729" s="3"/>
    </row>
    <row r="1730" ht="14.25" customHeight="1">
      <c r="B1730" s="124"/>
      <c r="C1730" s="99"/>
      <c r="D1730" s="99"/>
      <c r="E1730" s="130"/>
      <c r="F1730" s="3"/>
      <c r="G1730" s="130"/>
      <c r="H1730" s="3"/>
    </row>
    <row r="1731" ht="14.25" customHeight="1">
      <c r="B1731" s="124"/>
      <c r="C1731" s="99"/>
      <c r="D1731" s="99"/>
      <c r="E1731" s="130"/>
      <c r="F1731" s="3"/>
      <c r="G1731" s="130"/>
      <c r="H1731" s="3"/>
    </row>
    <row r="1732" ht="14.25" customHeight="1">
      <c r="B1732" s="124"/>
      <c r="C1732" s="99"/>
      <c r="D1732" s="99"/>
      <c r="E1732" s="130"/>
      <c r="F1732" s="3"/>
      <c r="G1732" s="130"/>
      <c r="H1732" s="3"/>
    </row>
    <row r="1733" ht="14.25" customHeight="1">
      <c r="B1733" s="124"/>
      <c r="C1733" s="99"/>
      <c r="D1733" s="99"/>
      <c r="E1733" s="130"/>
      <c r="F1733" s="3"/>
      <c r="G1733" s="130"/>
      <c r="H1733" s="3"/>
    </row>
    <row r="1734" ht="14.25" customHeight="1">
      <c r="B1734" s="124"/>
      <c r="C1734" s="99"/>
      <c r="D1734" s="99"/>
      <c r="E1734" s="130"/>
      <c r="F1734" s="3"/>
      <c r="G1734" s="130"/>
      <c r="H1734" s="3"/>
    </row>
    <row r="1735" ht="14.25" customHeight="1">
      <c r="B1735" s="124"/>
      <c r="C1735" s="99"/>
      <c r="D1735" s="99"/>
      <c r="E1735" s="130"/>
      <c r="F1735" s="3"/>
      <c r="G1735" s="130"/>
      <c r="H1735" s="3"/>
    </row>
    <row r="1736" ht="14.25" customHeight="1">
      <c r="B1736" s="124"/>
      <c r="C1736" s="99"/>
      <c r="D1736" s="99"/>
      <c r="E1736" s="130"/>
      <c r="F1736" s="3"/>
      <c r="G1736" s="130"/>
      <c r="H1736" s="3"/>
    </row>
    <row r="1737" ht="14.25" customHeight="1">
      <c r="B1737" s="124"/>
      <c r="C1737" s="99"/>
      <c r="D1737" s="99"/>
      <c r="E1737" s="130"/>
      <c r="F1737" s="3"/>
      <c r="G1737" s="130"/>
      <c r="H1737" s="3"/>
    </row>
    <row r="1738" ht="14.25" customHeight="1">
      <c r="B1738" s="124"/>
      <c r="C1738" s="99"/>
      <c r="D1738" s="99"/>
      <c r="E1738" s="130"/>
      <c r="F1738" s="3"/>
      <c r="G1738" s="130"/>
      <c r="H1738" s="3"/>
    </row>
    <row r="1739" ht="14.25" customHeight="1">
      <c r="B1739" s="124"/>
      <c r="C1739" s="99"/>
      <c r="D1739" s="99"/>
      <c r="E1739" s="130"/>
      <c r="F1739" s="3"/>
      <c r="G1739" s="130"/>
      <c r="H1739" s="3"/>
    </row>
    <row r="1740" ht="14.25" customHeight="1">
      <c r="B1740" s="124"/>
      <c r="C1740" s="99"/>
      <c r="D1740" s="99"/>
      <c r="E1740" s="130"/>
      <c r="F1740" s="3"/>
      <c r="G1740" s="130"/>
      <c r="H1740" s="3"/>
    </row>
    <row r="1741" ht="14.25" customHeight="1">
      <c r="B1741" s="124"/>
      <c r="C1741" s="99"/>
      <c r="D1741" s="99"/>
      <c r="E1741" s="130"/>
      <c r="F1741" s="3"/>
      <c r="G1741" s="130"/>
      <c r="H1741" s="3"/>
    </row>
    <row r="1742" ht="14.25" customHeight="1">
      <c r="B1742" s="124"/>
      <c r="C1742" s="99"/>
      <c r="D1742" s="99"/>
      <c r="E1742" s="130"/>
      <c r="F1742" s="3"/>
      <c r="G1742" s="130"/>
      <c r="H1742" s="3"/>
    </row>
    <row r="1743" ht="14.25" customHeight="1">
      <c r="B1743" s="124"/>
      <c r="C1743" s="99"/>
      <c r="D1743" s="99"/>
      <c r="E1743" s="130"/>
      <c r="F1743" s="3"/>
      <c r="G1743" s="130"/>
      <c r="H1743" s="3"/>
    </row>
    <row r="1744" ht="14.25" customHeight="1">
      <c r="B1744" s="124"/>
      <c r="C1744" s="99"/>
      <c r="D1744" s="99"/>
      <c r="E1744" s="130"/>
      <c r="F1744" s="3"/>
      <c r="G1744" s="130"/>
      <c r="H1744" s="3"/>
    </row>
    <row r="1745" ht="14.25" customHeight="1">
      <c r="B1745" s="124"/>
      <c r="C1745" s="99"/>
      <c r="D1745" s="99"/>
      <c r="E1745" s="130"/>
      <c r="F1745" s="3"/>
      <c r="G1745" s="130"/>
      <c r="H1745" s="3"/>
    </row>
    <row r="1746" ht="14.25" customHeight="1">
      <c r="B1746" s="124"/>
      <c r="C1746" s="99"/>
      <c r="D1746" s="99"/>
      <c r="E1746" s="130"/>
      <c r="F1746" s="3"/>
      <c r="G1746" s="130"/>
      <c r="H1746" s="3"/>
    </row>
    <row r="1747" ht="14.25" customHeight="1">
      <c r="B1747" s="124"/>
      <c r="C1747" s="99"/>
      <c r="D1747" s="99"/>
      <c r="E1747" s="130"/>
      <c r="F1747" s="3"/>
      <c r="G1747" s="130"/>
      <c r="H1747" s="3"/>
    </row>
    <row r="1748" ht="14.25" customHeight="1">
      <c r="B1748" s="124"/>
      <c r="C1748" s="99"/>
      <c r="D1748" s="99"/>
      <c r="E1748" s="130"/>
      <c r="F1748" s="3"/>
      <c r="G1748" s="130"/>
      <c r="H1748" s="3"/>
    </row>
    <row r="1749" ht="14.25" customHeight="1">
      <c r="B1749" s="124"/>
      <c r="C1749" s="99"/>
      <c r="D1749" s="99"/>
      <c r="E1749" s="130"/>
      <c r="F1749" s="3"/>
      <c r="G1749" s="130"/>
      <c r="H1749" s="3"/>
    </row>
    <row r="1750" ht="14.25" customHeight="1">
      <c r="B1750" s="124"/>
      <c r="C1750" s="99"/>
      <c r="D1750" s="99"/>
      <c r="E1750" s="130"/>
      <c r="F1750" s="3"/>
      <c r="G1750" s="130"/>
      <c r="H1750" s="3"/>
    </row>
    <row r="1751" ht="14.25" customHeight="1">
      <c r="B1751" s="124"/>
      <c r="C1751" s="99"/>
      <c r="D1751" s="99"/>
      <c r="E1751" s="130"/>
      <c r="F1751" s="3"/>
      <c r="G1751" s="130"/>
      <c r="H1751" s="3"/>
    </row>
    <row r="1752" ht="14.25" customHeight="1">
      <c r="B1752" s="124"/>
      <c r="C1752" s="99"/>
      <c r="D1752" s="99"/>
      <c r="E1752" s="130"/>
      <c r="F1752" s="3"/>
      <c r="G1752" s="130"/>
      <c r="H1752" s="3"/>
    </row>
    <row r="1753" ht="14.25" customHeight="1">
      <c r="B1753" s="124"/>
      <c r="C1753" s="99"/>
      <c r="D1753" s="99"/>
      <c r="E1753" s="130"/>
      <c r="F1753" s="3"/>
      <c r="G1753" s="130"/>
      <c r="H1753" s="3"/>
    </row>
    <row r="1754" ht="14.25" customHeight="1">
      <c r="B1754" s="124"/>
      <c r="C1754" s="99"/>
      <c r="D1754" s="99"/>
      <c r="E1754" s="130"/>
      <c r="F1754" s="3"/>
      <c r="G1754" s="130"/>
      <c r="H1754" s="3"/>
    </row>
    <row r="1755" ht="14.25" customHeight="1">
      <c r="B1755" s="124"/>
      <c r="C1755" s="99"/>
      <c r="D1755" s="99"/>
      <c r="E1755" s="130"/>
      <c r="F1755" s="3"/>
      <c r="G1755" s="130"/>
      <c r="H1755" s="3"/>
    </row>
    <row r="1756" ht="14.25" customHeight="1">
      <c r="B1756" s="124"/>
      <c r="C1756" s="99"/>
      <c r="D1756" s="99"/>
      <c r="E1756" s="130"/>
      <c r="F1756" s="3"/>
      <c r="G1756" s="130"/>
      <c r="H1756" s="3"/>
    </row>
    <row r="1757" ht="14.25" customHeight="1">
      <c r="B1757" s="124"/>
      <c r="C1757" s="99"/>
      <c r="D1757" s="99"/>
      <c r="E1757" s="130"/>
      <c r="F1757" s="3"/>
      <c r="G1757" s="130"/>
      <c r="H1757" s="3"/>
    </row>
    <row r="1758" ht="14.25" customHeight="1">
      <c r="B1758" s="124"/>
      <c r="C1758" s="99"/>
      <c r="D1758" s="99"/>
      <c r="E1758" s="130"/>
      <c r="F1758" s="3"/>
      <c r="G1758" s="130"/>
      <c r="H1758" s="3"/>
    </row>
    <row r="1759" ht="14.25" customHeight="1">
      <c r="B1759" s="124"/>
      <c r="C1759" s="99"/>
      <c r="D1759" s="99"/>
      <c r="E1759" s="130"/>
      <c r="F1759" s="3"/>
      <c r="G1759" s="130"/>
      <c r="H1759" s="3"/>
    </row>
    <row r="1760" ht="14.25" customHeight="1">
      <c r="B1760" s="124"/>
      <c r="C1760" s="99"/>
      <c r="D1760" s="99"/>
      <c r="E1760" s="130"/>
      <c r="F1760" s="3"/>
      <c r="G1760" s="130"/>
      <c r="H1760" s="3"/>
    </row>
    <row r="1761" ht="14.25" customHeight="1">
      <c r="B1761" s="124"/>
      <c r="C1761" s="99"/>
      <c r="D1761" s="99"/>
      <c r="E1761" s="130"/>
      <c r="F1761" s="3"/>
      <c r="G1761" s="130"/>
      <c r="H1761" s="3"/>
    </row>
    <row r="1762" ht="14.25" customHeight="1">
      <c r="B1762" s="124"/>
      <c r="C1762" s="99"/>
      <c r="D1762" s="99"/>
      <c r="E1762" s="130"/>
      <c r="F1762" s="3"/>
      <c r="G1762" s="130"/>
      <c r="H1762" s="3"/>
    </row>
    <row r="1763" ht="14.25" customHeight="1">
      <c r="B1763" s="124"/>
      <c r="C1763" s="99"/>
      <c r="D1763" s="99"/>
      <c r="E1763" s="130"/>
      <c r="F1763" s="3"/>
      <c r="G1763" s="130"/>
      <c r="H1763" s="3"/>
    </row>
    <row r="1764" ht="14.25" customHeight="1">
      <c r="B1764" s="124"/>
      <c r="C1764" s="99"/>
      <c r="D1764" s="99"/>
      <c r="E1764" s="130"/>
      <c r="F1764" s="3"/>
      <c r="G1764" s="130"/>
      <c r="H1764" s="3"/>
    </row>
    <row r="1765" ht="14.25" customHeight="1">
      <c r="B1765" s="124"/>
      <c r="C1765" s="99"/>
      <c r="D1765" s="99"/>
      <c r="E1765" s="130"/>
      <c r="F1765" s="3"/>
      <c r="G1765" s="130"/>
      <c r="H1765" s="3"/>
    </row>
    <row r="1766" ht="14.25" customHeight="1">
      <c r="B1766" s="124"/>
      <c r="C1766" s="99"/>
      <c r="D1766" s="99"/>
      <c r="E1766" s="130"/>
      <c r="F1766" s="3"/>
      <c r="G1766" s="130"/>
      <c r="H1766" s="3"/>
    </row>
    <row r="1767" ht="14.25" customHeight="1">
      <c r="B1767" s="124"/>
      <c r="C1767" s="99"/>
      <c r="D1767" s="99"/>
      <c r="E1767" s="130"/>
      <c r="F1767" s="3"/>
      <c r="G1767" s="130"/>
      <c r="H1767" s="3"/>
    </row>
    <row r="1768" ht="14.25" customHeight="1">
      <c r="B1768" s="124"/>
      <c r="C1768" s="99"/>
      <c r="D1768" s="99"/>
      <c r="E1768" s="130"/>
      <c r="F1768" s="3"/>
      <c r="G1768" s="130"/>
      <c r="H1768" s="3"/>
    </row>
    <row r="1769" ht="14.25" customHeight="1">
      <c r="B1769" s="124"/>
      <c r="C1769" s="99"/>
      <c r="D1769" s="99"/>
      <c r="E1769" s="130"/>
      <c r="F1769" s="3"/>
      <c r="G1769" s="130"/>
      <c r="H1769" s="3"/>
    </row>
    <row r="1770" ht="14.25" customHeight="1">
      <c r="B1770" s="124"/>
      <c r="C1770" s="99"/>
      <c r="D1770" s="99"/>
      <c r="E1770" s="130"/>
      <c r="F1770" s="3"/>
      <c r="G1770" s="130"/>
      <c r="H1770" s="3"/>
    </row>
    <row r="1771" ht="14.25" customHeight="1">
      <c r="B1771" s="124"/>
      <c r="C1771" s="99"/>
      <c r="D1771" s="99"/>
      <c r="E1771" s="130"/>
      <c r="F1771" s="3"/>
      <c r="G1771" s="130"/>
      <c r="H1771" s="3"/>
    </row>
    <row r="1772" ht="14.25" customHeight="1">
      <c r="B1772" s="124"/>
      <c r="C1772" s="99"/>
      <c r="D1772" s="99"/>
      <c r="E1772" s="130"/>
      <c r="F1772" s="3"/>
      <c r="G1772" s="130"/>
      <c r="H1772" s="3"/>
    </row>
    <row r="1773" ht="14.25" customHeight="1">
      <c r="B1773" s="124"/>
      <c r="C1773" s="99"/>
      <c r="D1773" s="99"/>
      <c r="E1773" s="130"/>
      <c r="F1773" s="3"/>
      <c r="G1773" s="130"/>
      <c r="H1773" s="3"/>
    </row>
    <row r="1774" ht="14.25" customHeight="1">
      <c r="B1774" s="124"/>
      <c r="C1774" s="99"/>
      <c r="D1774" s="99"/>
      <c r="E1774" s="130"/>
      <c r="F1774" s="3"/>
      <c r="G1774" s="130"/>
      <c r="H1774" s="3"/>
    </row>
    <row r="1775" ht="14.25" customHeight="1">
      <c r="B1775" s="124"/>
      <c r="C1775" s="99"/>
      <c r="D1775" s="99"/>
      <c r="E1775" s="130"/>
      <c r="F1775" s="3"/>
      <c r="G1775" s="130"/>
      <c r="H1775" s="3"/>
    </row>
    <row r="1776" ht="14.25" customHeight="1">
      <c r="B1776" s="124"/>
      <c r="C1776" s="99"/>
      <c r="D1776" s="99"/>
      <c r="E1776" s="130"/>
      <c r="F1776" s="3"/>
      <c r="G1776" s="130"/>
      <c r="H1776" s="3"/>
    </row>
    <row r="1777" ht="14.25" customHeight="1">
      <c r="B1777" s="124"/>
      <c r="C1777" s="99"/>
      <c r="D1777" s="99"/>
      <c r="E1777" s="130"/>
      <c r="F1777" s="3"/>
      <c r="G1777" s="130"/>
      <c r="H1777" s="3"/>
    </row>
    <row r="1778" ht="14.25" customHeight="1">
      <c r="B1778" s="124"/>
      <c r="C1778" s="99"/>
      <c r="D1778" s="99"/>
      <c r="E1778" s="130"/>
      <c r="F1778" s="3"/>
      <c r="G1778" s="130"/>
      <c r="H1778" s="3"/>
    </row>
    <row r="1779" ht="14.25" customHeight="1">
      <c r="B1779" s="124"/>
      <c r="C1779" s="99"/>
      <c r="D1779" s="99"/>
      <c r="E1779" s="130"/>
      <c r="F1779" s="3"/>
      <c r="G1779" s="130"/>
      <c r="H1779" s="3"/>
    </row>
    <row r="1780" ht="14.25" customHeight="1">
      <c r="B1780" s="124"/>
      <c r="C1780" s="99"/>
      <c r="D1780" s="99"/>
      <c r="E1780" s="130"/>
      <c r="F1780" s="3"/>
      <c r="G1780" s="130"/>
      <c r="H1780" s="3"/>
    </row>
    <row r="1781" ht="14.25" customHeight="1">
      <c r="B1781" s="124"/>
      <c r="C1781" s="99"/>
      <c r="D1781" s="99"/>
      <c r="E1781" s="130"/>
      <c r="F1781" s="3"/>
      <c r="G1781" s="130"/>
      <c r="H1781" s="3"/>
    </row>
    <row r="1782" ht="14.25" customHeight="1">
      <c r="B1782" s="124"/>
      <c r="C1782" s="99"/>
      <c r="D1782" s="99"/>
      <c r="E1782" s="130"/>
      <c r="F1782" s="3"/>
      <c r="G1782" s="130"/>
      <c r="H1782" s="3"/>
    </row>
    <row r="1783" ht="14.25" customHeight="1">
      <c r="B1783" s="124"/>
      <c r="C1783" s="99"/>
      <c r="D1783" s="99"/>
      <c r="E1783" s="130"/>
      <c r="F1783" s="3"/>
      <c r="G1783" s="130"/>
      <c r="H1783" s="3"/>
    </row>
    <row r="1784" ht="14.25" customHeight="1">
      <c r="B1784" s="124"/>
      <c r="C1784" s="99"/>
      <c r="D1784" s="99"/>
      <c r="E1784" s="130"/>
      <c r="F1784" s="3"/>
      <c r="G1784" s="130"/>
      <c r="H1784" s="3"/>
    </row>
    <row r="1785" ht="14.25" customHeight="1">
      <c r="B1785" s="124"/>
      <c r="C1785" s="99"/>
      <c r="D1785" s="99"/>
      <c r="E1785" s="130"/>
      <c r="F1785" s="3"/>
      <c r="G1785" s="130"/>
      <c r="H1785" s="3"/>
    </row>
    <row r="1786" ht="14.25" customHeight="1">
      <c r="B1786" s="124"/>
      <c r="C1786" s="99"/>
      <c r="D1786" s="99"/>
      <c r="E1786" s="130"/>
      <c r="F1786" s="3"/>
      <c r="G1786" s="130"/>
      <c r="H1786" s="3"/>
    </row>
    <row r="1787" ht="14.25" customHeight="1">
      <c r="B1787" s="124"/>
      <c r="C1787" s="99"/>
      <c r="D1787" s="99"/>
      <c r="E1787" s="130"/>
      <c r="F1787" s="3"/>
      <c r="G1787" s="130"/>
      <c r="H1787" s="3"/>
    </row>
    <row r="1788" ht="14.25" customHeight="1">
      <c r="B1788" s="124"/>
      <c r="C1788" s="99"/>
      <c r="D1788" s="99"/>
      <c r="E1788" s="130"/>
      <c r="F1788" s="3"/>
      <c r="G1788" s="130"/>
      <c r="H1788" s="3"/>
    </row>
    <row r="1789" ht="14.25" customHeight="1">
      <c r="B1789" s="124"/>
      <c r="C1789" s="99"/>
      <c r="D1789" s="99"/>
      <c r="E1789" s="130"/>
      <c r="F1789" s="3"/>
      <c r="G1789" s="130"/>
      <c r="H1789" s="3"/>
    </row>
    <row r="1790" ht="14.25" customHeight="1">
      <c r="B1790" s="124"/>
      <c r="C1790" s="99"/>
      <c r="D1790" s="99"/>
      <c r="E1790" s="130"/>
      <c r="F1790" s="3"/>
      <c r="G1790" s="130"/>
      <c r="H1790" s="3"/>
    </row>
    <row r="1791" ht="14.25" customHeight="1">
      <c r="B1791" s="124"/>
      <c r="C1791" s="99"/>
      <c r="D1791" s="99"/>
      <c r="E1791" s="130"/>
      <c r="F1791" s="3"/>
      <c r="G1791" s="130"/>
      <c r="H1791" s="3"/>
    </row>
    <row r="1792" ht="14.25" customHeight="1">
      <c r="B1792" s="124"/>
      <c r="C1792" s="99"/>
      <c r="D1792" s="99"/>
      <c r="E1792" s="130"/>
      <c r="F1792" s="3"/>
      <c r="G1792" s="130"/>
      <c r="H1792" s="3"/>
    </row>
    <row r="1793" ht="14.25" customHeight="1">
      <c r="B1793" s="124"/>
      <c r="C1793" s="99"/>
      <c r="D1793" s="99"/>
      <c r="E1793" s="130"/>
      <c r="F1793" s="3"/>
      <c r="G1793" s="130"/>
      <c r="H1793" s="3"/>
    </row>
    <row r="1794" ht="14.25" customHeight="1">
      <c r="B1794" s="124"/>
      <c r="C1794" s="99"/>
      <c r="D1794" s="99"/>
      <c r="E1794" s="130"/>
      <c r="F1794" s="3"/>
      <c r="G1794" s="130"/>
      <c r="H1794" s="3"/>
    </row>
    <row r="1795" ht="14.25" customHeight="1">
      <c r="B1795" s="124"/>
      <c r="C1795" s="99"/>
      <c r="D1795" s="99"/>
      <c r="E1795" s="130"/>
      <c r="F1795" s="3"/>
      <c r="G1795" s="130"/>
      <c r="H1795" s="3"/>
    </row>
    <row r="1796" ht="14.25" customHeight="1">
      <c r="B1796" s="124"/>
      <c r="C1796" s="99"/>
      <c r="D1796" s="99"/>
      <c r="E1796" s="130"/>
      <c r="F1796" s="3"/>
      <c r="G1796" s="130"/>
      <c r="H1796" s="3"/>
    </row>
    <row r="1797" ht="14.25" customHeight="1">
      <c r="B1797" s="124"/>
      <c r="C1797" s="99"/>
      <c r="D1797" s="99"/>
      <c r="E1797" s="130"/>
      <c r="F1797" s="3"/>
      <c r="G1797" s="130"/>
      <c r="H1797" s="3"/>
    </row>
    <row r="1798" ht="14.25" customHeight="1">
      <c r="B1798" s="124"/>
      <c r="C1798" s="99"/>
      <c r="D1798" s="99"/>
      <c r="E1798" s="130"/>
      <c r="F1798" s="3"/>
      <c r="G1798" s="130"/>
      <c r="H1798" s="3"/>
    </row>
    <row r="1799" ht="14.25" customHeight="1">
      <c r="B1799" s="124"/>
      <c r="C1799" s="99"/>
      <c r="D1799" s="99"/>
      <c r="E1799" s="130"/>
      <c r="F1799" s="3"/>
      <c r="G1799" s="130"/>
      <c r="H1799" s="3"/>
    </row>
    <row r="1800" ht="14.25" customHeight="1">
      <c r="B1800" s="124"/>
      <c r="C1800" s="99"/>
      <c r="D1800" s="99"/>
      <c r="E1800" s="130"/>
      <c r="F1800" s="3"/>
      <c r="G1800" s="130"/>
      <c r="H1800" s="3"/>
    </row>
    <row r="1801" ht="14.25" customHeight="1">
      <c r="B1801" s="124"/>
      <c r="C1801" s="99"/>
      <c r="D1801" s="99"/>
      <c r="E1801" s="130"/>
      <c r="F1801" s="3"/>
      <c r="G1801" s="130"/>
      <c r="H1801" s="3"/>
    </row>
    <row r="1802" ht="14.25" customHeight="1">
      <c r="B1802" s="124"/>
      <c r="C1802" s="99"/>
      <c r="D1802" s="99"/>
      <c r="E1802" s="130"/>
      <c r="F1802" s="3"/>
      <c r="G1802" s="130"/>
      <c r="H1802" s="3"/>
    </row>
    <row r="1803" ht="14.25" customHeight="1">
      <c r="B1803" s="124"/>
      <c r="C1803" s="99"/>
      <c r="D1803" s="99"/>
      <c r="E1803" s="130"/>
      <c r="F1803" s="3"/>
      <c r="G1803" s="130"/>
      <c r="H1803" s="3"/>
    </row>
    <row r="1804" ht="14.25" customHeight="1">
      <c r="B1804" s="124"/>
      <c r="C1804" s="99"/>
      <c r="D1804" s="99"/>
      <c r="E1804" s="130"/>
      <c r="F1804" s="3"/>
      <c r="G1804" s="130"/>
      <c r="H1804" s="3"/>
    </row>
    <row r="1805" ht="14.25" customHeight="1">
      <c r="B1805" s="124"/>
      <c r="C1805" s="99"/>
      <c r="D1805" s="99"/>
      <c r="E1805" s="130"/>
      <c r="F1805" s="3"/>
      <c r="G1805" s="130"/>
      <c r="H1805" s="3"/>
    </row>
    <row r="1806" ht="14.25" customHeight="1">
      <c r="B1806" s="124"/>
      <c r="C1806" s="99"/>
      <c r="D1806" s="99"/>
      <c r="E1806" s="130"/>
      <c r="F1806" s="3"/>
      <c r="G1806" s="130"/>
      <c r="H1806" s="3"/>
    </row>
    <row r="1807" ht="14.25" customHeight="1">
      <c r="B1807" s="124"/>
      <c r="C1807" s="99"/>
      <c r="D1807" s="99"/>
      <c r="E1807" s="130"/>
      <c r="F1807" s="3"/>
      <c r="G1807" s="130"/>
      <c r="H1807" s="3"/>
    </row>
    <row r="1808" ht="14.25" customHeight="1">
      <c r="B1808" s="124"/>
      <c r="C1808" s="99"/>
      <c r="D1808" s="99"/>
      <c r="E1808" s="130"/>
      <c r="F1808" s="3"/>
      <c r="G1808" s="130"/>
      <c r="H1808" s="3"/>
    </row>
    <row r="1809" ht="14.25" customHeight="1">
      <c r="B1809" s="124"/>
      <c r="C1809" s="99"/>
      <c r="D1809" s="99"/>
      <c r="E1809" s="130"/>
      <c r="F1809" s="3"/>
      <c r="G1809" s="130"/>
      <c r="H1809" s="3"/>
    </row>
    <row r="1810" ht="14.25" customHeight="1">
      <c r="B1810" s="124"/>
      <c r="C1810" s="99"/>
      <c r="D1810" s="99"/>
      <c r="E1810" s="130"/>
      <c r="F1810" s="3"/>
      <c r="G1810" s="130"/>
      <c r="H1810" s="3"/>
    </row>
    <row r="1811" ht="14.25" customHeight="1">
      <c r="B1811" s="124"/>
      <c r="C1811" s="99"/>
      <c r="D1811" s="99"/>
      <c r="E1811" s="130"/>
      <c r="F1811" s="3"/>
      <c r="G1811" s="130"/>
      <c r="H1811" s="3"/>
    </row>
    <row r="1812" ht="14.25" customHeight="1">
      <c r="B1812" s="124"/>
      <c r="C1812" s="99"/>
      <c r="D1812" s="99"/>
      <c r="E1812" s="130"/>
      <c r="F1812" s="3"/>
      <c r="G1812" s="130"/>
      <c r="H1812" s="3"/>
    </row>
    <row r="1813" ht="14.25" customHeight="1">
      <c r="B1813" s="124"/>
      <c r="C1813" s="99"/>
      <c r="D1813" s="99"/>
      <c r="E1813" s="130"/>
      <c r="F1813" s="3"/>
      <c r="G1813" s="130"/>
      <c r="H1813" s="3"/>
    </row>
    <row r="1814" ht="14.25" customHeight="1">
      <c r="B1814" s="124"/>
      <c r="C1814" s="99"/>
      <c r="D1814" s="99"/>
      <c r="E1814" s="130"/>
      <c r="F1814" s="3"/>
      <c r="G1814" s="130"/>
      <c r="H1814" s="3"/>
    </row>
    <row r="1815" ht="14.25" customHeight="1">
      <c r="B1815" s="124"/>
      <c r="C1815" s="99"/>
      <c r="D1815" s="99"/>
      <c r="E1815" s="130"/>
      <c r="F1815" s="3"/>
      <c r="G1815" s="130"/>
      <c r="H1815" s="3"/>
    </row>
    <row r="1816" ht="14.25" customHeight="1">
      <c r="B1816" s="124"/>
      <c r="C1816" s="99"/>
      <c r="D1816" s="99"/>
      <c r="E1816" s="130"/>
      <c r="F1816" s="3"/>
      <c r="G1816" s="130"/>
      <c r="H1816" s="3"/>
    </row>
    <row r="1817" ht="14.25" customHeight="1">
      <c r="B1817" s="124"/>
      <c r="C1817" s="99"/>
      <c r="D1817" s="99"/>
      <c r="E1817" s="130"/>
      <c r="F1817" s="3"/>
      <c r="G1817" s="130"/>
      <c r="H1817" s="3"/>
    </row>
    <row r="1818" ht="14.25" customHeight="1">
      <c r="B1818" s="124"/>
      <c r="C1818" s="99"/>
      <c r="D1818" s="99"/>
      <c r="E1818" s="130"/>
      <c r="F1818" s="3"/>
      <c r="G1818" s="130"/>
      <c r="H1818" s="3"/>
    </row>
    <row r="1819" ht="14.25" customHeight="1">
      <c r="B1819" s="124"/>
      <c r="C1819" s="99"/>
      <c r="D1819" s="99"/>
      <c r="E1819" s="130"/>
      <c r="F1819" s="3"/>
      <c r="G1819" s="130"/>
      <c r="H1819" s="3"/>
    </row>
    <row r="1820" ht="14.25" customHeight="1">
      <c r="B1820" s="124"/>
      <c r="C1820" s="99"/>
      <c r="D1820" s="99"/>
      <c r="E1820" s="130"/>
      <c r="F1820" s="3"/>
      <c r="G1820" s="130"/>
      <c r="H1820" s="3"/>
    </row>
    <row r="1821" ht="14.25" customHeight="1">
      <c r="B1821" s="124"/>
      <c r="C1821" s="99"/>
      <c r="D1821" s="99"/>
      <c r="E1821" s="130"/>
      <c r="F1821" s="3"/>
      <c r="G1821" s="130"/>
      <c r="H1821" s="3"/>
    </row>
    <row r="1822" ht="14.25" customHeight="1">
      <c r="B1822" s="124"/>
      <c r="C1822" s="99"/>
      <c r="D1822" s="99"/>
      <c r="E1822" s="130"/>
      <c r="F1822" s="3"/>
      <c r="G1822" s="130"/>
      <c r="H1822" s="3"/>
    </row>
    <row r="1823" ht="14.25" customHeight="1">
      <c r="B1823" s="124"/>
      <c r="C1823" s="99"/>
      <c r="D1823" s="99"/>
      <c r="E1823" s="130"/>
      <c r="F1823" s="3"/>
      <c r="G1823" s="130"/>
      <c r="H1823" s="3"/>
    </row>
    <row r="1824" ht="14.25" customHeight="1">
      <c r="B1824" s="124"/>
      <c r="C1824" s="99"/>
      <c r="D1824" s="99"/>
      <c r="E1824" s="130"/>
      <c r="F1824" s="3"/>
      <c r="G1824" s="130"/>
      <c r="H1824" s="3"/>
    </row>
    <row r="1825" ht="14.25" customHeight="1">
      <c r="B1825" s="124"/>
      <c r="C1825" s="99"/>
      <c r="D1825" s="99"/>
      <c r="E1825" s="130"/>
      <c r="F1825" s="3"/>
      <c r="G1825" s="130"/>
      <c r="H1825" s="3"/>
    </row>
    <row r="1826" ht="14.25" customHeight="1">
      <c r="B1826" s="124"/>
      <c r="C1826" s="99"/>
      <c r="D1826" s="99"/>
      <c r="E1826" s="130"/>
      <c r="F1826" s="3"/>
      <c r="G1826" s="130"/>
      <c r="H1826" s="3"/>
    </row>
    <row r="1827" ht="14.25" customHeight="1">
      <c r="B1827" s="124"/>
      <c r="C1827" s="99"/>
      <c r="D1827" s="99"/>
      <c r="E1827" s="130"/>
      <c r="F1827" s="3"/>
      <c r="G1827" s="130"/>
      <c r="H1827" s="3"/>
    </row>
    <row r="1828" ht="14.25" customHeight="1">
      <c r="B1828" s="124"/>
      <c r="C1828" s="99"/>
      <c r="D1828" s="99"/>
      <c r="E1828" s="130"/>
      <c r="F1828" s="3"/>
      <c r="G1828" s="130"/>
      <c r="H1828" s="3"/>
    </row>
    <row r="1829" ht="14.25" customHeight="1">
      <c r="B1829" s="124"/>
      <c r="C1829" s="99"/>
      <c r="D1829" s="99"/>
      <c r="E1829" s="130"/>
      <c r="F1829" s="3"/>
      <c r="G1829" s="130"/>
      <c r="H1829" s="3"/>
    </row>
    <row r="1830" ht="14.25" customHeight="1">
      <c r="B1830" s="124"/>
      <c r="C1830" s="99"/>
      <c r="D1830" s="99"/>
      <c r="E1830" s="130"/>
      <c r="F1830" s="3"/>
      <c r="G1830" s="130"/>
      <c r="H1830" s="3"/>
    </row>
    <row r="1831" ht="14.25" customHeight="1">
      <c r="B1831" s="124"/>
      <c r="C1831" s="99"/>
      <c r="D1831" s="99"/>
      <c r="E1831" s="130"/>
      <c r="F1831" s="3"/>
      <c r="G1831" s="130"/>
      <c r="H1831" s="3"/>
    </row>
    <row r="1832" ht="14.25" customHeight="1">
      <c r="B1832" s="124"/>
      <c r="C1832" s="99"/>
      <c r="D1832" s="99"/>
      <c r="E1832" s="130"/>
      <c r="F1832" s="3"/>
      <c r="G1832" s="130"/>
      <c r="H1832" s="3"/>
    </row>
    <row r="1833" ht="14.25" customHeight="1">
      <c r="B1833" s="124"/>
      <c r="C1833" s="99"/>
      <c r="D1833" s="99"/>
      <c r="E1833" s="130"/>
      <c r="F1833" s="3"/>
      <c r="G1833" s="130"/>
      <c r="H1833" s="3"/>
    </row>
    <row r="1834" ht="14.25" customHeight="1">
      <c r="B1834" s="124"/>
      <c r="C1834" s="99"/>
      <c r="D1834" s="99"/>
      <c r="E1834" s="130"/>
      <c r="F1834" s="3"/>
      <c r="G1834" s="130"/>
      <c r="H1834" s="3"/>
    </row>
    <row r="1835" ht="14.25" customHeight="1">
      <c r="B1835" s="124"/>
      <c r="C1835" s="99"/>
      <c r="D1835" s="99"/>
      <c r="E1835" s="130"/>
      <c r="F1835" s="3"/>
      <c r="G1835" s="130"/>
      <c r="H1835" s="3"/>
    </row>
    <row r="1836" ht="14.25" customHeight="1">
      <c r="B1836" s="124"/>
      <c r="C1836" s="99"/>
      <c r="D1836" s="99"/>
      <c r="E1836" s="130"/>
      <c r="F1836" s="3"/>
      <c r="G1836" s="130"/>
      <c r="H1836" s="3"/>
    </row>
    <row r="1837" ht="14.25" customHeight="1">
      <c r="B1837" s="124"/>
      <c r="C1837" s="99"/>
      <c r="D1837" s="99"/>
      <c r="E1837" s="130"/>
      <c r="F1837" s="3"/>
      <c r="G1837" s="130"/>
      <c r="H1837" s="3"/>
    </row>
    <row r="1838" ht="14.25" customHeight="1">
      <c r="B1838" s="124"/>
      <c r="C1838" s="99"/>
      <c r="D1838" s="99"/>
      <c r="E1838" s="130"/>
      <c r="F1838" s="3"/>
      <c r="G1838" s="130"/>
      <c r="H1838" s="3"/>
    </row>
    <row r="1839" ht="14.25" customHeight="1">
      <c r="B1839" s="124"/>
      <c r="C1839" s="99"/>
      <c r="D1839" s="99"/>
      <c r="E1839" s="130"/>
      <c r="F1839" s="3"/>
      <c r="G1839" s="130"/>
      <c r="H1839" s="3"/>
    </row>
    <row r="1840" ht="14.25" customHeight="1">
      <c r="B1840" s="124"/>
      <c r="C1840" s="99"/>
      <c r="D1840" s="99"/>
      <c r="E1840" s="130"/>
      <c r="F1840" s="3"/>
      <c r="G1840" s="130"/>
      <c r="H1840" s="3"/>
    </row>
    <row r="1841" ht="14.25" customHeight="1">
      <c r="B1841" s="124"/>
      <c r="C1841" s="99"/>
      <c r="D1841" s="99"/>
      <c r="E1841" s="130"/>
      <c r="F1841" s="3"/>
      <c r="G1841" s="130"/>
      <c r="H1841" s="3"/>
    </row>
    <row r="1842" ht="14.25" customHeight="1">
      <c r="B1842" s="124"/>
      <c r="C1842" s="99"/>
      <c r="D1842" s="99"/>
      <c r="E1842" s="130"/>
      <c r="F1842" s="3"/>
      <c r="G1842" s="130"/>
      <c r="H1842" s="3"/>
    </row>
    <row r="1843" ht="14.25" customHeight="1">
      <c r="B1843" s="124"/>
      <c r="C1843" s="99"/>
      <c r="D1843" s="99"/>
      <c r="E1843" s="130"/>
      <c r="F1843" s="3"/>
      <c r="G1843" s="130"/>
      <c r="H1843" s="3"/>
    </row>
    <row r="1844" ht="14.25" customHeight="1">
      <c r="B1844" s="124"/>
      <c r="C1844" s="99"/>
      <c r="D1844" s="99"/>
      <c r="E1844" s="130"/>
      <c r="F1844" s="3"/>
      <c r="G1844" s="130"/>
      <c r="H1844" s="3"/>
    </row>
    <row r="1845" ht="14.25" customHeight="1">
      <c r="B1845" s="124"/>
      <c r="C1845" s="99"/>
      <c r="D1845" s="99"/>
      <c r="E1845" s="130"/>
      <c r="F1845" s="3"/>
      <c r="G1845" s="130"/>
      <c r="H1845" s="3"/>
    </row>
    <row r="1846" ht="14.25" customHeight="1">
      <c r="B1846" s="124"/>
      <c r="C1846" s="99"/>
      <c r="D1846" s="99"/>
      <c r="E1846" s="130"/>
      <c r="F1846" s="3"/>
      <c r="G1846" s="130"/>
      <c r="H1846" s="3"/>
    </row>
    <row r="1847" ht="14.25" customHeight="1">
      <c r="B1847" s="124"/>
      <c r="C1847" s="99"/>
      <c r="D1847" s="99"/>
      <c r="E1847" s="130"/>
      <c r="F1847" s="3"/>
      <c r="G1847" s="130"/>
      <c r="H1847" s="3"/>
    </row>
    <row r="1848" ht="14.25" customHeight="1">
      <c r="B1848" s="124"/>
      <c r="C1848" s="99"/>
      <c r="D1848" s="99"/>
      <c r="E1848" s="130"/>
      <c r="F1848" s="3"/>
      <c r="G1848" s="130"/>
      <c r="H1848" s="3"/>
    </row>
    <row r="1849" ht="14.25" customHeight="1">
      <c r="B1849" s="124"/>
      <c r="C1849" s="99"/>
      <c r="D1849" s="99"/>
      <c r="E1849" s="130"/>
      <c r="F1849" s="3"/>
      <c r="G1849" s="130"/>
      <c r="H1849" s="3"/>
    </row>
    <row r="1850" ht="14.25" customHeight="1">
      <c r="B1850" s="124"/>
      <c r="C1850" s="99"/>
      <c r="D1850" s="99"/>
      <c r="E1850" s="130"/>
      <c r="F1850" s="3"/>
      <c r="G1850" s="130"/>
      <c r="H1850" s="3"/>
    </row>
    <row r="1851" ht="14.25" customHeight="1">
      <c r="B1851" s="124"/>
      <c r="C1851" s="99"/>
      <c r="D1851" s="99"/>
      <c r="E1851" s="130"/>
      <c r="F1851" s="3"/>
      <c r="G1851" s="130"/>
      <c r="H1851" s="3"/>
    </row>
    <row r="1852" ht="14.25" customHeight="1">
      <c r="B1852" s="124"/>
      <c r="C1852" s="99"/>
      <c r="D1852" s="99"/>
      <c r="E1852" s="130"/>
      <c r="F1852" s="3"/>
      <c r="G1852" s="130"/>
      <c r="H1852" s="3"/>
    </row>
    <row r="1853" ht="14.25" customHeight="1">
      <c r="B1853" s="124"/>
      <c r="C1853" s="99"/>
      <c r="D1853" s="99"/>
      <c r="E1853" s="130"/>
      <c r="F1853" s="3"/>
      <c r="G1853" s="130"/>
      <c r="H1853" s="3"/>
    </row>
    <row r="1854" ht="14.25" customHeight="1">
      <c r="B1854" s="124"/>
      <c r="C1854" s="99"/>
      <c r="D1854" s="99"/>
      <c r="E1854" s="130"/>
      <c r="F1854" s="3"/>
      <c r="G1854" s="130"/>
      <c r="H1854" s="3"/>
    </row>
    <row r="1855" ht="14.25" customHeight="1">
      <c r="B1855" s="124"/>
      <c r="C1855" s="99"/>
      <c r="D1855" s="99"/>
      <c r="E1855" s="130"/>
      <c r="F1855" s="3"/>
      <c r="G1855" s="130"/>
      <c r="H1855" s="3"/>
    </row>
    <row r="1856" ht="14.25" customHeight="1">
      <c r="B1856" s="124"/>
      <c r="C1856" s="99"/>
      <c r="D1856" s="99"/>
      <c r="E1856" s="130"/>
      <c r="F1856" s="3"/>
      <c r="G1856" s="130"/>
      <c r="H1856" s="3"/>
    </row>
    <row r="1857" ht="14.25" customHeight="1">
      <c r="B1857" s="124"/>
      <c r="C1857" s="99"/>
      <c r="D1857" s="99"/>
      <c r="E1857" s="130"/>
      <c r="F1857" s="3"/>
      <c r="G1857" s="130"/>
      <c r="H1857" s="3"/>
    </row>
    <row r="1858" ht="14.25" customHeight="1">
      <c r="B1858" s="124"/>
      <c r="C1858" s="99"/>
      <c r="D1858" s="99"/>
      <c r="E1858" s="130"/>
      <c r="F1858" s="3"/>
      <c r="G1858" s="130"/>
      <c r="H1858" s="3"/>
    </row>
    <row r="1859" ht="14.25" customHeight="1">
      <c r="B1859" s="124"/>
      <c r="C1859" s="99"/>
      <c r="D1859" s="99"/>
      <c r="E1859" s="130"/>
      <c r="F1859" s="3"/>
      <c r="G1859" s="130"/>
      <c r="H1859" s="3"/>
    </row>
    <row r="1860" ht="14.25" customHeight="1">
      <c r="B1860" s="124"/>
      <c r="C1860" s="99"/>
      <c r="D1860" s="99"/>
      <c r="E1860" s="130"/>
      <c r="F1860" s="3"/>
      <c r="G1860" s="130"/>
      <c r="H1860" s="3"/>
    </row>
    <row r="1861" ht="14.25" customHeight="1">
      <c r="B1861" s="124"/>
      <c r="C1861" s="99"/>
      <c r="D1861" s="99"/>
      <c r="E1861" s="130"/>
      <c r="F1861" s="3"/>
      <c r="G1861" s="130"/>
      <c r="H1861" s="3"/>
    </row>
    <row r="1862" ht="14.25" customHeight="1">
      <c r="B1862" s="124"/>
      <c r="C1862" s="99"/>
      <c r="D1862" s="99"/>
      <c r="E1862" s="130"/>
      <c r="F1862" s="3"/>
      <c r="G1862" s="130"/>
      <c r="H1862" s="3"/>
    </row>
    <row r="1863" ht="14.25" customHeight="1">
      <c r="B1863" s="124"/>
      <c r="C1863" s="99"/>
      <c r="D1863" s="99"/>
      <c r="E1863" s="130"/>
      <c r="F1863" s="3"/>
      <c r="G1863" s="130"/>
      <c r="H1863" s="3"/>
    </row>
    <row r="1864" ht="14.25" customHeight="1">
      <c r="B1864" s="124"/>
      <c r="C1864" s="99"/>
      <c r="D1864" s="99"/>
      <c r="E1864" s="130"/>
      <c r="F1864" s="3"/>
      <c r="G1864" s="130"/>
      <c r="H1864" s="3"/>
    </row>
    <row r="1865" ht="14.25" customHeight="1">
      <c r="B1865" s="124"/>
      <c r="C1865" s="99"/>
      <c r="D1865" s="99"/>
      <c r="E1865" s="130"/>
      <c r="F1865" s="3"/>
      <c r="G1865" s="130"/>
      <c r="H1865" s="3"/>
    </row>
    <row r="1866" ht="14.25" customHeight="1">
      <c r="B1866" s="124"/>
      <c r="C1866" s="99"/>
      <c r="D1866" s="99"/>
      <c r="E1866" s="130"/>
      <c r="F1866" s="3"/>
      <c r="G1866" s="130"/>
      <c r="H1866" s="3"/>
    </row>
    <row r="1867" ht="14.25" customHeight="1">
      <c r="B1867" s="124"/>
      <c r="C1867" s="99"/>
      <c r="D1867" s="99"/>
      <c r="E1867" s="130"/>
      <c r="F1867" s="3"/>
      <c r="G1867" s="130"/>
      <c r="H1867" s="3"/>
    </row>
    <row r="1868" ht="14.25" customHeight="1">
      <c r="B1868" s="124"/>
      <c r="C1868" s="99"/>
      <c r="D1868" s="99"/>
      <c r="E1868" s="130"/>
      <c r="F1868" s="3"/>
      <c r="G1868" s="130"/>
      <c r="H1868" s="3"/>
    </row>
    <row r="1869" ht="14.25" customHeight="1">
      <c r="B1869" s="124"/>
      <c r="C1869" s="99"/>
      <c r="D1869" s="99"/>
      <c r="E1869" s="130"/>
      <c r="F1869" s="3"/>
      <c r="G1869" s="130"/>
      <c r="H1869" s="3"/>
    </row>
    <row r="1870" ht="14.25" customHeight="1">
      <c r="B1870" s="124"/>
      <c r="C1870" s="99"/>
      <c r="D1870" s="99"/>
      <c r="E1870" s="130"/>
      <c r="F1870" s="3"/>
      <c r="G1870" s="130"/>
      <c r="H1870" s="3"/>
    </row>
    <row r="1871" ht="14.25" customHeight="1">
      <c r="B1871" s="124"/>
      <c r="C1871" s="99"/>
      <c r="D1871" s="99"/>
      <c r="E1871" s="130"/>
      <c r="F1871" s="3"/>
      <c r="G1871" s="130"/>
      <c r="H1871" s="3"/>
    </row>
    <row r="1872" ht="14.25" customHeight="1">
      <c r="B1872" s="124"/>
      <c r="C1872" s="99"/>
      <c r="D1872" s="99"/>
      <c r="E1872" s="130"/>
      <c r="F1872" s="3"/>
      <c r="G1872" s="130"/>
      <c r="H1872" s="3"/>
    </row>
    <row r="1873" ht="14.25" customHeight="1">
      <c r="B1873" s="124"/>
      <c r="C1873" s="99"/>
      <c r="D1873" s="99"/>
      <c r="E1873" s="130"/>
      <c r="F1873" s="3"/>
      <c r="G1873" s="130"/>
      <c r="H1873" s="3"/>
    </row>
    <row r="1874" ht="14.25" customHeight="1">
      <c r="B1874" s="124"/>
      <c r="C1874" s="99"/>
      <c r="D1874" s="99"/>
      <c r="E1874" s="130"/>
      <c r="F1874" s="3"/>
      <c r="G1874" s="130"/>
      <c r="H1874" s="3"/>
    </row>
    <row r="1875" ht="14.25" customHeight="1">
      <c r="B1875" s="124"/>
      <c r="C1875" s="99"/>
      <c r="D1875" s="99"/>
      <c r="E1875" s="130"/>
      <c r="F1875" s="3"/>
      <c r="G1875" s="130"/>
      <c r="H1875" s="3"/>
    </row>
    <row r="1876" ht="14.25" customHeight="1">
      <c r="B1876" s="124"/>
      <c r="C1876" s="99"/>
      <c r="D1876" s="99"/>
      <c r="E1876" s="130"/>
      <c r="F1876" s="3"/>
      <c r="G1876" s="130"/>
      <c r="H1876" s="3"/>
    </row>
    <row r="1877" ht="14.25" customHeight="1">
      <c r="B1877" s="124"/>
      <c r="C1877" s="99"/>
      <c r="D1877" s="99"/>
      <c r="E1877" s="130"/>
      <c r="F1877" s="3"/>
      <c r="G1877" s="130"/>
      <c r="H1877" s="3"/>
    </row>
    <row r="1878" ht="14.25" customHeight="1">
      <c r="B1878" s="124"/>
      <c r="C1878" s="99"/>
      <c r="D1878" s="99"/>
      <c r="E1878" s="130"/>
      <c r="F1878" s="3"/>
      <c r="G1878" s="130"/>
      <c r="H1878" s="3"/>
    </row>
    <row r="1879" ht="14.25" customHeight="1">
      <c r="B1879" s="124"/>
      <c r="C1879" s="99"/>
      <c r="D1879" s="99"/>
      <c r="E1879" s="130"/>
      <c r="F1879" s="3"/>
      <c r="G1879" s="130"/>
      <c r="H1879" s="3"/>
    </row>
    <row r="1880" ht="14.25" customHeight="1">
      <c r="B1880" s="124"/>
      <c r="C1880" s="99"/>
      <c r="D1880" s="99"/>
      <c r="E1880" s="130"/>
      <c r="F1880" s="3"/>
      <c r="G1880" s="130"/>
      <c r="H1880" s="3"/>
    </row>
    <row r="1881" ht="14.25" customHeight="1">
      <c r="B1881" s="124"/>
      <c r="C1881" s="99"/>
      <c r="D1881" s="99"/>
      <c r="E1881" s="130"/>
      <c r="F1881" s="3"/>
      <c r="G1881" s="130"/>
      <c r="H1881" s="3"/>
    </row>
    <row r="1882" ht="14.25" customHeight="1">
      <c r="B1882" s="124"/>
      <c r="C1882" s="99"/>
      <c r="D1882" s="99"/>
      <c r="E1882" s="130"/>
      <c r="F1882" s="3"/>
      <c r="G1882" s="130"/>
      <c r="H1882" s="3"/>
    </row>
    <row r="1883" ht="14.25" customHeight="1">
      <c r="B1883" s="124"/>
      <c r="C1883" s="99"/>
      <c r="D1883" s="99"/>
      <c r="E1883" s="130"/>
      <c r="F1883" s="3"/>
      <c r="G1883" s="130"/>
      <c r="H1883" s="3"/>
    </row>
    <row r="1884" ht="14.25" customHeight="1">
      <c r="B1884" s="124"/>
      <c r="C1884" s="99"/>
      <c r="D1884" s="99"/>
      <c r="E1884" s="130"/>
      <c r="F1884" s="3"/>
      <c r="G1884" s="130"/>
      <c r="H1884" s="3"/>
    </row>
    <row r="1885" ht="14.25" customHeight="1">
      <c r="B1885" s="124"/>
      <c r="C1885" s="99"/>
      <c r="D1885" s="99"/>
      <c r="E1885" s="130"/>
      <c r="F1885" s="3"/>
      <c r="G1885" s="130"/>
      <c r="H1885" s="3"/>
    </row>
    <row r="1886" ht="14.25" customHeight="1">
      <c r="B1886" s="124"/>
      <c r="C1886" s="99"/>
      <c r="D1886" s="99"/>
      <c r="E1886" s="130"/>
      <c r="F1886" s="3"/>
      <c r="G1886" s="130"/>
      <c r="H1886" s="3"/>
    </row>
    <row r="1887" ht="14.25" customHeight="1">
      <c r="B1887" s="124"/>
      <c r="C1887" s="99"/>
      <c r="D1887" s="99"/>
      <c r="E1887" s="130"/>
      <c r="F1887" s="3"/>
      <c r="G1887" s="130"/>
      <c r="H1887" s="3"/>
    </row>
    <row r="1888" ht="14.25" customHeight="1">
      <c r="B1888" s="124"/>
      <c r="C1888" s="99"/>
      <c r="D1888" s="99"/>
      <c r="E1888" s="130"/>
      <c r="F1888" s="3"/>
      <c r="G1888" s="130"/>
      <c r="H1888" s="3"/>
    </row>
    <row r="1889" ht="14.25" customHeight="1">
      <c r="B1889" s="124"/>
      <c r="C1889" s="99"/>
      <c r="D1889" s="99"/>
      <c r="E1889" s="130"/>
      <c r="F1889" s="3"/>
      <c r="G1889" s="130"/>
      <c r="H1889" s="3"/>
    </row>
    <row r="1890" ht="14.25" customHeight="1">
      <c r="B1890" s="124"/>
      <c r="C1890" s="99"/>
      <c r="D1890" s="99"/>
      <c r="E1890" s="130"/>
      <c r="F1890" s="3"/>
      <c r="G1890" s="130"/>
      <c r="H1890" s="3"/>
    </row>
    <row r="1891" ht="14.25" customHeight="1">
      <c r="B1891" s="124"/>
      <c r="C1891" s="99"/>
      <c r="D1891" s="99"/>
      <c r="E1891" s="130"/>
      <c r="F1891" s="3"/>
      <c r="G1891" s="130"/>
      <c r="H1891" s="3"/>
    </row>
    <row r="1892" ht="14.25" customHeight="1">
      <c r="B1892" s="124"/>
      <c r="C1892" s="99"/>
      <c r="D1892" s="99"/>
      <c r="E1892" s="130"/>
      <c r="F1892" s="3"/>
      <c r="G1892" s="130"/>
      <c r="H1892" s="3"/>
    </row>
    <row r="1893" ht="14.25" customHeight="1">
      <c r="B1893" s="124"/>
      <c r="C1893" s="99"/>
      <c r="D1893" s="99"/>
      <c r="E1893" s="130"/>
      <c r="F1893" s="3"/>
      <c r="G1893" s="130"/>
      <c r="H1893" s="3"/>
    </row>
    <row r="1894" ht="14.25" customHeight="1">
      <c r="B1894" s="124"/>
      <c r="C1894" s="99"/>
      <c r="D1894" s="99"/>
      <c r="E1894" s="130"/>
      <c r="F1894" s="3"/>
      <c r="G1894" s="130"/>
      <c r="H1894" s="3"/>
    </row>
    <row r="1895" ht="14.25" customHeight="1">
      <c r="B1895" s="124"/>
      <c r="C1895" s="99"/>
      <c r="D1895" s="99"/>
      <c r="E1895" s="130"/>
      <c r="F1895" s="3"/>
      <c r="G1895" s="130"/>
      <c r="H1895" s="3"/>
    </row>
    <row r="1896" ht="14.25" customHeight="1">
      <c r="B1896" s="124"/>
      <c r="C1896" s="99"/>
      <c r="D1896" s="99"/>
      <c r="E1896" s="130"/>
      <c r="F1896" s="3"/>
      <c r="G1896" s="130"/>
      <c r="H1896" s="3"/>
    </row>
    <row r="1897" ht="14.25" customHeight="1">
      <c r="B1897" s="124"/>
      <c r="C1897" s="99"/>
      <c r="D1897" s="99"/>
      <c r="E1897" s="130"/>
      <c r="F1897" s="3"/>
      <c r="G1897" s="130"/>
      <c r="H1897" s="3"/>
    </row>
    <row r="1898" ht="14.25" customHeight="1">
      <c r="B1898" s="124"/>
      <c r="C1898" s="99"/>
      <c r="D1898" s="99"/>
      <c r="E1898" s="130"/>
      <c r="F1898" s="3"/>
      <c r="G1898" s="130"/>
      <c r="H1898" s="3"/>
    </row>
    <row r="1899" ht="14.25" customHeight="1">
      <c r="B1899" s="124"/>
      <c r="C1899" s="99"/>
      <c r="D1899" s="99"/>
      <c r="E1899" s="130"/>
      <c r="F1899" s="3"/>
      <c r="G1899" s="130"/>
      <c r="H1899" s="3"/>
    </row>
    <row r="1900" ht="14.25" customHeight="1">
      <c r="B1900" s="124"/>
      <c r="C1900" s="99"/>
      <c r="D1900" s="99"/>
      <c r="E1900" s="130"/>
      <c r="F1900" s="3"/>
      <c r="G1900" s="130"/>
      <c r="H1900" s="3"/>
    </row>
    <row r="1901" ht="14.25" customHeight="1">
      <c r="B1901" s="124"/>
      <c r="C1901" s="99"/>
      <c r="D1901" s="99"/>
      <c r="E1901" s="130"/>
      <c r="F1901" s="3"/>
      <c r="G1901" s="130"/>
      <c r="H1901" s="3"/>
    </row>
    <row r="1902" ht="14.25" customHeight="1">
      <c r="B1902" s="124"/>
      <c r="C1902" s="99"/>
      <c r="D1902" s="99"/>
      <c r="E1902" s="130"/>
      <c r="F1902" s="3"/>
      <c r="G1902" s="130"/>
      <c r="H1902" s="3"/>
    </row>
    <row r="1903" ht="14.25" customHeight="1">
      <c r="B1903" s="124"/>
      <c r="C1903" s="99"/>
      <c r="D1903" s="99"/>
      <c r="E1903" s="130"/>
      <c r="F1903" s="3"/>
      <c r="G1903" s="130"/>
      <c r="H1903" s="3"/>
    </row>
    <row r="1904" ht="14.25" customHeight="1">
      <c r="B1904" s="124"/>
      <c r="C1904" s="99"/>
      <c r="D1904" s="99"/>
      <c r="E1904" s="130"/>
      <c r="F1904" s="3"/>
      <c r="G1904" s="130"/>
      <c r="H1904" s="3"/>
    </row>
    <row r="1905" ht="14.25" customHeight="1">
      <c r="B1905" s="124"/>
      <c r="C1905" s="99"/>
      <c r="D1905" s="99"/>
      <c r="E1905" s="130"/>
      <c r="F1905" s="3"/>
      <c r="G1905" s="130"/>
      <c r="H1905" s="3"/>
    </row>
    <row r="1906" ht="14.25" customHeight="1">
      <c r="B1906" s="124"/>
      <c r="C1906" s="99"/>
      <c r="D1906" s="99"/>
      <c r="E1906" s="130"/>
      <c r="F1906" s="3"/>
      <c r="G1906" s="130"/>
      <c r="H1906" s="3"/>
    </row>
    <row r="1907" ht="14.25" customHeight="1">
      <c r="B1907" s="124"/>
      <c r="C1907" s="99"/>
      <c r="D1907" s="99"/>
      <c r="E1907" s="130"/>
      <c r="F1907" s="3"/>
      <c r="G1907" s="130"/>
      <c r="H1907" s="3"/>
    </row>
    <row r="1908" ht="14.25" customHeight="1">
      <c r="B1908" s="124"/>
      <c r="C1908" s="99"/>
      <c r="D1908" s="99"/>
      <c r="E1908" s="130"/>
      <c r="F1908" s="3"/>
      <c r="G1908" s="130"/>
      <c r="H1908" s="3"/>
    </row>
    <row r="1909" ht="14.25" customHeight="1">
      <c r="B1909" s="124"/>
      <c r="C1909" s="99"/>
      <c r="D1909" s="99"/>
      <c r="E1909" s="130"/>
      <c r="F1909" s="3"/>
      <c r="G1909" s="130"/>
      <c r="H1909" s="3"/>
    </row>
    <row r="1910" ht="14.25" customHeight="1">
      <c r="B1910" s="124"/>
      <c r="C1910" s="99"/>
      <c r="D1910" s="99"/>
      <c r="E1910" s="130"/>
      <c r="F1910" s="3"/>
      <c r="G1910" s="130"/>
      <c r="H1910" s="3"/>
    </row>
    <row r="1911" ht="14.25" customHeight="1">
      <c r="B1911" s="124"/>
      <c r="C1911" s="99"/>
      <c r="D1911" s="99"/>
      <c r="E1911" s="130"/>
      <c r="F1911" s="3"/>
      <c r="G1911" s="130"/>
      <c r="H1911" s="3"/>
    </row>
    <row r="1912" ht="14.25" customHeight="1">
      <c r="B1912" s="124"/>
      <c r="C1912" s="99"/>
      <c r="D1912" s="99"/>
      <c r="E1912" s="130"/>
      <c r="F1912" s="3"/>
      <c r="G1912" s="130"/>
      <c r="H1912" s="3"/>
    </row>
    <row r="1913" ht="14.25" customHeight="1">
      <c r="B1913" s="124"/>
      <c r="C1913" s="99"/>
      <c r="D1913" s="99"/>
      <c r="E1913" s="130"/>
      <c r="F1913" s="3"/>
      <c r="G1913" s="130"/>
      <c r="H1913" s="3"/>
    </row>
    <row r="1914" ht="14.25" customHeight="1">
      <c r="B1914" s="124"/>
      <c r="C1914" s="99"/>
      <c r="D1914" s="99"/>
      <c r="E1914" s="130"/>
      <c r="F1914" s="3"/>
      <c r="G1914" s="130"/>
      <c r="H1914" s="3"/>
    </row>
    <row r="1915" ht="14.25" customHeight="1">
      <c r="B1915" s="124"/>
      <c r="C1915" s="99"/>
      <c r="D1915" s="99"/>
      <c r="E1915" s="130"/>
      <c r="F1915" s="3"/>
      <c r="G1915" s="130"/>
      <c r="H1915" s="3"/>
    </row>
    <row r="1916" ht="14.25" customHeight="1">
      <c r="B1916" s="124"/>
      <c r="C1916" s="99"/>
      <c r="D1916" s="99"/>
      <c r="E1916" s="130"/>
      <c r="F1916" s="3"/>
      <c r="G1916" s="130"/>
      <c r="H1916" s="3"/>
    </row>
    <row r="1917" ht="14.25" customHeight="1">
      <c r="B1917" s="124"/>
      <c r="C1917" s="99"/>
      <c r="D1917" s="99"/>
      <c r="E1917" s="130"/>
      <c r="F1917" s="3"/>
      <c r="G1917" s="130"/>
      <c r="H1917" s="3"/>
    </row>
    <row r="1918" ht="14.25" customHeight="1">
      <c r="B1918" s="124"/>
      <c r="C1918" s="99"/>
      <c r="D1918" s="99"/>
      <c r="E1918" s="130"/>
      <c r="F1918" s="3"/>
      <c r="G1918" s="130"/>
      <c r="H1918" s="3"/>
    </row>
    <row r="1919" ht="14.25" customHeight="1">
      <c r="B1919" s="124"/>
      <c r="C1919" s="99"/>
      <c r="D1919" s="99"/>
      <c r="E1919" s="130"/>
      <c r="F1919" s="3"/>
      <c r="G1919" s="130"/>
      <c r="H1919" s="3"/>
    </row>
    <row r="1920" ht="14.25" customHeight="1">
      <c r="B1920" s="124"/>
      <c r="C1920" s="99"/>
      <c r="D1920" s="99"/>
      <c r="E1920" s="130"/>
      <c r="F1920" s="3"/>
      <c r="G1920" s="130"/>
      <c r="H1920" s="3"/>
    </row>
    <row r="1921" ht="14.25" customHeight="1">
      <c r="B1921" s="124"/>
      <c r="C1921" s="99"/>
      <c r="D1921" s="99"/>
      <c r="E1921" s="130"/>
      <c r="F1921" s="3"/>
      <c r="G1921" s="130"/>
      <c r="H1921" s="3"/>
    </row>
    <row r="1922" ht="14.25" customHeight="1">
      <c r="B1922" s="124"/>
      <c r="C1922" s="99"/>
      <c r="D1922" s="99"/>
      <c r="E1922" s="130"/>
      <c r="F1922" s="3"/>
      <c r="G1922" s="130"/>
      <c r="H1922" s="3"/>
    </row>
    <row r="1923" ht="14.25" customHeight="1">
      <c r="B1923" s="124"/>
      <c r="C1923" s="99"/>
      <c r="D1923" s="99"/>
      <c r="E1923" s="130"/>
      <c r="F1923" s="3"/>
      <c r="G1923" s="130"/>
      <c r="H1923" s="3"/>
    </row>
    <row r="1924" ht="14.25" customHeight="1">
      <c r="B1924" s="124"/>
      <c r="C1924" s="99"/>
      <c r="D1924" s="99"/>
      <c r="E1924" s="130"/>
      <c r="F1924" s="3"/>
      <c r="G1924" s="130"/>
      <c r="H1924" s="3"/>
    </row>
    <row r="1925" ht="14.25" customHeight="1">
      <c r="B1925" s="124"/>
      <c r="C1925" s="99"/>
      <c r="D1925" s="99"/>
      <c r="E1925" s="130"/>
      <c r="F1925" s="3"/>
      <c r="G1925" s="130"/>
      <c r="H1925" s="3"/>
    </row>
    <row r="1926" ht="14.25" customHeight="1">
      <c r="B1926" s="124"/>
      <c r="C1926" s="99"/>
      <c r="D1926" s="99"/>
      <c r="E1926" s="130"/>
      <c r="F1926" s="3"/>
      <c r="G1926" s="130"/>
      <c r="H1926" s="3"/>
    </row>
    <row r="1927" ht="14.25" customHeight="1">
      <c r="B1927" s="124"/>
      <c r="C1927" s="99"/>
      <c r="D1927" s="99"/>
      <c r="E1927" s="130"/>
      <c r="F1927" s="3"/>
      <c r="G1927" s="130"/>
      <c r="H1927" s="3"/>
    </row>
    <row r="1928" ht="14.25" customHeight="1">
      <c r="B1928" s="124"/>
      <c r="C1928" s="99"/>
      <c r="D1928" s="99"/>
      <c r="E1928" s="130"/>
      <c r="F1928" s="3"/>
      <c r="G1928" s="130"/>
      <c r="H1928" s="3"/>
    </row>
    <row r="1929" ht="14.25" customHeight="1">
      <c r="B1929" s="124"/>
      <c r="C1929" s="99"/>
      <c r="D1929" s="99"/>
      <c r="E1929" s="130"/>
      <c r="F1929" s="3"/>
      <c r="G1929" s="130"/>
      <c r="H1929" s="3"/>
    </row>
    <row r="1930" ht="14.25" customHeight="1">
      <c r="B1930" s="124"/>
      <c r="C1930" s="99"/>
      <c r="D1930" s="99"/>
      <c r="E1930" s="130"/>
      <c r="F1930" s="3"/>
      <c r="G1930" s="130"/>
      <c r="H1930" s="3"/>
    </row>
    <row r="1931" ht="14.25" customHeight="1">
      <c r="B1931" s="124"/>
      <c r="C1931" s="99"/>
      <c r="D1931" s="99"/>
      <c r="E1931" s="130"/>
      <c r="F1931" s="3"/>
      <c r="G1931" s="130"/>
      <c r="H1931" s="3"/>
    </row>
    <row r="1932" ht="14.25" customHeight="1">
      <c r="B1932" s="124"/>
      <c r="C1932" s="99"/>
      <c r="D1932" s="99"/>
      <c r="E1932" s="130"/>
      <c r="F1932" s="3"/>
      <c r="G1932" s="130"/>
      <c r="H1932" s="3"/>
    </row>
    <row r="1933" ht="14.25" customHeight="1">
      <c r="B1933" s="124"/>
      <c r="C1933" s="99"/>
      <c r="D1933" s="99"/>
      <c r="E1933" s="130"/>
      <c r="F1933" s="3"/>
      <c r="G1933" s="130"/>
      <c r="H1933" s="3"/>
    </row>
    <row r="1934" ht="14.25" customHeight="1">
      <c r="B1934" s="124"/>
      <c r="C1934" s="99"/>
      <c r="D1934" s="99"/>
      <c r="E1934" s="130"/>
      <c r="F1934" s="3"/>
      <c r="G1934" s="130"/>
      <c r="H1934" s="3"/>
    </row>
    <row r="1935" ht="14.25" customHeight="1">
      <c r="B1935" s="124"/>
      <c r="C1935" s="99"/>
      <c r="D1935" s="99"/>
      <c r="E1935" s="130"/>
      <c r="F1935" s="3"/>
      <c r="G1935" s="130"/>
      <c r="H1935" s="3"/>
    </row>
    <row r="1936" ht="14.25" customHeight="1">
      <c r="B1936" s="124"/>
      <c r="C1936" s="99"/>
      <c r="D1936" s="99"/>
      <c r="E1936" s="130"/>
      <c r="F1936" s="3"/>
      <c r="G1936" s="130"/>
      <c r="H1936" s="3"/>
    </row>
    <row r="1937" ht="14.25" customHeight="1">
      <c r="B1937" s="124"/>
      <c r="C1937" s="99"/>
      <c r="D1937" s="99"/>
      <c r="E1937" s="130"/>
      <c r="F1937" s="3"/>
      <c r="G1937" s="130"/>
      <c r="H1937" s="3"/>
    </row>
    <row r="1938" ht="14.25" customHeight="1">
      <c r="B1938" s="124"/>
      <c r="C1938" s="99"/>
      <c r="D1938" s="99"/>
      <c r="E1938" s="130"/>
      <c r="F1938" s="3"/>
      <c r="G1938" s="130"/>
      <c r="H1938" s="3"/>
    </row>
    <row r="1939" ht="14.25" customHeight="1">
      <c r="B1939" s="124"/>
      <c r="C1939" s="99"/>
      <c r="D1939" s="99"/>
      <c r="E1939" s="130"/>
      <c r="F1939" s="3"/>
      <c r="G1939" s="130"/>
      <c r="H1939" s="3"/>
    </row>
    <row r="1940" ht="14.25" customHeight="1">
      <c r="B1940" s="124"/>
      <c r="C1940" s="99"/>
      <c r="D1940" s="99"/>
      <c r="E1940" s="130"/>
      <c r="F1940" s="3"/>
      <c r="G1940" s="130"/>
      <c r="H1940" s="3"/>
    </row>
    <row r="1941" ht="14.25" customHeight="1">
      <c r="B1941" s="124"/>
      <c r="C1941" s="99"/>
      <c r="D1941" s="99"/>
      <c r="E1941" s="130"/>
      <c r="F1941" s="3"/>
      <c r="G1941" s="130"/>
      <c r="H1941" s="3"/>
    </row>
    <row r="1942" ht="14.25" customHeight="1">
      <c r="B1942" s="124"/>
      <c r="C1942" s="99"/>
      <c r="D1942" s="99"/>
      <c r="E1942" s="130"/>
      <c r="F1942" s="3"/>
      <c r="G1942" s="130"/>
      <c r="H1942" s="3"/>
    </row>
    <row r="1943" ht="14.25" customHeight="1">
      <c r="B1943" s="124"/>
      <c r="C1943" s="99"/>
      <c r="D1943" s="99"/>
      <c r="E1943" s="130"/>
      <c r="F1943" s="3"/>
      <c r="G1943" s="130"/>
      <c r="H1943" s="3"/>
    </row>
    <row r="1944" ht="14.25" customHeight="1">
      <c r="B1944" s="124"/>
      <c r="C1944" s="99"/>
      <c r="D1944" s="99"/>
      <c r="E1944" s="130"/>
      <c r="F1944" s="3"/>
      <c r="G1944" s="130"/>
      <c r="H1944" s="3"/>
    </row>
    <row r="1945" ht="14.25" customHeight="1">
      <c r="B1945" s="124"/>
      <c r="C1945" s="99"/>
      <c r="D1945" s="99"/>
      <c r="E1945" s="130"/>
      <c r="F1945" s="3"/>
      <c r="G1945" s="130"/>
      <c r="H1945" s="3"/>
    </row>
    <row r="1946" ht="14.25" customHeight="1">
      <c r="B1946" s="124"/>
      <c r="C1946" s="99"/>
      <c r="D1946" s="99"/>
      <c r="E1946" s="130"/>
      <c r="F1946" s="3"/>
      <c r="G1946" s="130"/>
      <c r="H1946" s="3"/>
    </row>
    <row r="1947" ht="14.25" customHeight="1">
      <c r="B1947" s="124"/>
      <c r="C1947" s="99"/>
      <c r="D1947" s="99"/>
      <c r="E1947" s="130"/>
      <c r="F1947" s="3"/>
      <c r="G1947" s="130"/>
      <c r="H1947" s="3"/>
    </row>
    <row r="1948" ht="14.25" customHeight="1">
      <c r="B1948" s="124"/>
      <c r="C1948" s="99"/>
      <c r="D1948" s="99"/>
      <c r="E1948" s="130"/>
      <c r="F1948" s="3"/>
      <c r="G1948" s="130"/>
      <c r="H1948" s="3"/>
    </row>
    <row r="1949" ht="14.25" customHeight="1">
      <c r="B1949" s="124"/>
      <c r="C1949" s="99"/>
      <c r="D1949" s="99"/>
      <c r="E1949" s="130"/>
      <c r="F1949" s="3"/>
      <c r="G1949" s="130"/>
      <c r="H1949" s="3"/>
    </row>
    <row r="1950" ht="14.25" customHeight="1">
      <c r="B1950" s="124"/>
      <c r="C1950" s="99"/>
      <c r="D1950" s="99"/>
      <c r="E1950" s="130"/>
      <c r="F1950" s="3"/>
      <c r="G1950" s="130"/>
      <c r="H1950" s="3"/>
    </row>
    <row r="1951" ht="14.25" customHeight="1">
      <c r="B1951" s="124"/>
      <c r="C1951" s="99"/>
      <c r="D1951" s="99"/>
      <c r="E1951" s="130"/>
      <c r="F1951" s="3"/>
      <c r="G1951" s="130"/>
      <c r="H1951" s="3"/>
    </row>
    <row r="1952" ht="14.25" customHeight="1">
      <c r="B1952" s="124"/>
      <c r="C1952" s="99"/>
      <c r="D1952" s="99"/>
      <c r="E1952" s="130"/>
      <c r="F1952" s="3"/>
      <c r="G1952" s="130"/>
      <c r="H1952" s="3"/>
    </row>
    <row r="1953" ht="14.25" customHeight="1">
      <c r="B1953" s="124"/>
      <c r="C1953" s="99"/>
      <c r="D1953" s="99"/>
      <c r="E1953" s="130"/>
      <c r="F1953" s="3"/>
      <c r="G1953" s="130"/>
      <c r="H1953" s="3"/>
    </row>
    <row r="1954" ht="14.25" customHeight="1">
      <c r="B1954" s="124"/>
      <c r="C1954" s="99"/>
      <c r="D1954" s="99"/>
      <c r="E1954" s="130"/>
      <c r="F1954" s="3"/>
      <c r="G1954" s="130"/>
      <c r="H1954" s="3"/>
    </row>
    <row r="1955" ht="14.25" customHeight="1">
      <c r="B1955" s="124"/>
      <c r="C1955" s="99"/>
      <c r="D1955" s="99"/>
      <c r="E1955" s="130"/>
      <c r="F1955" s="3"/>
      <c r="G1955" s="130"/>
      <c r="H1955" s="3"/>
    </row>
    <row r="1956" ht="14.25" customHeight="1">
      <c r="B1956" s="124"/>
      <c r="C1956" s="99"/>
      <c r="D1956" s="99"/>
      <c r="E1956" s="130"/>
      <c r="F1956" s="3"/>
      <c r="G1956" s="130"/>
      <c r="H1956" s="3"/>
    </row>
    <row r="1957" ht="14.25" customHeight="1">
      <c r="B1957" s="124"/>
      <c r="C1957" s="99"/>
      <c r="D1957" s="99"/>
      <c r="E1957" s="130"/>
      <c r="F1957" s="3"/>
      <c r="G1957" s="130"/>
      <c r="H1957" s="3"/>
    </row>
    <row r="1958" ht="14.25" customHeight="1">
      <c r="B1958" s="124"/>
      <c r="C1958" s="99"/>
      <c r="D1958" s="99"/>
      <c r="E1958" s="130"/>
      <c r="F1958" s="3"/>
      <c r="G1958" s="130"/>
      <c r="H1958" s="3"/>
    </row>
    <row r="1959" ht="14.25" customHeight="1">
      <c r="B1959" s="124"/>
      <c r="C1959" s="99"/>
      <c r="D1959" s="99"/>
      <c r="E1959" s="130"/>
      <c r="F1959" s="3"/>
      <c r="G1959" s="130"/>
      <c r="H1959" s="3"/>
    </row>
    <row r="1960" ht="14.25" customHeight="1">
      <c r="B1960" s="124"/>
      <c r="C1960" s="99"/>
      <c r="D1960" s="99"/>
      <c r="E1960" s="130"/>
      <c r="F1960" s="3"/>
      <c r="G1960" s="130"/>
      <c r="H1960" s="3"/>
    </row>
    <row r="1961" ht="14.25" customHeight="1">
      <c r="B1961" s="124"/>
      <c r="C1961" s="99"/>
      <c r="D1961" s="99"/>
      <c r="E1961" s="130"/>
      <c r="F1961" s="3"/>
      <c r="G1961" s="130"/>
      <c r="H1961" s="3"/>
    </row>
    <row r="1962" ht="14.25" customHeight="1">
      <c r="B1962" s="124"/>
      <c r="C1962" s="99"/>
      <c r="D1962" s="99"/>
      <c r="E1962" s="130"/>
      <c r="F1962" s="3"/>
      <c r="G1962" s="130"/>
      <c r="H1962" s="3"/>
    </row>
    <row r="1963" ht="14.25" customHeight="1">
      <c r="B1963" s="124"/>
      <c r="C1963" s="99"/>
      <c r="D1963" s="99"/>
      <c r="E1963" s="130"/>
      <c r="F1963" s="3"/>
      <c r="G1963" s="130"/>
      <c r="H1963" s="3"/>
    </row>
    <row r="1964" ht="14.25" customHeight="1">
      <c r="B1964" s="124"/>
      <c r="C1964" s="99"/>
      <c r="D1964" s="99"/>
      <c r="E1964" s="130"/>
      <c r="F1964" s="3"/>
      <c r="G1964" s="130"/>
      <c r="H1964" s="3"/>
    </row>
    <row r="1965" ht="14.25" customHeight="1">
      <c r="B1965" s="124"/>
      <c r="C1965" s="99"/>
      <c r="D1965" s="99"/>
      <c r="E1965" s="130"/>
      <c r="F1965" s="3"/>
      <c r="G1965" s="130"/>
      <c r="H1965" s="3"/>
    </row>
    <row r="1966" ht="14.25" customHeight="1">
      <c r="B1966" s="124"/>
      <c r="C1966" s="99"/>
      <c r="D1966" s="99"/>
      <c r="E1966" s="130"/>
      <c r="F1966" s="3"/>
      <c r="G1966" s="130"/>
      <c r="H1966" s="3"/>
    </row>
    <row r="1967" ht="14.25" customHeight="1">
      <c r="B1967" s="124"/>
      <c r="C1967" s="99"/>
      <c r="D1967" s="99"/>
      <c r="E1967" s="130"/>
      <c r="F1967" s="3"/>
      <c r="G1967" s="130"/>
      <c r="H1967" s="3"/>
    </row>
    <row r="1968" ht="14.25" customHeight="1">
      <c r="B1968" s="124"/>
      <c r="C1968" s="99"/>
      <c r="D1968" s="99"/>
      <c r="E1968" s="130"/>
      <c r="F1968" s="3"/>
      <c r="G1968" s="130"/>
      <c r="H1968" s="3"/>
    </row>
    <row r="1969" ht="14.25" customHeight="1">
      <c r="B1969" s="124"/>
      <c r="C1969" s="99"/>
      <c r="D1969" s="99"/>
      <c r="E1969" s="130"/>
      <c r="F1969" s="3"/>
      <c r="G1969" s="130"/>
      <c r="H1969" s="3"/>
    </row>
    <row r="1970" ht="14.25" customHeight="1">
      <c r="B1970" s="124"/>
      <c r="C1970" s="99"/>
      <c r="D1970" s="99"/>
      <c r="E1970" s="130"/>
      <c r="F1970" s="3"/>
      <c r="G1970" s="130"/>
      <c r="H1970" s="3"/>
    </row>
    <row r="1971" ht="14.25" customHeight="1">
      <c r="B1971" s="124"/>
      <c r="C1971" s="99"/>
      <c r="D1971" s="99"/>
      <c r="E1971" s="130"/>
      <c r="F1971" s="3"/>
      <c r="G1971" s="130"/>
      <c r="H1971" s="3"/>
    </row>
    <row r="1972" ht="14.25" customHeight="1">
      <c r="B1972" s="124"/>
      <c r="C1972" s="99"/>
      <c r="D1972" s="99"/>
      <c r="E1972" s="130"/>
      <c r="F1972" s="3"/>
      <c r="G1972" s="130"/>
      <c r="H1972" s="3"/>
    </row>
    <row r="1973" ht="14.25" customHeight="1">
      <c r="B1973" s="124"/>
      <c r="C1973" s="99"/>
      <c r="D1973" s="99"/>
      <c r="E1973" s="130"/>
      <c r="F1973" s="3"/>
      <c r="G1973" s="130"/>
      <c r="H1973" s="3"/>
    </row>
    <row r="1974" ht="14.25" customHeight="1">
      <c r="B1974" s="124"/>
      <c r="C1974" s="99"/>
      <c r="D1974" s="99"/>
      <c r="E1974" s="130"/>
      <c r="F1974" s="3"/>
      <c r="G1974" s="130"/>
      <c r="H1974" s="3"/>
    </row>
    <row r="1975" ht="14.25" customHeight="1">
      <c r="B1975" s="124"/>
      <c r="C1975" s="99"/>
      <c r="D1975" s="99"/>
      <c r="E1975" s="130"/>
      <c r="F1975" s="3"/>
      <c r="G1975" s="130"/>
      <c r="H1975" s="3"/>
    </row>
    <row r="1976" ht="14.25" customHeight="1">
      <c r="B1976" s="124"/>
      <c r="C1976" s="99"/>
      <c r="D1976" s="99"/>
      <c r="E1976" s="130"/>
      <c r="F1976" s="3"/>
      <c r="G1976" s="130"/>
      <c r="H1976" s="3"/>
    </row>
    <row r="1977" ht="14.25" customHeight="1">
      <c r="B1977" s="124"/>
      <c r="C1977" s="99"/>
      <c r="D1977" s="99"/>
      <c r="E1977" s="130"/>
      <c r="F1977" s="3"/>
      <c r="G1977" s="130"/>
      <c r="H1977" s="3"/>
    </row>
    <row r="1978" ht="14.25" customHeight="1">
      <c r="B1978" s="124"/>
      <c r="C1978" s="99"/>
      <c r="D1978" s="99"/>
      <c r="E1978" s="130"/>
      <c r="F1978" s="3"/>
      <c r="G1978" s="130"/>
      <c r="H1978" s="3"/>
    </row>
    <row r="1979" ht="14.25" customHeight="1">
      <c r="B1979" s="124"/>
      <c r="C1979" s="99"/>
      <c r="D1979" s="99"/>
      <c r="E1979" s="130"/>
      <c r="F1979" s="3"/>
      <c r="G1979" s="130"/>
      <c r="H1979" s="3"/>
    </row>
    <row r="1980" ht="14.25" customHeight="1">
      <c r="B1980" s="124"/>
      <c r="C1980" s="99"/>
      <c r="D1980" s="99"/>
      <c r="E1980" s="130"/>
      <c r="F1980" s="3"/>
      <c r="G1980" s="130"/>
      <c r="H1980" s="3"/>
    </row>
    <row r="1981" ht="14.25" customHeight="1">
      <c r="B1981" s="124"/>
      <c r="C1981" s="99"/>
      <c r="D1981" s="99"/>
      <c r="E1981" s="130"/>
      <c r="F1981" s="3"/>
      <c r="G1981" s="130"/>
      <c r="H1981" s="3"/>
    </row>
    <row r="1982" ht="14.25" customHeight="1">
      <c r="B1982" s="124"/>
      <c r="C1982" s="99"/>
      <c r="D1982" s="99"/>
      <c r="E1982" s="130"/>
      <c r="F1982" s="3"/>
      <c r="G1982" s="130"/>
      <c r="H1982" s="3"/>
    </row>
    <row r="1983" ht="14.25" customHeight="1">
      <c r="B1983" s="124"/>
      <c r="C1983" s="99"/>
      <c r="D1983" s="99"/>
      <c r="E1983" s="130"/>
      <c r="F1983" s="3"/>
      <c r="G1983" s="130"/>
      <c r="H1983" s="3"/>
    </row>
    <row r="1984" ht="14.25" customHeight="1">
      <c r="B1984" s="124"/>
      <c r="C1984" s="99"/>
      <c r="D1984" s="99"/>
      <c r="E1984" s="130"/>
      <c r="F1984" s="3"/>
      <c r="G1984" s="130"/>
      <c r="H1984" s="3"/>
    </row>
    <row r="1985" ht="14.25" customHeight="1">
      <c r="B1985" s="124"/>
      <c r="C1985" s="99"/>
      <c r="D1985" s="99"/>
      <c r="E1985" s="130"/>
      <c r="F1985" s="3"/>
      <c r="G1985" s="130"/>
      <c r="H1985" s="3"/>
    </row>
    <row r="1986" ht="14.25" customHeight="1">
      <c r="B1986" s="124"/>
      <c r="C1986" s="99"/>
      <c r="D1986" s="99"/>
      <c r="E1986" s="130"/>
      <c r="F1986" s="3"/>
      <c r="G1986" s="130"/>
      <c r="H1986" s="3"/>
    </row>
    <row r="1987" ht="14.25" customHeight="1">
      <c r="B1987" s="124"/>
      <c r="C1987" s="99"/>
      <c r="D1987" s="99"/>
      <c r="E1987" s="130"/>
      <c r="F1987" s="3"/>
      <c r="G1987" s="130"/>
      <c r="H1987" s="3"/>
    </row>
    <row r="1988" ht="14.25" customHeight="1">
      <c r="B1988" s="124"/>
      <c r="C1988" s="99"/>
      <c r="D1988" s="99"/>
      <c r="E1988" s="130"/>
      <c r="F1988" s="3"/>
      <c r="G1988" s="130"/>
      <c r="H1988" s="3"/>
    </row>
    <row r="1989" ht="14.25" customHeight="1">
      <c r="B1989" s="124"/>
      <c r="C1989" s="99"/>
      <c r="D1989" s="99"/>
      <c r="E1989" s="130"/>
      <c r="F1989" s="3"/>
      <c r="G1989" s="130"/>
      <c r="H1989" s="3"/>
    </row>
    <row r="1990" ht="14.25" customHeight="1">
      <c r="B1990" s="124"/>
      <c r="C1990" s="99"/>
      <c r="D1990" s="99"/>
      <c r="E1990" s="130"/>
      <c r="F1990" s="3"/>
      <c r="G1990" s="130"/>
      <c r="H1990" s="3"/>
    </row>
    <row r="1991" ht="14.25" customHeight="1">
      <c r="B1991" s="124"/>
      <c r="C1991" s="99"/>
      <c r="D1991" s="99"/>
      <c r="E1991" s="130"/>
      <c r="F1991" s="3"/>
      <c r="G1991" s="130"/>
      <c r="H1991" s="3"/>
    </row>
    <row r="1992" ht="14.25" customHeight="1">
      <c r="B1992" s="124"/>
      <c r="C1992" s="99"/>
      <c r="D1992" s="99"/>
      <c r="E1992" s="130"/>
      <c r="F1992" s="3"/>
      <c r="G1992" s="130"/>
      <c r="H1992" s="3"/>
    </row>
    <row r="1993" ht="14.25" customHeight="1">
      <c r="B1993" s="124"/>
      <c r="C1993" s="99"/>
      <c r="D1993" s="99"/>
      <c r="E1993" s="130"/>
      <c r="F1993" s="3"/>
      <c r="G1993" s="130"/>
      <c r="H1993" s="3"/>
    </row>
    <row r="1994" ht="14.25" customHeight="1">
      <c r="B1994" s="124"/>
      <c r="C1994" s="99"/>
      <c r="D1994" s="99"/>
      <c r="E1994" s="130"/>
      <c r="F1994" s="3"/>
      <c r="G1994" s="130"/>
      <c r="H1994" s="3"/>
    </row>
    <row r="1995" ht="14.25" customHeight="1">
      <c r="B1995" s="124"/>
      <c r="C1995" s="99"/>
      <c r="D1995" s="99"/>
      <c r="E1995" s="130"/>
      <c r="F1995" s="3"/>
      <c r="G1995" s="130"/>
      <c r="H1995" s="3"/>
    </row>
    <row r="1996" ht="14.25" customHeight="1">
      <c r="B1996" s="124"/>
      <c r="C1996" s="99"/>
      <c r="D1996" s="99"/>
      <c r="E1996" s="130"/>
      <c r="F1996" s="3"/>
      <c r="G1996" s="130"/>
      <c r="H1996" s="3"/>
    </row>
    <row r="1997" ht="14.25" customHeight="1">
      <c r="B1997" s="124"/>
      <c r="C1997" s="99"/>
      <c r="D1997" s="99"/>
      <c r="E1997" s="130"/>
      <c r="F1997" s="3"/>
      <c r="G1997" s="130"/>
      <c r="H1997" s="3"/>
    </row>
    <row r="1998" ht="14.25" customHeight="1">
      <c r="B1998" s="124"/>
      <c r="C1998" s="99"/>
      <c r="D1998" s="99"/>
      <c r="E1998" s="130"/>
      <c r="F1998" s="3"/>
      <c r="G1998" s="130"/>
      <c r="H1998" s="3"/>
    </row>
    <row r="1999" ht="14.25" customHeight="1">
      <c r="B1999" s="124"/>
      <c r="C1999" s="99"/>
      <c r="D1999" s="99"/>
      <c r="E1999" s="130"/>
      <c r="F1999" s="3"/>
      <c r="G1999" s="130"/>
      <c r="H1999" s="3"/>
    </row>
    <row r="2000" ht="14.25" customHeight="1">
      <c r="B2000" s="124"/>
      <c r="C2000" s="99"/>
      <c r="D2000" s="99"/>
      <c r="E2000" s="130"/>
      <c r="F2000" s="3"/>
      <c r="G2000" s="130"/>
      <c r="H2000" s="3"/>
    </row>
    <row r="2001" ht="14.25" customHeight="1">
      <c r="B2001" s="124"/>
      <c r="C2001" s="99"/>
      <c r="D2001" s="99"/>
      <c r="E2001" s="130"/>
      <c r="F2001" s="3"/>
      <c r="G2001" s="130"/>
      <c r="H2001" s="3"/>
    </row>
    <row r="2002" ht="14.25" customHeight="1">
      <c r="B2002" s="124"/>
      <c r="C2002" s="99"/>
      <c r="D2002" s="99"/>
      <c r="E2002" s="130"/>
      <c r="F2002" s="3"/>
      <c r="G2002" s="130"/>
      <c r="H2002" s="3"/>
    </row>
    <row r="2003" ht="14.25" customHeight="1">
      <c r="B2003" s="124"/>
      <c r="C2003" s="99"/>
      <c r="D2003" s="99"/>
      <c r="E2003" s="130"/>
      <c r="F2003" s="3"/>
      <c r="G2003" s="130"/>
      <c r="H2003" s="3"/>
    </row>
    <row r="2004" ht="14.25" customHeight="1">
      <c r="B2004" s="124"/>
      <c r="C2004" s="99"/>
      <c r="D2004" s="99"/>
      <c r="E2004" s="130"/>
      <c r="F2004" s="3"/>
      <c r="G2004" s="130"/>
      <c r="H2004" s="3"/>
    </row>
    <row r="2005" ht="14.25" customHeight="1">
      <c r="B2005" s="124"/>
      <c r="C2005" s="99"/>
      <c r="D2005" s="99"/>
      <c r="E2005" s="130"/>
      <c r="F2005" s="3"/>
      <c r="G2005" s="130"/>
      <c r="H2005" s="3"/>
    </row>
    <row r="2006" ht="14.25" customHeight="1">
      <c r="B2006" s="124"/>
      <c r="C2006" s="99"/>
      <c r="D2006" s="99"/>
      <c r="E2006" s="130"/>
      <c r="F2006" s="3"/>
      <c r="G2006" s="130"/>
      <c r="H2006" s="3"/>
    </row>
    <row r="2007" ht="14.25" customHeight="1">
      <c r="B2007" s="124"/>
      <c r="C2007" s="99"/>
      <c r="D2007" s="99"/>
      <c r="E2007" s="130"/>
      <c r="F2007" s="3"/>
      <c r="G2007" s="130"/>
      <c r="H2007" s="3"/>
    </row>
    <row r="2008" ht="14.25" customHeight="1">
      <c r="B2008" s="124"/>
      <c r="C2008" s="99"/>
      <c r="D2008" s="99"/>
      <c r="E2008" s="130"/>
      <c r="F2008" s="3"/>
      <c r="G2008" s="130"/>
      <c r="H2008" s="3"/>
    </row>
    <row r="2009" ht="14.25" customHeight="1">
      <c r="B2009" s="124"/>
      <c r="C2009" s="99"/>
      <c r="D2009" s="99"/>
      <c r="E2009" s="130"/>
      <c r="F2009" s="3"/>
      <c r="G2009" s="130"/>
      <c r="H2009" s="3"/>
    </row>
    <row r="2010" ht="14.25" customHeight="1">
      <c r="B2010" s="124"/>
      <c r="C2010" s="99"/>
      <c r="D2010" s="99"/>
      <c r="E2010" s="130"/>
      <c r="F2010" s="3"/>
      <c r="G2010" s="130"/>
      <c r="H2010" s="3"/>
    </row>
    <row r="2011" ht="14.25" customHeight="1">
      <c r="B2011" s="124"/>
      <c r="C2011" s="99"/>
      <c r="D2011" s="99"/>
      <c r="E2011" s="130"/>
      <c r="F2011" s="3"/>
      <c r="G2011" s="130"/>
      <c r="H2011" s="3"/>
    </row>
    <row r="2012" ht="14.25" customHeight="1">
      <c r="B2012" s="124"/>
      <c r="C2012" s="99"/>
      <c r="D2012" s="99"/>
      <c r="E2012" s="130"/>
      <c r="F2012" s="3"/>
      <c r="G2012" s="130"/>
      <c r="H2012" s="3"/>
    </row>
    <row r="2013" ht="14.25" customHeight="1">
      <c r="B2013" s="124"/>
      <c r="C2013" s="99"/>
      <c r="D2013" s="99"/>
      <c r="E2013" s="130"/>
      <c r="F2013" s="3"/>
      <c r="G2013" s="130"/>
      <c r="H2013" s="3"/>
    </row>
    <row r="2014" ht="14.25" customHeight="1">
      <c r="B2014" s="124"/>
      <c r="C2014" s="99"/>
      <c r="D2014" s="99"/>
      <c r="E2014" s="130"/>
      <c r="F2014" s="3"/>
      <c r="G2014" s="130"/>
      <c r="H2014" s="3"/>
    </row>
    <row r="2015" ht="14.25" customHeight="1">
      <c r="B2015" s="124"/>
      <c r="C2015" s="99"/>
      <c r="D2015" s="99"/>
      <c r="E2015" s="130"/>
      <c r="F2015" s="3"/>
      <c r="G2015" s="130"/>
      <c r="H2015" s="3"/>
    </row>
    <row r="2016" ht="14.25" customHeight="1">
      <c r="B2016" s="124"/>
      <c r="C2016" s="99"/>
      <c r="D2016" s="99"/>
      <c r="E2016" s="130"/>
      <c r="F2016" s="3"/>
      <c r="G2016" s="130"/>
      <c r="H2016" s="3"/>
    </row>
    <row r="2017" ht="14.25" customHeight="1">
      <c r="B2017" s="124"/>
      <c r="C2017" s="99"/>
      <c r="D2017" s="99"/>
      <c r="E2017" s="130"/>
      <c r="F2017" s="3"/>
      <c r="G2017" s="130"/>
      <c r="H2017" s="3"/>
    </row>
    <row r="2018" ht="14.25" customHeight="1">
      <c r="B2018" s="124"/>
      <c r="C2018" s="99"/>
      <c r="D2018" s="99"/>
      <c r="E2018" s="130"/>
      <c r="F2018" s="3"/>
      <c r="G2018" s="130"/>
      <c r="H2018" s="3"/>
    </row>
    <row r="2019" ht="14.25" customHeight="1">
      <c r="B2019" s="124"/>
      <c r="C2019" s="99"/>
      <c r="D2019" s="99"/>
      <c r="E2019" s="130"/>
      <c r="F2019" s="3"/>
      <c r="G2019" s="130"/>
      <c r="H2019" s="3"/>
    </row>
    <row r="2020" ht="14.25" customHeight="1">
      <c r="B2020" s="124"/>
      <c r="C2020" s="99"/>
      <c r="D2020" s="99"/>
      <c r="E2020" s="130"/>
      <c r="F2020" s="3"/>
      <c r="G2020" s="130"/>
      <c r="H2020" s="3"/>
    </row>
    <row r="2021" ht="14.25" customHeight="1">
      <c r="B2021" s="124"/>
      <c r="C2021" s="99"/>
      <c r="D2021" s="99"/>
      <c r="E2021" s="130"/>
      <c r="F2021" s="3"/>
      <c r="G2021" s="130"/>
      <c r="H2021" s="3"/>
    </row>
    <row r="2022" ht="14.25" customHeight="1">
      <c r="B2022" s="124"/>
      <c r="C2022" s="99"/>
      <c r="D2022" s="99"/>
      <c r="E2022" s="130"/>
      <c r="F2022" s="3"/>
      <c r="G2022" s="130"/>
      <c r="H2022" s="3"/>
    </row>
    <row r="2023" ht="14.25" customHeight="1">
      <c r="B2023" s="124"/>
      <c r="C2023" s="99"/>
      <c r="D2023" s="99"/>
      <c r="E2023" s="130"/>
      <c r="F2023" s="3"/>
      <c r="G2023" s="130"/>
      <c r="H2023" s="3"/>
    </row>
    <row r="2024" ht="14.25" customHeight="1">
      <c r="B2024" s="124"/>
      <c r="C2024" s="99"/>
      <c r="D2024" s="99"/>
      <c r="E2024" s="130"/>
      <c r="F2024" s="3"/>
      <c r="G2024" s="130"/>
      <c r="H2024" s="3"/>
    </row>
    <row r="2025" ht="14.25" customHeight="1">
      <c r="B2025" s="124"/>
      <c r="C2025" s="99"/>
      <c r="D2025" s="99"/>
      <c r="E2025" s="130"/>
      <c r="F2025" s="3"/>
      <c r="G2025" s="130"/>
      <c r="H2025" s="3"/>
    </row>
    <row r="2026" ht="14.25" customHeight="1">
      <c r="B2026" s="124"/>
      <c r="C2026" s="99"/>
      <c r="D2026" s="99"/>
      <c r="E2026" s="130"/>
      <c r="F2026" s="3"/>
      <c r="G2026" s="130"/>
      <c r="H2026" s="3"/>
    </row>
    <row r="2027" ht="14.25" customHeight="1">
      <c r="B2027" s="124"/>
      <c r="C2027" s="99"/>
      <c r="D2027" s="99"/>
      <c r="E2027" s="130"/>
      <c r="F2027" s="3"/>
      <c r="G2027" s="130"/>
      <c r="H2027" s="3"/>
    </row>
    <row r="2028" ht="14.25" customHeight="1">
      <c r="B2028" s="124"/>
      <c r="C2028" s="99"/>
      <c r="D2028" s="99"/>
      <c r="E2028" s="130"/>
      <c r="F2028" s="3"/>
      <c r="G2028" s="130"/>
      <c r="H2028" s="3"/>
    </row>
    <row r="2029" ht="14.25" customHeight="1">
      <c r="B2029" s="124"/>
      <c r="C2029" s="99"/>
      <c r="D2029" s="99"/>
      <c r="E2029" s="130"/>
      <c r="F2029" s="3"/>
      <c r="G2029" s="130"/>
      <c r="H2029" s="3"/>
    </row>
    <row r="2030" ht="14.25" customHeight="1">
      <c r="B2030" s="124"/>
      <c r="C2030" s="99"/>
      <c r="D2030" s="99"/>
      <c r="E2030" s="130"/>
      <c r="F2030" s="3"/>
      <c r="G2030" s="130"/>
      <c r="H2030" s="3"/>
    </row>
    <row r="2031" ht="14.25" customHeight="1">
      <c r="B2031" s="124"/>
      <c r="C2031" s="99"/>
      <c r="D2031" s="99"/>
      <c r="E2031" s="130"/>
      <c r="F2031" s="3"/>
      <c r="G2031" s="130"/>
      <c r="H2031" s="3"/>
    </row>
    <row r="2032" ht="14.25" customHeight="1">
      <c r="B2032" s="124"/>
      <c r="C2032" s="99"/>
      <c r="D2032" s="99"/>
      <c r="E2032" s="130"/>
      <c r="F2032" s="3"/>
      <c r="G2032" s="130"/>
      <c r="H2032" s="3"/>
    </row>
    <row r="2033" ht="14.25" customHeight="1">
      <c r="B2033" s="124"/>
      <c r="C2033" s="99"/>
      <c r="D2033" s="99"/>
      <c r="E2033" s="130"/>
      <c r="F2033" s="3"/>
      <c r="G2033" s="130"/>
      <c r="H2033" s="3"/>
    </row>
    <row r="2034" ht="14.25" customHeight="1">
      <c r="B2034" s="124"/>
      <c r="C2034" s="99"/>
      <c r="D2034" s="99"/>
      <c r="E2034" s="130"/>
      <c r="F2034" s="3"/>
      <c r="G2034" s="130"/>
      <c r="H2034" s="3"/>
    </row>
    <row r="2035" ht="14.25" customHeight="1">
      <c r="B2035" s="124"/>
      <c r="C2035" s="99"/>
      <c r="D2035" s="99"/>
      <c r="E2035" s="130"/>
      <c r="F2035" s="3"/>
      <c r="G2035" s="130"/>
      <c r="H2035" s="3"/>
    </row>
    <row r="2036" ht="14.25" customHeight="1">
      <c r="B2036" s="124"/>
      <c r="C2036" s="99"/>
      <c r="D2036" s="99"/>
      <c r="E2036" s="130"/>
      <c r="F2036" s="3"/>
      <c r="G2036" s="130"/>
      <c r="H2036" s="3"/>
    </row>
    <row r="2037" ht="14.25" customHeight="1">
      <c r="B2037" s="124"/>
      <c r="C2037" s="99"/>
      <c r="D2037" s="99"/>
      <c r="E2037" s="130"/>
      <c r="F2037" s="3"/>
      <c r="G2037" s="130"/>
      <c r="H2037" s="3"/>
    </row>
    <row r="2038" ht="14.25" customHeight="1">
      <c r="B2038" s="124"/>
      <c r="C2038" s="99"/>
      <c r="D2038" s="99"/>
      <c r="E2038" s="130"/>
      <c r="F2038" s="3"/>
      <c r="G2038" s="130"/>
      <c r="H2038" s="3"/>
    </row>
    <row r="2039" ht="14.25" customHeight="1">
      <c r="B2039" s="124"/>
      <c r="C2039" s="99"/>
      <c r="D2039" s="99"/>
      <c r="E2039" s="130"/>
      <c r="F2039" s="3"/>
      <c r="G2039" s="130"/>
      <c r="H2039" s="3"/>
    </row>
    <row r="2040" ht="14.25" customHeight="1">
      <c r="B2040" s="124"/>
      <c r="C2040" s="99"/>
      <c r="D2040" s="99"/>
      <c r="E2040" s="130"/>
      <c r="F2040" s="3"/>
      <c r="G2040" s="130"/>
      <c r="H2040" s="3"/>
    </row>
    <row r="2041" ht="14.25" customHeight="1">
      <c r="B2041" s="124"/>
      <c r="C2041" s="99"/>
      <c r="D2041" s="99"/>
      <c r="E2041" s="130"/>
      <c r="F2041" s="3"/>
      <c r="G2041" s="130"/>
      <c r="H2041" s="3"/>
    </row>
    <row r="2042" ht="14.25" customHeight="1">
      <c r="B2042" s="124"/>
      <c r="C2042" s="99"/>
      <c r="D2042" s="99"/>
      <c r="E2042" s="130"/>
      <c r="F2042" s="3"/>
      <c r="G2042" s="130"/>
      <c r="H2042" s="3"/>
    </row>
    <row r="2043" ht="14.25" customHeight="1">
      <c r="B2043" s="124"/>
      <c r="C2043" s="99"/>
      <c r="D2043" s="99"/>
      <c r="E2043" s="130"/>
      <c r="F2043" s="3"/>
      <c r="G2043" s="130"/>
      <c r="H2043" s="3"/>
    </row>
    <row r="2044" ht="14.25" customHeight="1">
      <c r="B2044" s="124"/>
      <c r="C2044" s="99"/>
      <c r="D2044" s="99"/>
      <c r="E2044" s="130"/>
      <c r="F2044" s="3"/>
      <c r="G2044" s="130"/>
      <c r="H2044" s="3"/>
    </row>
    <row r="2045" ht="14.25" customHeight="1">
      <c r="B2045" s="124"/>
      <c r="C2045" s="99"/>
      <c r="D2045" s="99"/>
      <c r="E2045" s="130"/>
      <c r="F2045" s="3"/>
      <c r="G2045" s="130"/>
      <c r="H2045" s="3"/>
    </row>
    <row r="2046" ht="14.25" customHeight="1">
      <c r="B2046" s="124"/>
      <c r="C2046" s="99"/>
      <c r="D2046" s="99"/>
      <c r="E2046" s="130"/>
      <c r="F2046" s="3"/>
      <c r="G2046" s="130"/>
      <c r="H2046" s="3"/>
    </row>
    <row r="2047" ht="14.25" customHeight="1">
      <c r="B2047" s="124"/>
      <c r="C2047" s="99"/>
      <c r="D2047" s="99"/>
      <c r="E2047" s="130"/>
      <c r="F2047" s="3"/>
      <c r="G2047" s="130"/>
      <c r="H2047" s="3"/>
    </row>
    <row r="2048" ht="14.25" customHeight="1">
      <c r="B2048" s="124"/>
      <c r="C2048" s="99"/>
      <c r="D2048" s="99"/>
      <c r="E2048" s="130"/>
      <c r="F2048" s="3"/>
      <c r="G2048" s="130"/>
      <c r="H2048" s="3"/>
    </row>
    <row r="2049" ht="14.25" customHeight="1">
      <c r="B2049" s="124"/>
      <c r="C2049" s="99"/>
      <c r="D2049" s="99"/>
      <c r="E2049" s="130"/>
      <c r="F2049" s="3"/>
      <c r="G2049" s="130"/>
      <c r="H2049" s="3"/>
    </row>
    <row r="2050" ht="14.25" customHeight="1">
      <c r="B2050" s="124"/>
      <c r="C2050" s="99"/>
      <c r="D2050" s="99"/>
      <c r="E2050" s="130"/>
      <c r="F2050" s="3"/>
      <c r="G2050" s="130"/>
      <c r="H2050" s="3"/>
    </row>
    <row r="2051" ht="14.25" customHeight="1">
      <c r="B2051" s="124"/>
      <c r="C2051" s="99"/>
      <c r="D2051" s="99"/>
      <c r="E2051" s="130"/>
      <c r="F2051" s="3"/>
      <c r="G2051" s="130"/>
      <c r="H2051" s="3"/>
    </row>
    <row r="2052" ht="14.25" customHeight="1">
      <c r="B2052" s="124"/>
      <c r="C2052" s="99"/>
      <c r="D2052" s="99"/>
      <c r="E2052" s="130"/>
      <c r="F2052" s="3"/>
      <c r="G2052" s="130"/>
      <c r="H2052" s="3"/>
    </row>
    <row r="2053" ht="14.25" customHeight="1">
      <c r="B2053" s="124"/>
      <c r="C2053" s="99"/>
      <c r="D2053" s="99"/>
      <c r="E2053" s="130"/>
      <c r="F2053" s="3"/>
      <c r="G2053" s="130"/>
      <c r="H2053" s="3"/>
    </row>
    <row r="2054" ht="14.25" customHeight="1">
      <c r="B2054" s="124"/>
      <c r="C2054" s="99"/>
      <c r="D2054" s="99"/>
      <c r="E2054" s="130"/>
      <c r="F2054" s="3"/>
      <c r="G2054" s="130"/>
      <c r="H2054" s="3"/>
    </row>
    <row r="2055" ht="14.25" customHeight="1">
      <c r="B2055" s="124"/>
      <c r="C2055" s="99"/>
      <c r="D2055" s="99"/>
      <c r="E2055" s="130"/>
      <c r="F2055" s="3"/>
      <c r="G2055" s="130"/>
      <c r="H2055" s="3"/>
    </row>
    <row r="2056" ht="14.25" customHeight="1">
      <c r="B2056" s="124"/>
      <c r="C2056" s="99"/>
      <c r="D2056" s="99"/>
      <c r="E2056" s="130"/>
      <c r="F2056" s="3"/>
      <c r="G2056" s="130"/>
      <c r="H2056" s="3"/>
    </row>
    <row r="2057" ht="14.25" customHeight="1">
      <c r="B2057" s="124"/>
      <c r="C2057" s="99"/>
      <c r="D2057" s="99"/>
      <c r="E2057" s="130"/>
      <c r="F2057" s="3"/>
      <c r="G2057" s="130"/>
      <c r="H2057" s="3"/>
    </row>
    <row r="2058" ht="14.25" customHeight="1">
      <c r="B2058" s="124"/>
      <c r="C2058" s="99"/>
      <c r="D2058" s="99"/>
      <c r="E2058" s="130"/>
      <c r="F2058" s="3"/>
      <c r="G2058" s="130"/>
      <c r="H2058" s="3"/>
    </row>
    <row r="2059" ht="14.25" customHeight="1">
      <c r="B2059" s="124"/>
      <c r="C2059" s="99"/>
      <c r="D2059" s="99"/>
      <c r="E2059" s="130"/>
      <c r="F2059" s="3"/>
      <c r="G2059" s="130"/>
      <c r="H2059" s="3"/>
    </row>
    <row r="2060" ht="14.25" customHeight="1">
      <c r="B2060" s="124"/>
      <c r="C2060" s="99"/>
      <c r="D2060" s="99"/>
      <c r="E2060" s="130"/>
      <c r="F2060" s="3"/>
      <c r="G2060" s="130"/>
      <c r="H2060" s="3"/>
    </row>
    <row r="2061" ht="14.25" customHeight="1">
      <c r="B2061" s="124"/>
      <c r="C2061" s="99"/>
      <c r="D2061" s="99"/>
      <c r="E2061" s="130"/>
      <c r="F2061" s="3"/>
      <c r="G2061" s="130"/>
      <c r="H2061" s="3"/>
    </row>
    <row r="2062" ht="14.25" customHeight="1">
      <c r="B2062" s="124"/>
      <c r="C2062" s="99"/>
      <c r="D2062" s="99"/>
      <c r="E2062" s="130"/>
      <c r="F2062" s="3"/>
      <c r="G2062" s="130"/>
      <c r="H2062" s="3"/>
    </row>
    <row r="2063" ht="14.25" customHeight="1">
      <c r="B2063" s="124"/>
      <c r="C2063" s="99"/>
      <c r="D2063" s="99"/>
      <c r="E2063" s="130"/>
      <c r="F2063" s="3"/>
      <c r="G2063" s="130"/>
      <c r="H2063" s="3"/>
    </row>
    <row r="2064" ht="14.25" customHeight="1">
      <c r="B2064" s="124"/>
      <c r="C2064" s="99"/>
      <c r="D2064" s="99"/>
      <c r="E2064" s="130"/>
      <c r="F2064" s="3"/>
      <c r="G2064" s="130"/>
      <c r="H2064" s="3"/>
    </row>
    <row r="2065" ht="14.25" customHeight="1">
      <c r="B2065" s="124"/>
      <c r="C2065" s="99"/>
      <c r="D2065" s="99"/>
      <c r="E2065" s="130"/>
      <c r="F2065" s="3"/>
      <c r="G2065" s="130"/>
      <c r="H2065" s="3"/>
    </row>
    <row r="2066" ht="14.25" customHeight="1">
      <c r="B2066" s="124"/>
      <c r="C2066" s="99"/>
      <c r="D2066" s="99"/>
      <c r="E2066" s="130"/>
      <c r="F2066" s="3"/>
      <c r="G2066" s="130"/>
      <c r="H2066" s="3"/>
    </row>
    <row r="2067" ht="14.25" customHeight="1">
      <c r="B2067" s="124"/>
      <c r="C2067" s="99"/>
      <c r="D2067" s="99"/>
      <c r="E2067" s="130"/>
      <c r="F2067" s="3"/>
      <c r="G2067" s="130"/>
      <c r="H2067" s="3"/>
    </row>
    <row r="2068" ht="14.25" customHeight="1">
      <c r="B2068" s="124"/>
      <c r="C2068" s="99"/>
      <c r="D2068" s="99"/>
      <c r="E2068" s="130"/>
      <c r="F2068" s="3"/>
      <c r="G2068" s="130"/>
      <c r="H2068" s="3"/>
    </row>
    <row r="2069" ht="14.25" customHeight="1">
      <c r="B2069" s="124"/>
      <c r="C2069" s="99"/>
      <c r="D2069" s="99"/>
      <c r="E2069" s="130"/>
      <c r="F2069" s="3"/>
      <c r="G2069" s="130"/>
      <c r="H2069" s="3"/>
    </row>
    <row r="2070" ht="14.25" customHeight="1">
      <c r="B2070" s="124"/>
      <c r="C2070" s="99"/>
      <c r="D2070" s="99"/>
      <c r="E2070" s="130"/>
      <c r="F2070" s="3"/>
      <c r="G2070" s="130"/>
      <c r="H2070" s="3"/>
    </row>
    <row r="2071" ht="14.25" customHeight="1">
      <c r="B2071" s="124"/>
      <c r="C2071" s="99"/>
      <c r="D2071" s="99"/>
      <c r="E2071" s="130"/>
      <c r="F2071" s="3"/>
      <c r="G2071" s="130"/>
      <c r="H2071" s="3"/>
    </row>
    <row r="2072" ht="14.25" customHeight="1">
      <c r="B2072" s="124"/>
      <c r="C2072" s="99"/>
      <c r="D2072" s="99"/>
      <c r="E2072" s="130"/>
      <c r="F2072" s="3"/>
      <c r="G2072" s="130"/>
      <c r="H2072" s="3"/>
    </row>
    <row r="2073" ht="14.25" customHeight="1">
      <c r="B2073" s="124"/>
      <c r="C2073" s="99"/>
      <c r="D2073" s="99"/>
      <c r="E2073" s="130"/>
      <c r="F2073" s="3"/>
      <c r="G2073" s="130"/>
      <c r="H2073" s="3"/>
    </row>
    <row r="2074" ht="14.25" customHeight="1">
      <c r="B2074" s="124"/>
      <c r="C2074" s="99"/>
      <c r="D2074" s="99"/>
      <c r="E2074" s="130"/>
      <c r="F2074" s="3"/>
      <c r="G2074" s="130"/>
      <c r="H2074" s="3"/>
    </row>
    <row r="2075" ht="14.25" customHeight="1">
      <c r="B2075" s="124"/>
      <c r="C2075" s="99"/>
      <c r="D2075" s="99"/>
      <c r="E2075" s="130"/>
      <c r="F2075" s="3"/>
      <c r="G2075" s="130"/>
      <c r="H2075" s="3"/>
    </row>
    <row r="2076" ht="14.25" customHeight="1">
      <c r="B2076" s="124"/>
      <c r="C2076" s="99"/>
      <c r="D2076" s="99"/>
      <c r="E2076" s="130"/>
      <c r="F2076" s="3"/>
      <c r="G2076" s="130"/>
      <c r="H2076" s="3"/>
    </row>
    <row r="2077" ht="14.25" customHeight="1">
      <c r="B2077" s="124"/>
      <c r="C2077" s="99"/>
      <c r="D2077" s="99"/>
      <c r="E2077" s="130"/>
      <c r="F2077" s="3"/>
      <c r="G2077" s="130"/>
      <c r="H2077" s="3"/>
    </row>
    <row r="2078" ht="14.25" customHeight="1">
      <c r="B2078" s="124"/>
      <c r="C2078" s="99"/>
      <c r="D2078" s="99"/>
      <c r="E2078" s="130"/>
      <c r="F2078" s="3"/>
      <c r="G2078" s="130"/>
      <c r="H2078" s="3"/>
    </row>
    <row r="2079" ht="14.25" customHeight="1">
      <c r="B2079" s="124"/>
      <c r="C2079" s="99"/>
      <c r="D2079" s="99"/>
      <c r="E2079" s="130"/>
      <c r="F2079" s="3"/>
      <c r="G2079" s="130"/>
      <c r="H2079" s="3"/>
    </row>
    <row r="2080" ht="14.25" customHeight="1">
      <c r="B2080" s="124"/>
      <c r="C2080" s="99"/>
      <c r="D2080" s="99"/>
      <c r="E2080" s="130"/>
      <c r="F2080" s="3"/>
      <c r="G2080" s="130"/>
      <c r="H2080" s="3"/>
    </row>
    <row r="2081" ht="14.25" customHeight="1">
      <c r="B2081" s="124"/>
      <c r="C2081" s="99"/>
      <c r="D2081" s="99"/>
      <c r="E2081" s="130"/>
      <c r="F2081" s="3"/>
      <c r="G2081" s="130"/>
      <c r="H2081" s="3"/>
    </row>
    <row r="2082" ht="14.25" customHeight="1">
      <c r="B2082" s="124"/>
      <c r="C2082" s="99"/>
      <c r="D2082" s="99"/>
      <c r="E2082" s="130"/>
      <c r="F2082" s="3"/>
      <c r="G2082" s="130"/>
      <c r="H2082" s="3"/>
    </row>
    <row r="2083" ht="14.25" customHeight="1">
      <c r="B2083" s="124"/>
      <c r="C2083" s="99"/>
      <c r="D2083" s="99"/>
      <c r="E2083" s="130"/>
      <c r="F2083" s="3"/>
      <c r="G2083" s="130"/>
      <c r="H2083" s="3"/>
    </row>
    <row r="2084" ht="14.25" customHeight="1">
      <c r="B2084" s="124"/>
      <c r="C2084" s="99"/>
      <c r="D2084" s="99"/>
      <c r="E2084" s="130"/>
      <c r="F2084" s="3"/>
      <c r="G2084" s="130"/>
      <c r="H2084" s="3"/>
    </row>
    <row r="2085" ht="14.25" customHeight="1">
      <c r="B2085" s="124"/>
      <c r="C2085" s="99"/>
      <c r="D2085" s="99"/>
      <c r="E2085" s="130"/>
      <c r="F2085" s="3"/>
      <c r="G2085" s="130"/>
      <c r="H2085" s="3"/>
    </row>
    <row r="2086" ht="14.25" customHeight="1">
      <c r="B2086" s="124"/>
      <c r="C2086" s="99"/>
      <c r="D2086" s="99"/>
      <c r="E2086" s="130"/>
      <c r="F2086" s="3"/>
      <c r="G2086" s="130"/>
      <c r="H2086" s="3"/>
    </row>
    <row r="2087" ht="14.25" customHeight="1">
      <c r="B2087" s="124"/>
      <c r="C2087" s="99"/>
      <c r="D2087" s="99"/>
      <c r="E2087" s="130"/>
      <c r="F2087" s="3"/>
      <c r="G2087" s="130"/>
      <c r="H2087" s="3"/>
    </row>
    <row r="2088" ht="14.25" customHeight="1">
      <c r="B2088" s="124"/>
      <c r="C2088" s="99"/>
      <c r="D2088" s="99"/>
      <c r="E2088" s="130"/>
      <c r="F2088" s="3"/>
      <c r="G2088" s="130"/>
      <c r="H2088" s="3"/>
    </row>
    <row r="2089" ht="14.25" customHeight="1">
      <c r="B2089" s="124"/>
      <c r="C2089" s="99"/>
      <c r="D2089" s="99"/>
      <c r="E2089" s="130"/>
      <c r="F2089" s="3"/>
      <c r="G2089" s="130"/>
      <c r="H2089" s="3"/>
    </row>
    <row r="2090" ht="14.25" customHeight="1">
      <c r="B2090" s="124"/>
      <c r="C2090" s="99"/>
      <c r="D2090" s="99"/>
      <c r="E2090" s="130"/>
      <c r="F2090" s="3"/>
      <c r="G2090" s="130"/>
      <c r="H2090" s="3"/>
    </row>
    <row r="2091" ht="14.25" customHeight="1">
      <c r="B2091" s="124"/>
      <c r="C2091" s="99"/>
      <c r="D2091" s="99"/>
      <c r="E2091" s="130"/>
      <c r="F2091" s="3"/>
      <c r="G2091" s="130"/>
      <c r="H2091" s="3"/>
    </row>
    <row r="2092" ht="14.25" customHeight="1">
      <c r="B2092" s="124"/>
      <c r="C2092" s="99"/>
      <c r="D2092" s="99"/>
      <c r="E2092" s="130"/>
      <c r="F2092" s="3"/>
      <c r="G2092" s="130"/>
      <c r="H2092" s="3"/>
    </row>
    <row r="2093" ht="14.25" customHeight="1">
      <c r="B2093" s="124"/>
      <c r="C2093" s="99"/>
      <c r="D2093" s="99"/>
      <c r="E2093" s="130"/>
      <c r="F2093" s="3"/>
      <c r="G2093" s="130"/>
      <c r="H2093" s="3"/>
    </row>
    <row r="2094" ht="14.25" customHeight="1">
      <c r="B2094" s="124"/>
      <c r="C2094" s="99"/>
      <c r="D2094" s="99"/>
      <c r="E2094" s="130"/>
      <c r="F2094" s="3"/>
      <c r="G2094" s="130"/>
      <c r="H2094" s="3"/>
    </row>
    <row r="2095" ht="14.25" customHeight="1">
      <c r="B2095" s="124"/>
      <c r="C2095" s="99"/>
      <c r="D2095" s="99"/>
      <c r="E2095" s="130"/>
      <c r="F2095" s="3"/>
      <c r="G2095" s="130"/>
      <c r="H2095" s="3"/>
    </row>
    <row r="2096" ht="14.25" customHeight="1">
      <c r="B2096" s="124"/>
      <c r="C2096" s="99"/>
      <c r="D2096" s="99"/>
      <c r="E2096" s="130"/>
      <c r="F2096" s="3"/>
      <c r="G2096" s="130"/>
      <c r="H2096" s="3"/>
    </row>
    <row r="2097" ht="14.25" customHeight="1">
      <c r="B2097" s="124"/>
      <c r="C2097" s="99"/>
      <c r="D2097" s="99"/>
      <c r="E2097" s="130"/>
      <c r="F2097" s="3"/>
      <c r="G2097" s="130"/>
      <c r="H2097" s="3"/>
    </row>
    <row r="2098" ht="14.25" customHeight="1">
      <c r="B2098" s="124"/>
      <c r="C2098" s="99"/>
      <c r="D2098" s="99"/>
      <c r="E2098" s="130"/>
      <c r="F2098" s="3"/>
      <c r="G2098" s="130"/>
      <c r="H2098" s="3"/>
    </row>
    <row r="2099" ht="14.25" customHeight="1">
      <c r="B2099" s="124"/>
      <c r="C2099" s="99"/>
      <c r="D2099" s="99"/>
      <c r="E2099" s="130"/>
      <c r="F2099" s="3"/>
      <c r="G2099" s="130"/>
      <c r="H2099" s="3"/>
    </row>
    <row r="2100" ht="14.25" customHeight="1">
      <c r="B2100" s="124"/>
      <c r="C2100" s="99"/>
      <c r="D2100" s="99"/>
      <c r="E2100" s="130"/>
      <c r="F2100" s="3"/>
      <c r="G2100" s="130"/>
      <c r="H2100" s="3"/>
    </row>
    <row r="2101" ht="14.25" customHeight="1">
      <c r="B2101" s="124"/>
      <c r="C2101" s="99"/>
      <c r="D2101" s="99"/>
      <c r="E2101" s="130"/>
      <c r="F2101" s="3"/>
      <c r="G2101" s="130"/>
      <c r="H2101" s="3"/>
    </row>
    <row r="2102" ht="14.25" customHeight="1">
      <c r="B2102" s="124"/>
      <c r="C2102" s="99"/>
      <c r="D2102" s="99"/>
      <c r="E2102" s="130"/>
      <c r="F2102" s="3"/>
      <c r="G2102" s="130"/>
      <c r="H2102" s="3"/>
    </row>
    <row r="2103" ht="14.25" customHeight="1">
      <c r="B2103" s="124"/>
      <c r="C2103" s="99"/>
      <c r="D2103" s="99"/>
      <c r="E2103" s="130"/>
      <c r="F2103" s="3"/>
      <c r="G2103" s="130"/>
      <c r="H2103" s="3"/>
    </row>
    <row r="2104" ht="14.25" customHeight="1">
      <c r="B2104" s="124"/>
      <c r="C2104" s="99"/>
      <c r="D2104" s="99"/>
      <c r="E2104" s="130"/>
      <c r="F2104" s="3"/>
      <c r="G2104" s="130"/>
      <c r="H2104" s="3"/>
    </row>
    <row r="2105" ht="14.25" customHeight="1">
      <c r="B2105" s="124"/>
      <c r="C2105" s="99"/>
      <c r="D2105" s="99"/>
      <c r="E2105" s="130"/>
      <c r="F2105" s="3"/>
      <c r="G2105" s="130"/>
      <c r="H2105" s="3"/>
    </row>
    <row r="2106" ht="14.25" customHeight="1">
      <c r="B2106" s="124"/>
      <c r="C2106" s="99"/>
      <c r="D2106" s="99"/>
      <c r="E2106" s="130"/>
      <c r="F2106" s="3"/>
      <c r="G2106" s="130"/>
      <c r="H2106" s="3"/>
    </row>
    <row r="2107" ht="14.25" customHeight="1">
      <c r="B2107" s="124"/>
      <c r="C2107" s="99"/>
      <c r="D2107" s="99"/>
      <c r="E2107" s="130"/>
      <c r="F2107" s="3"/>
      <c r="G2107" s="130"/>
      <c r="H2107" s="3"/>
    </row>
    <row r="2108" ht="14.25" customHeight="1">
      <c r="B2108" s="124"/>
      <c r="C2108" s="99"/>
      <c r="D2108" s="99"/>
      <c r="E2108" s="130"/>
      <c r="F2108" s="3"/>
      <c r="G2108" s="130"/>
      <c r="H2108" s="3"/>
    </row>
    <row r="2109" ht="14.25" customHeight="1">
      <c r="B2109" s="124"/>
      <c r="C2109" s="99"/>
      <c r="D2109" s="99"/>
      <c r="E2109" s="130"/>
      <c r="F2109" s="3"/>
      <c r="G2109" s="130"/>
      <c r="H2109" s="3"/>
    </row>
    <row r="2110" ht="14.25" customHeight="1">
      <c r="B2110" s="124"/>
      <c r="C2110" s="99"/>
      <c r="D2110" s="99"/>
      <c r="E2110" s="130"/>
      <c r="F2110" s="3"/>
      <c r="G2110" s="130"/>
      <c r="H2110" s="3"/>
    </row>
    <row r="2111" ht="14.25" customHeight="1">
      <c r="B2111" s="124"/>
      <c r="C2111" s="99"/>
      <c r="D2111" s="99"/>
      <c r="E2111" s="130"/>
      <c r="F2111" s="3"/>
      <c r="G2111" s="130"/>
      <c r="H2111" s="3"/>
    </row>
    <row r="2112" ht="14.25" customHeight="1">
      <c r="B2112" s="124"/>
      <c r="C2112" s="99"/>
      <c r="D2112" s="99"/>
      <c r="E2112" s="130"/>
      <c r="F2112" s="3"/>
      <c r="G2112" s="130"/>
      <c r="H2112" s="3"/>
    </row>
    <row r="2113" ht="14.25" customHeight="1">
      <c r="B2113" s="124"/>
      <c r="C2113" s="99"/>
      <c r="D2113" s="99"/>
      <c r="E2113" s="130"/>
      <c r="F2113" s="3"/>
      <c r="G2113" s="130"/>
      <c r="H2113" s="3"/>
    </row>
    <row r="2114" ht="14.25" customHeight="1">
      <c r="B2114" s="124"/>
      <c r="C2114" s="99"/>
      <c r="D2114" s="99"/>
      <c r="E2114" s="130"/>
      <c r="F2114" s="3"/>
      <c r="G2114" s="130"/>
      <c r="H2114" s="3"/>
    </row>
    <row r="2115" ht="14.25" customHeight="1">
      <c r="B2115" s="124"/>
      <c r="C2115" s="99"/>
      <c r="D2115" s="99"/>
      <c r="E2115" s="130"/>
      <c r="F2115" s="3"/>
      <c r="G2115" s="130"/>
      <c r="H2115" s="3"/>
    </row>
    <row r="2116" ht="14.25" customHeight="1">
      <c r="B2116" s="124"/>
      <c r="C2116" s="99"/>
      <c r="D2116" s="99"/>
      <c r="E2116" s="130"/>
      <c r="F2116" s="3"/>
      <c r="G2116" s="130"/>
      <c r="H2116" s="3"/>
    </row>
    <row r="2117" ht="14.25" customHeight="1">
      <c r="B2117" s="124"/>
      <c r="C2117" s="99"/>
      <c r="D2117" s="99"/>
      <c r="E2117" s="130"/>
      <c r="F2117" s="3"/>
      <c r="G2117" s="130"/>
      <c r="H2117" s="3"/>
    </row>
    <row r="2118" ht="14.25" customHeight="1">
      <c r="B2118" s="124"/>
      <c r="C2118" s="99"/>
      <c r="D2118" s="99"/>
      <c r="E2118" s="130"/>
      <c r="F2118" s="3"/>
      <c r="G2118" s="130"/>
      <c r="H2118" s="3"/>
    </row>
    <row r="2119" ht="14.25" customHeight="1">
      <c r="B2119" s="124"/>
      <c r="C2119" s="99"/>
      <c r="D2119" s="99"/>
      <c r="E2119" s="130"/>
      <c r="F2119" s="3"/>
      <c r="G2119" s="130"/>
      <c r="H2119" s="3"/>
    </row>
    <row r="2120" ht="14.25" customHeight="1">
      <c r="B2120" s="124"/>
      <c r="C2120" s="99"/>
      <c r="D2120" s="99"/>
      <c r="E2120" s="130"/>
      <c r="F2120" s="3"/>
      <c r="G2120" s="130"/>
      <c r="H2120" s="3"/>
    </row>
    <row r="2121" ht="14.25" customHeight="1">
      <c r="B2121" s="124"/>
      <c r="C2121" s="99"/>
      <c r="D2121" s="99"/>
      <c r="E2121" s="130"/>
      <c r="F2121" s="3"/>
      <c r="G2121" s="130"/>
      <c r="H2121" s="3"/>
    </row>
    <row r="2122" ht="14.25" customHeight="1">
      <c r="B2122" s="124"/>
      <c r="C2122" s="99"/>
      <c r="D2122" s="99"/>
      <c r="E2122" s="130"/>
      <c r="F2122" s="3"/>
      <c r="G2122" s="130"/>
      <c r="H2122" s="3"/>
    </row>
    <row r="2123" ht="14.25" customHeight="1">
      <c r="B2123" s="124"/>
      <c r="C2123" s="99"/>
      <c r="D2123" s="99"/>
      <c r="E2123" s="130"/>
      <c r="F2123" s="3"/>
      <c r="G2123" s="130"/>
      <c r="H2123" s="3"/>
    </row>
    <row r="2124" ht="14.25" customHeight="1">
      <c r="B2124" s="124"/>
      <c r="C2124" s="99"/>
      <c r="D2124" s="99"/>
      <c r="E2124" s="130"/>
      <c r="F2124" s="3"/>
      <c r="G2124" s="130"/>
      <c r="H2124" s="3"/>
    </row>
    <row r="2125" ht="14.25" customHeight="1">
      <c r="B2125" s="124"/>
      <c r="C2125" s="99"/>
      <c r="D2125" s="99"/>
      <c r="E2125" s="130"/>
      <c r="F2125" s="3"/>
      <c r="G2125" s="130"/>
      <c r="H2125" s="3"/>
    </row>
    <row r="2126" ht="14.25" customHeight="1">
      <c r="B2126" s="124"/>
      <c r="C2126" s="99"/>
      <c r="D2126" s="99"/>
      <c r="E2126" s="130"/>
      <c r="F2126" s="3"/>
      <c r="G2126" s="130"/>
      <c r="H2126" s="3"/>
    </row>
    <row r="2127" ht="14.25" customHeight="1">
      <c r="B2127" s="124"/>
      <c r="C2127" s="99"/>
      <c r="D2127" s="99"/>
      <c r="E2127" s="130"/>
      <c r="F2127" s="3"/>
      <c r="G2127" s="130"/>
      <c r="H2127" s="3"/>
    </row>
    <row r="2128" ht="14.25" customHeight="1">
      <c r="B2128" s="124"/>
      <c r="C2128" s="99"/>
      <c r="D2128" s="99"/>
      <c r="E2128" s="130"/>
      <c r="F2128" s="3"/>
      <c r="G2128" s="130"/>
      <c r="H2128" s="3"/>
    </row>
    <row r="2129" ht="14.25" customHeight="1">
      <c r="B2129" s="124"/>
      <c r="C2129" s="99"/>
      <c r="D2129" s="99"/>
      <c r="E2129" s="130"/>
      <c r="F2129" s="3"/>
      <c r="G2129" s="130"/>
      <c r="H2129" s="3"/>
    </row>
    <row r="2130" ht="14.25" customHeight="1">
      <c r="B2130" s="124"/>
      <c r="C2130" s="99"/>
      <c r="D2130" s="99"/>
      <c r="E2130" s="130"/>
      <c r="F2130" s="3"/>
      <c r="G2130" s="130"/>
      <c r="H2130" s="3"/>
    </row>
    <row r="2131" ht="14.25" customHeight="1">
      <c r="B2131" s="124"/>
      <c r="C2131" s="99"/>
      <c r="D2131" s="99"/>
      <c r="E2131" s="130"/>
      <c r="F2131" s="3"/>
      <c r="G2131" s="130"/>
      <c r="H2131" s="3"/>
    </row>
    <row r="2132" ht="14.25" customHeight="1">
      <c r="B2132" s="124"/>
      <c r="C2132" s="99"/>
      <c r="D2132" s="99"/>
      <c r="E2132" s="130"/>
      <c r="F2132" s="3"/>
      <c r="G2132" s="130"/>
      <c r="H2132" s="3"/>
    </row>
    <row r="2133" ht="14.25" customHeight="1">
      <c r="B2133" s="124"/>
      <c r="C2133" s="99"/>
      <c r="D2133" s="99"/>
      <c r="E2133" s="130"/>
      <c r="F2133" s="3"/>
      <c r="G2133" s="130"/>
      <c r="H2133" s="3"/>
    </row>
    <row r="2134" ht="14.25" customHeight="1">
      <c r="B2134" s="124"/>
      <c r="C2134" s="99"/>
      <c r="D2134" s="99"/>
      <c r="E2134" s="130"/>
      <c r="F2134" s="3"/>
      <c r="G2134" s="130"/>
      <c r="H2134" s="3"/>
    </row>
    <row r="2135" ht="14.25" customHeight="1">
      <c r="B2135" s="124"/>
      <c r="C2135" s="99"/>
      <c r="D2135" s="99"/>
      <c r="E2135" s="130"/>
      <c r="F2135" s="3"/>
      <c r="G2135" s="130"/>
      <c r="H2135" s="3"/>
    </row>
    <row r="2136" ht="14.25" customHeight="1">
      <c r="B2136" s="124"/>
      <c r="C2136" s="99"/>
      <c r="D2136" s="99"/>
      <c r="E2136" s="130"/>
      <c r="F2136" s="3"/>
      <c r="G2136" s="130"/>
      <c r="H2136" s="3"/>
    </row>
    <row r="2137" ht="14.25" customHeight="1">
      <c r="B2137" s="124"/>
      <c r="C2137" s="99"/>
      <c r="D2137" s="99"/>
      <c r="E2137" s="130"/>
      <c r="F2137" s="3"/>
      <c r="G2137" s="130"/>
      <c r="H2137" s="3"/>
    </row>
    <row r="2138" ht="14.25" customHeight="1">
      <c r="B2138" s="124"/>
      <c r="C2138" s="99"/>
      <c r="D2138" s="99"/>
      <c r="E2138" s="130"/>
      <c r="F2138" s="3"/>
      <c r="G2138" s="130"/>
      <c r="H2138" s="3"/>
    </row>
    <row r="2139" ht="14.25" customHeight="1">
      <c r="B2139" s="124"/>
      <c r="C2139" s="99"/>
      <c r="D2139" s="99"/>
      <c r="E2139" s="130"/>
      <c r="F2139" s="3"/>
      <c r="G2139" s="130"/>
      <c r="H2139" s="3"/>
    </row>
    <row r="2140" ht="14.25" customHeight="1">
      <c r="B2140" s="124"/>
      <c r="C2140" s="99"/>
      <c r="D2140" s="99"/>
      <c r="E2140" s="130"/>
      <c r="F2140" s="3"/>
      <c r="G2140" s="130"/>
      <c r="H2140" s="3"/>
    </row>
    <row r="2141" ht="14.25" customHeight="1">
      <c r="B2141" s="124"/>
      <c r="C2141" s="99"/>
      <c r="D2141" s="99"/>
      <c r="E2141" s="130"/>
      <c r="F2141" s="3"/>
      <c r="G2141" s="130"/>
      <c r="H2141" s="3"/>
    </row>
    <row r="2142" ht="14.25" customHeight="1">
      <c r="B2142" s="124"/>
      <c r="C2142" s="99"/>
      <c r="D2142" s="99"/>
      <c r="E2142" s="130"/>
      <c r="F2142" s="3"/>
      <c r="G2142" s="130"/>
      <c r="H2142" s="3"/>
    </row>
    <row r="2143" ht="14.25" customHeight="1">
      <c r="B2143" s="124"/>
      <c r="C2143" s="99"/>
      <c r="D2143" s="99"/>
      <c r="E2143" s="130"/>
      <c r="F2143" s="3"/>
      <c r="G2143" s="130"/>
      <c r="H2143" s="3"/>
    </row>
    <row r="2144" ht="14.25" customHeight="1">
      <c r="B2144" s="124"/>
      <c r="C2144" s="99"/>
      <c r="D2144" s="99"/>
      <c r="E2144" s="130"/>
      <c r="F2144" s="3"/>
      <c r="G2144" s="130"/>
      <c r="H2144" s="3"/>
    </row>
    <row r="2145" ht="14.25" customHeight="1">
      <c r="B2145" s="124"/>
      <c r="C2145" s="99"/>
      <c r="D2145" s="99"/>
      <c r="E2145" s="130"/>
      <c r="F2145" s="3"/>
      <c r="G2145" s="130"/>
      <c r="H2145" s="3"/>
    </row>
    <row r="2146" ht="14.25" customHeight="1">
      <c r="B2146" s="124"/>
      <c r="C2146" s="99"/>
      <c r="D2146" s="99"/>
      <c r="E2146" s="130"/>
      <c r="F2146" s="3"/>
      <c r="G2146" s="130"/>
      <c r="H2146" s="3"/>
    </row>
    <row r="2147" ht="14.25" customHeight="1">
      <c r="B2147" s="124"/>
      <c r="C2147" s="99"/>
      <c r="D2147" s="99"/>
      <c r="E2147" s="130"/>
      <c r="F2147" s="3"/>
      <c r="G2147" s="130"/>
      <c r="H2147" s="3"/>
    </row>
    <row r="2148" ht="14.25" customHeight="1">
      <c r="B2148" s="124"/>
      <c r="C2148" s="99"/>
      <c r="D2148" s="99"/>
      <c r="E2148" s="130"/>
      <c r="F2148" s="3"/>
      <c r="G2148" s="130"/>
      <c r="H2148" s="3"/>
    </row>
    <row r="2149" ht="14.25" customHeight="1">
      <c r="B2149" s="124"/>
      <c r="C2149" s="99"/>
      <c r="D2149" s="99"/>
      <c r="E2149" s="130"/>
      <c r="F2149" s="3"/>
      <c r="G2149" s="130"/>
      <c r="H2149" s="3"/>
    </row>
    <row r="2150" ht="14.25" customHeight="1">
      <c r="B2150" s="124"/>
      <c r="C2150" s="99"/>
      <c r="D2150" s="99"/>
      <c r="E2150" s="130"/>
      <c r="F2150" s="3"/>
      <c r="G2150" s="130"/>
      <c r="H2150" s="3"/>
    </row>
    <row r="2151" ht="14.25" customHeight="1">
      <c r="B2151" s="124"/>
      <c r="C2151" s="99"/>
      <c r="D2151" s="99"/>
      <c r="E2151" s="130"/>
      <c r="F2151" s="3"/>
      <c r="G2151" s="130"/>
      <c r="H2151" s="3"/>
    </row>
    <row r="2152" ht="14.25" customHeight="1">
      <c r="B2152" s="124"/>
      <c r="C2152" s="99"/>
      <c r="D2152" s="99"/>
      <c r="E2152" s="130"/>
      <c r="F2152" s="3"/>
      <c r="G2152" s="130"/>
      <c r="H2152" s="3"/>
    </row>
    <row r="2153" ht="14.25" customHeight="1">
      <c r="B2153" s="124"/>
      <c r="C2153" s="99"/>
      <c r="D2153" s="99"/>
      <c r="E2153" s="130"/>
      <c r="F2153" s="3"/>
      <c r="G2153" s="130"/>
      <c r="H2153" s="3"/>
    </row>
    <row r="2154" ht="14.25" customHeight="1">
      <c r="B2154" s="124"/>
      <c r="C2154" s="99"/>
      <c r="D2154" s="99"/>
      <c r="E2154" s="130"/>
      <c r="F2154" s="3"/>
      <c r="G2154" s="130"/>
      <c r="H2154" s="3"/>
    </row>
    <row r="2155" ht="14.25" customHeight="1">
      <c r="B2155" s="124"/>
      <c r="C2155" s="99"/>
      <c r="D2155" s="99"/>
      <c r="E2155" s="130"/>
      <c r="F2155" s="3"/>
      <c r="G2155" s="130"/>
      <c r="H2155" s="3"/>
    </row>
    <row r="2156" ht="14.25" customHeight="1">
      <c r="B2156" s="124"/>
      <c r="C2156" s="99"/>
      <c r="D2156" s="99"/>
      <c r="E2156" s="130"/>
      <c r="F2156" s="3"/>
      <c r="G2156" s="130"/>
      <c r="H2156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0"/>
    <col customWidth="1" min="3" max="3" width="9.13"/>
    <col customWidth="1" min="4" max="4" width="13.25"/>
    <col customWidth="1" min="5" max="5" width="10.63"/>
    <col customWidth="1" min="6" max="26" width="8.63"/>
  </cols>
  <sheetData>
    <row r="1" ht="14.25" customHeight="1">
      <c r="B1" s="99"/>
      <c r="C1" s="99"/>
      <c r="D1" s="99"/>
      <c r="E1" s="99"/>
    </row>
    <row r="2" ht="14.25" customHeight="1">
      <c r="B2" s="101" t="s">
        <v>202</v>
      </c>
      <c r="C2" s="101" t="s">
        <v>204</v>
      </c>
      <c r="D2" s="101" t="s">
        <v>17</v>
      </c>
      <c r="E2" s="101" t="s">
        <v>205</v>
      </c>
    </row>
    <row r="3" ht="14.25" customHeight="1">
      <c r="B3" s="102" t="s">
        <v>207</v>
      </c>
      <c r="C3" s="102">
        <v>1.0</v>
      </c>
      <c r="D3" s="102" t="s">
        <v>208</v>
      </c>
      <c r="E3" s="103">
        <v>190.0</v>
      </c>
    </row>
    <row r="4" ht="14.25" customHeight="1">
      <c r="B4" s="102" t="s">
        <v>210</v>
      </c>
      <c r="C4" s="102">
        <v>7.0</v>
      </c>
      <c r="D4" s="102" t="s">
        <v>208</v>
      </c>
      <c r="E4" s="103">
        <v>93.33</v>
      </c>
    </row>
    <row r="5" ht="14.25" customHeight="1">
      <c r="B5" s="102" t="s">
        <v>212</v>
      </c>
      <c r="C5" s="102">
        <v>1.0</v>
      </c>
      <c r="D5" s="102" t="s">
        <v>208</v>
      </c>
      <c r="E5" s="103">
        <v>97.58333333333333</v>
      </c>
    </row>
    <row r="6" ht="14.25" customHeight="1">
      <c r="B6" s="102" t="s">
        <v>215</v>
      </c>
      <c r="C6" s="102">
        <v>16.0</v>
      </c>
      <c r="D6" s="102" t="s">
        <v>208</v>
      </c>
      <c r="E6" s="103">
        <v>125.0</v>
      </c>
    </row>
    <row r="7" ht="14.25" customHeight="1">
      <c r="B7" s="102" t="s">
        <v>218</v>
      </c>
      <c r="C7" s="102">
        <v>1.0</v>
      </c>
      <c r="D7" s="102" t="s">
        <v>208</v>
      </c>
      <c r="E7" s="103">
        <v>125.0</v>
      </c>
    </row>
    <row r="8" ht="14.25" customHeight="1">
      <c r="B8" s="102" t="s">
        <v>219</v>
      </c>
      <c r="C8" s="102">
        <v>1.0</v>
      </c>
      <c r="D8" s="102" t="s">
        <v>208</v>
      </c>
      <c r="E8" s="103">
        <v>195.62500000000003</v>
      </c>
    </row>
    <row r="9" ht="14.25" customHeight="1">
      <c r="B9" s="102" t="s">
        <v>221</v>
      </c>
      <c r="C9" s="102">
        <v>205.0</v>
      </c>
      <c r="D9" s="102" t="s">
        <v>30</v>
      </c>
      <c r="E9" s="103">
        <v>75.0</v>
      </c>
    </row>
    <row r="10" ht="14.25" customHeight="1">
      <c r="B10" s="102" t="s">
        <v>223</v>
      </c>
      <c r="C10" s="102">
        <v>28.0</v>
      </c>
      <c r="D10" s="102" t="s">
        <v>30</v>
      </c>
      <c r="E10" s="103">
        <v>75.0</v>
      </c>
    </row>
    <row r="11" ht="14.25" customHeight="1">
      <c r="B11" s="102" t="s">
        <v>225</v>
      </c>
      <c r="C11" s="102">
        <v>1.0</v>
      </c>
      <c r="D11" s="102" t="s">
        <v>43</v>
      </c>
      <c r="E11" s="103">
        <v>54.166666666666664</v>
      </c>
    </row>
    <row r="12" ht="14.25" customHeight="1">
      <c r="B12" s="102" t="s">
        <v>227</v>
      </c>
      <c r="C12" s="102">
        <v>4.0</v>
      </c>
      <c r="D12" s="102" t="s">
        <v>43</v>
      </c>
      <c r="E12" s="103">
        <v>28.055555555555557</v>
      </c>
    </row>
    <row r="13" ht="14.25" customHeight="1">
      <c r="B13" s="102" t="s">
        <v>228</v>
      </c>
      <c r="C13" s="102">
        <v>7.0</v>
      </c>
      <c r="D13" s="102" t="s">
        <v>229</v>
      </c>
      <c r="E13" s="103">
        <v>50.0</v>
      </c>
    </row>
    <row r="14" ht="14.25" customHeight="1">
      <c r="B14" s="102" t="s">
        <v>230</v>
      </c>
      <c r="C14" s="102">
        <v>4.0</v>
      </c>
      <c r="D14" s="102" t="s">
        <v>229</v>
      </c>
      <c r="E14" s="103">
        <v>45.0</v>
      </c>
    </row>
    <row r="15" ht="14.25" customHeight="1">
      <c r="B15" s="102" t="s">
        <v>234</v>
      </c>
      <c r="C15" s="102">
        <v>17.0</v>
      </c>
      <c r="D15" s="102" t="s">
        <v>229</v>
      </c>
      <c r="E15" s="103">
        <v>75.0</v>
      </c>
    </row>
    <row r="16" ht="14.25" customHeight="1">
      <c r="B16" s="102" t="s">
        <v>53</v>
      </c>
      <c r="C16" s="102">
        <v>85.0</v>
      </c>
      <c r="D16" s="102" t="s">
        <v>229</v>
      </c>
      <c r="E16" s="103">
        <v>40.0</v>
      </c>
    </row>
    <row r="17" ht="14.25" customHeight="1">
      <c r="B17" s="102" t="s">
        <v>237</v>
      </c>
      <c r="C17" s="102">
        <v>3.0</v>
      </c>
      <c r="D17" s="102" t="s">
        <v>229</v>
      </c>
      <c r="E17" s="103">
        <v>12.5</v>
      </c>
    </row>
    <row r="18" ht="14.25" customHeight="1">
      <c r="B18" s="102" t="s">
        <v>239</v>
      </c>
      <c r="C18" s="102">
        <v>23.0</v>
      </c>
      <c r="D18" s="102" t="s">
        <v>43</v>
      </c>
      <c r="E18" s="103">
        <v>31.666666666666668</v>
      </c>
    </row>
    <row r="19" ht="14.25" customHeight="1">
      <c r="B19" s="102" t="s">
        <v>241</v>
      </c>
      <c r="C19" s="102">
        <v>9.0</v>
      </c>
      <c r="D19" s="102" t="s">
        <v>43</v>
      </c>
      <c r="E19" s="103">
        <v>65.75</v>
      </c>
    </row>
    <row r="20" ht="14.25" customHeight="1">
      <c r="B20" s="102" t="s">
        <v>242</v>
      </c>
      <c r="C20" s="102">
        <v>6.0</v>
      </c>
      <c r="D20" s="102" t="s">
        <v>43</v>
      </c>
      <c r="E20" s="103">
        <v>29.50641025641026</v>
      </c>
    </row>
    <row r="21" ht="14.25" customHeight="1">
      <c r="B21" s="102" t="s">
        <v>243</v>
      </c>
      <c r="C21" s="102">
        <v>0.0</v>
      </c>
      <c r="D21" s="102" t="s">
        <v>43</v>
      </c>
      <c r="E21" s="103">
        <v>31.0</v>
      </c>
    </row>
    <row r="22" ht="14.25" customHeight="1">
      <c r="B22" s="102" t="s">
        <v>246</v>
      </c>
      <c r="C22" s="102">
        <v>0.0</v>
      </c>
      <c r="D22" s="102" t="s">
        <v>43</v>
      </c>
      <c r="E22" s="103">
        <v>14.333333333333334</v>
      </c>
    </row>
    <row r="23" ht="14.25" customHeight="1">
      <c r="B23" s="102" t="s">
        <v>248</v>
      </c>
      <c r="C23" s="102">
        <v>0.0</v>
      </c>
      <c r="D23" s="102" t="s">
        <v>43</v>
      </c>
      <c r="E23" s="103">
        <v>21.62777777777778</v>
      </c>
    </row>
    <row r="24" ht="14.25" customHeight="1">
      <c r="B24" s="102" t="s">
        <v>249</v>
      </c>
      <c r="C24" s="102">
        <v>58.0</v>
      </c>
      <c r="D24" s="102" t="s">
        <v>43</v>
      </c>
      <c r="E24" s="103">
        <v>6.470588235294118</v>
      </c>
    </row>
    <row r="25" ht="14.25" customHeight="1">
      <c r="B25" s="102" t="s">
        <v>251</v>
      </c>
      <c r="C25" s="102">
        <v>5.0</v>
      </c>
      <c r="D25" s="102" t="s">
        <v>43</v>
      </c>
      <c r="E25" s="103">
        <v>13.444444444444446</v>
      </c>
    </row>
    <row r="26" ht="14.25" customHeight="1">
      <c r="B26" s="102" t="s">
        <v>252</v>
      </c>
      <c r="C26" s="102">
        <v>36.0</v>
      </c>
      <c r="D26" s="102" t="s">
        <v>43</v>
      </c>
      <c r="E26" s="103">
        <v>11.409836065573769</v>
      </c>
    </row>
    <row r="27" ht="14.25" customHeight="1">
      <c r="B27" s="102" t="s">
        <v>253</v>
      </c>
      <c r="C27" s="102">
        <v>10.0</v>
      </c>
      <c r="D27" s="102" t="s">
        <v>43</v>
      </c>
      <c r="E27" s="103">
        <v>27.286933333333327</v>
      </c>
    </row>
    <row r="28" ht="14.25" customHeight="1">
      <c r="B28" s="102" t="s">
        <v>255</v>
      </c>
      <c r="C28" s="102">
        <v>18.0</v>
      </c>
      <c r="D28" s="102" t="s">
        <v>30</v>
      </c>
      <c r="E28" s="103">
        <v>22.4835</v>
      </c>
    </row>
    <row r="29" ht="14.25" customHeight="1">
      <c r="B29" s="102" t="s">
        <v>257</v>
      </c>
      <c r="C29" s="102">
        <v>10.0</v>
      </c>
      <c r="D29" s="102" t="s">
        <v>43</v>
      </c>
      <c r="E29" s="103">
        <v>18.23148148148148</v>
      </c>
    </row>
    <row r="30" ht="14.25" customHeight="1">
      <c r="B30" s="102" t="s">
        <v>258</v>
      </c>
      <c r="C30" s="102">
        <v>17.0</v>
      </c>
      <c r="D30" s="102" t="s">
        <v>43</v>
      </c>
      <c r="E30" s="103">
        <v>23.25037037037037</v>
      </c>
    </row>
    <row r="31" ht="14.25" customHeight="1">
      <c r="B31" s="102" t="s">
        <v>260</v>
      </c>
      <c r="C31" s="102">
        <v>4.0</v>
      </c>
      <c r="D31" s="102" t="s">
        <v>43</v>
      </c>
      <c r="E31" s="103">
        <v>8.459090909090907</v>
      </c>
    </row>
    <row r="32" ht="14.25" customHeight="1">
      <c r="B32" s="102" t="s">
        <v>262</v>
      </c>
      <c r="C32" s="102">
        <v>15.0</v>
      </c>
      <c r="D32" s="102" t="s">
        <v>43</v>
      </c>
      <c r="E32" s="103">
        <v>25.33388888888889</v>
      </c>
    </row>
    <row r="33" ht="14.25" customHeight="1">
      <c r="B33" s="102" t="s">
        <v>264</v>
      </c>
      <c r="C33" s="102">
        <v>177.0</v>
      </c>
      <c r="D33" s="102" t="s">
        <v>43</v>
      </c>
      <c r="E33" s="103">
        <v>1.0</v>
      </c>
    </row>
    <row r="34" ht="14.25" customHeight="1">
      <c r="B34" s="102" t="s">
        <v>267</v>
      </c>
      <c r="C34" s="102">
        <v>6.0</v>
      </c>
      <c r="D34" s="102" t="s">
        <v>43</v>
      </c>
      <c r="E34" s="103">
        <v>11.0</v>
      </c>
    </row>
    <row r="35" ht="14.25" customHeight="1">
      <c r="B35" s="102" t="s">
        <v>269</v>
      </c>
      <c r="C35" s="102">
        <v>2.0</v>
      </c>
      <c r="D35" s="102" t="s">
        <v>43</v>
      </c>
      <c r="E35" s="103">
        <v>13.234166666666663</v>
      </c>
    </row>
    <row r="36" ht="14.25" customHeight="1">
      <c r="B36" s="102" t="s">
        <v>271</v>
      </c>
      <c r="C36" s="102">
        <v>6.0</v>
      </c>
      <c r="D36" s="102" t="s">
        <v>208</v>
      </c>
      <c r="E36" s="103">
        <v>10.846929824561403</v>
      </c>
    </row>
    <row r="37" ht="14.25" customHeight="1">
      <c r="B37" s="102" t="s">
        <v>137</v>
      </c>
      <c r="C37" s="102">
        <v>20.0</v>
      </c>
      <c r="D37" s="102" t="s">
        <v>208</v>
      </c>
      <c r="E37" s="103">
        <v>24.32</v>
      </c>
    </row>
    <row r="38" ht="14.25" customHeight="1">
      <c r="B38" s="102" t="s">
        <v>156</v>
      </c>
      <c r="C38" s="102">
        <v>82.0</v>
      </c>
      <c r="D38" s="102" t="s">
        <v>43</v>
      </c>
      <c r="E38" s="103">
        <v>2.5405405405405403</v>
      </c>
    </row>
    <row r="39" ht="14.25" customHeight="1">
      <c r="B39" s="102" t="s">
        <v>273</v>
      </c>
      <c r="C39" s="102">
        <v>1.0</v>
      </c>
      <c r="D39" s="102" t="s">
        <v>43</v>
      </c>
      <c r="E39" s="103">
        <v>26.6953125</v>
      </c>
    </row>
    <row r="40" ht="14.25" customHeight="1">
      <c r="B40" s="102" t="s">
        <v>274</v>
      </c>
      <c r="C40" s="102">
        <v>14.0</v>
      </c>
      <c r="D40" s="102" t="s">
        <v>43</v>
      </c>
      <c r="E40" s="103">
        <v>75.99166666666667</v>
      </c>
    </row>
    <row r="41" ht="14.25" customHeight="1">
      <c r="B41" s="99"/>
      <c r="C41" s="99"/>
      <c r="D41" s="99"/>
      <c r="E41" s="99"/>
    </row>
    <row r="42" ht="14.25" customHeight="1">
      <c r="B42" s="99"/>
      <c r="C42" s="99"/>
      <c r="D42" s="99"/>
      <c r="E42" s="99"/>
    </row>
    <row r="43" ht="14.25" customHeight="1">
      <c r="B43" s="99"/>
      <c r="C43" s="99"/>
      <c r="D43" s="99"/>
      <c r="E43" s="99"/>
    </row>
    <row r="44" ht="14.25" customHeight="1">
      <c r="B44" s="99"/>
      <c r="C44" s="99"/>
      <c r="D44" s="99"/>
      <c r="E44" s="99"/>
    </row>
    <row r="45" ht="14.25" customHeight="1">
      <c r="B45" s="99"/>
      <c r="C45" s="99"/>
      <c r="D45" s="99"/>
      <c r="E45" s="99"/>
    </row>
    <row r="46" ht="14.25" customHeight="1">
      <c r="B46" s="99"/>
      <c r="C46" s="99"/>
      <c r="D46" s="99"/>
      <c r="E46" s="99"/>
    </row>
    <row r="47" ht="14.25" customHeight="1">
      <c r="B47" s="99"/>
      <c r="C47" s="99"/>
      <c r="D47" s="99"/>
      <c r="E47" s="99"/>
    </row>
    <row r="48" ht="14.25" customHeight="1">
      <c r="B48" s="99"/>
      <c r="C48" s="99"/>
      <c r="D48" s="99"/>
      <c r="E48" s="99"/>
    </row>
    <row r="49" ht="14.25" customHeight="1">
      <c r="B49" s="99"/>
      <c r="C49" s="99"/>
      <c r="D49" s="99"/>
      <c r="E49" s="99"/>
    </row>
    <row r="50" ht="14.25" customHeight="1">
      <c r="B50" s="99"/>
      <c r="C50" s="99"/>
      <c r="D50" s="99"/>
      <c r="E50" s="99"/>
    </row>
    <row r="51" ht="14.25" customHeight="1">
      <c r="B51" s="99"/>
      <c r="C51" s="99"/>
      <c r="D51" s="99"/>
      <c r="E51" s="99"/>
    </row>
    <row r="52" ht="14.25" customHeight="1">
      <c r="B52" s="99"/>
      <c r="C52" s="99"/>
      <c r="D52" s="99"/>
      <c r="E52" s="99"/>
    </row>
    <row r="53" ht="14.25" customHeight="1">
      <c r="B53" s="99"/>
      <c r="C53" s="99"/>
      <c r="D53" s="99"/>
      <c r="E53" s="99"/>
    </row>
    <row r="54" ht="14.25" customHeight="1">
      <c r="B54" s="99"/>
      <c r="C54" s="99"/>
      <c r="D54" s="99"/>
      <c r="E54" s="99"/>
    </row>
    <row r="55" ht="14.25" customHeight="1">
      <c r="B55" s="99"/>
      <c r="C55" s="99"/>
      <c r="D55" s="99"/>
      <c r="E55" s="99"/>
    </row>
    <row r="56" ht="14.25" customHeight="1">
      <c r="B56" s="99"/>
      <c r="C56" s="99"/>
      <c r="D56" s="99"/>
      <c r="E56" s="99"/>
    </row>
    <row r="57" ht="14.25" customHeight="1">
      <c r="B57" s="99"/>
      <c r="C57" s="99"/>
      <c r="D57" s="99"/>
      <c r="E57" s="99"/>
    </row>
    <row r="58" ht="14.25" customHeight="1">
      <c r="B58" s="99"/>
      <c r="C58" s="99"/>
      <c r="D58" s="99"/>
      <c r="E58" s="99"/>
    </row>
    <row r="59" ht="14.25" customHeight="1">
      <c r="B59" s="99"/>
      <c r="C59" s="99"/>
      <c r="D59" s="99"/>
      <c r="E59" s="99"/>
    </row>
    <row r="60" ht="14.25" customHeight="1">
      <c r="B60" s="99"/>
      <c r="C60" s="99"/>
      <c r="D60" s="99"/>
      <c r="E60" s="99"/>
    </row>
    <row r="61" ht="14.25" customHeight="1">
      <c r="B61" s="99"/>
      <c r="C61" s="99"/>
      <c r="D61" s="99"/>
      <c r="E61" s="99"/>
    </row>
    <row r="62" ht="14.25" customHeight="1">
      <c r="B62" s="99"/>
      <c r="C62" s="99"/>
      <c r="D62" s="99"/>
      <c r="E62" s="99"/>
    </row>
    <row r="63" ht="14.25" customHeight="1">
      <c r="B63" s="99"/>
      <c r="C63" s="99"/>
      <c r="D63" s="99"/>
      <c r="E63" s="99"/>
    </row>
    <row r="64" ht="14.25" customHeight="1">
      <c r="B64" s="99"/>
      <c r="C64" s="99"/>
      <c r="D64" s="99"/>
      <c r="E64" s="99"/>
    </row>
    <row r="65" ht="14.25" customHeight="1">
      <c r="B65" s="99"/>
      <c r="C65" s="99"/>
      <c r="D65" s="99"/>
      <c r="E65" s="99"/>
    </row>
    <row r="66" ht="14.25" customHeight="1">
      <c r="B66" s="99"/>
      <c r="C66" s="99"/>
      <c r="D66" s="99"/>
      <c r="E66" s="99"/>
    </row>
    <row r="67" ht="14.25" customHeight="1">
      <c r="B67" s="99"/>
      <c r="C67" s="99"/>
      <c r="D67" s="99"/>
      <c r="E67" s="99"/>
    </row>
    <row r="68" ht="14.25" customHeight="1">
      <c r="B68" s="99"/>
      <c r="C68" s="99"/>
      <c r="D68" s="99"/>
      <c r="E68" s="99"/>
    </row>
    <row r="69" ht="14.25" customHeight="1">
      <c r="B69" s="99"/>
      <c r="C69" s="99"/>
      <c r="D69" s="99"/>
      <c r="E69" s="99"/>
    </row>
    <row r="70" ht="14.25" customHeight="1">
      <c r="B70" s="99"/>
      <c r="C70" s="99"/>
      <c r="D70" s="99"/>
      <c r="E70" s="99"/>
    </row>
    <row r="71" ht="14.25" customHeight="1">
      <c r="B71" s="99"/>
      <c r="C71" s="99"/>
      <c r="D71" s="99"/>
      <c r="E71" s="99"/>
    </row>
    <row r="72" ht="14.25" customHeight="1">
      <c r="B72" s="99"/>
      <c r="C72" s="99"/>
      <c r="D72" s="99"/>
      <c r="E72" s="99"/>
    </row>
    <row r="73" ht="14.25" customHeight="1">
      <c r="B73" s="99"/>
      <c r="C73" s="99"/>
      <c r="D73" s="99"/>
      <c r="E73" s="99"/>
    </row>
    <row r="74" ht="14.25" customHeight="1">
      <c r="B74" s="99"/>
      <c r="C74" s="99"/>
      <c r="D74" s="99"/>
      <c r="E74" s="99"/>
    </row>
    <row r="75" ht="14.25" customHeight="1">
      <c r="B75" s="99"/>
      <c r="C75" s="99"/>
      <c r="D75" s="99"/>
      <c r="E75" s="99"/>
    </row>
    <row r="76" ht="14.25" customHeight="1">
      <c r="B76" s="99"/>
      <c r="C76" s="99"/>
      <c r="D76" s="99"/>
      <c r="E76" s="99"/>
    </row>
    <row r="77" ht="14.25" customHeight="1">
      <c r="B77" s="99"/>
      <c r="C77" s="99"/>
      <c r="D77" s="99"/>
      <c r="E77" s="99"/>
    </row>
    <row r="78" ht="14.25" customHeight="1">
      <c r="B78" s="99"/>
      <c r="C78" s="99"/>
      <c r="D78" s="99"/>
      <c r="E78" s="99"/>
    </row>
    <row r="79" ht="14.25" customHeight="1">
      <c r="B79" s="99"/>
      <c r="C79" s="99"/>
      <c r="D79" s="99"/>
      <c r="E79" s="99"/>
    </row>
    <row r="80" ht="14.25" customHeight="1">
      <c r="B80" s="99"/>
      <c r="C80" s="99"/>
      <c r="D80" s="99"/>
      <c r="E80" s="99"/>
    </row>
    <row r="81" ht="14.25" customHeight="1">
      <c r="B81" s="99"/>
      <c r="C81" s="99"/>
      <c r="D81" s="99"/>
      <c r="E81" s="99"/>
    </row>
    <row r="82" ht="14.25" customHeight="1">
      <c r="B82" s="99"/>
      <c r="C82" s="99"/>
      <c r="D82" s="99"/>
      <c r="E82" s="99"/>
    </row>
    <row r="83" ht="14.25" customHeight="1">
      <c r="B83" s="99"/>
      <c r="C83" s="99"/>
      <c r="D83" s="99"/>
      <c r="E83" s="99"/>
    </row>
    <row r="84" ht="14.25" customHeight="1">
      <c r="B84" s="99"/>
      <c r="C84" s="99"/>
      <c r="D84" s="99"/>
      <c r="E84" s="99"/>
    </row>
    <row r="85" ht="14.25" customHeight="1">
      <c r="B85" s="99"/>
      <c r="C85" s="99"/>
      <c r="D85" s="99"/>
      <c r="E85" s="99"/>
    </row>
    <row r="86" ht="14.25" customHeight="1">
      <c r="B86" s="99"/>
      <c r="C86" s="99"/>
      <c r="D86" s="99"/>
      <c r="E86" s="99"/>
    </row>
    <row r="87" ht="14.25" customHeight="1">
      <c r="B87" s="99"/>
      <c r="C87" s="99"/>
      <c r="D87" s="99"/>
      <c r="E87" s="99"/>
    </row>
    <row r="88" ht="14.25" customHeight="1">
      <c r="B88" s="99"/>
      <c r="C88" s="99"/>
      <c r="D88" s="99"/>
      <c r="E88" s="99"/>
    </row>
    <row r="89" ht="14.25" customHeight="1">
      <c r="B89" s="99"/>
      <c r="C89" s="99"/>
      <c r="D89" s="99"/>
      <c r="E89" s="99"/>
    </row>
    <row r="90" ht="14.25" customHeight="1">
      <c r="B90" s="99"/>
      <c r="C90" s="99"/>
      <c r="D90" s="99"/>
      <c r="E90" s="99"/>
    </row>
    <row r="91" ht="14.25" customHeight="1">
      <c r="B91" s="99"/>
      <c r="C91" s="99"/>
      <c r="D91" s="99"/>
      <c r="E91" s="99"/>
    </row>
    <row r="92" ht="14.25" customHeight="1">
      <c r="B92" s="99"/>
      <c r="C92" s="99"/>
      <c r="D92" s="99"/>
      <c r="E92" s="99"/>
    </row>
    <row r="93" ht="14.25" customHeight="1">
      <c r="B93" s="99"/>
      <c r="C93" s="99"/>
      <c r="D93" s="99"/>
      <c r="E93" s="99"/>
    </row>
    <row r="94" ht="14.25" customHeight="1">
      <c r="B94" s="99"/>
      <c r="C94" s="99"/>
      <c r="D94" s="99"/>
      <c r="E94" s="99"/>
    </row>
    <row r="95" ht="14.25" customHeight="1">
      <c r="B95" s="99"/>
      <c r="C95" s="99"/>
      <c r="D95" s="99"/>
      <c r="E95" s="99"/>
    </row>
    <row r="96" ht="14.25" customHeight="1">
      <c r="B96" s="99"/>
      <c r="C96" s="99"/>
      <c r="D96" s="99"/>
      <c r="E96" s="99"/>
    </row>
    <row r="97" ht="14.25" customHeight="1">
      <c r="B97" s="99"/>
      <c r="C97" s="99"/>
      <c r="D97" s="99"/>
      <c r="E97" s="99"/>
    </row>
    <row r="98" ht="14.25" customHeight="1">
      <c r="B98" s="99"/>
      <c r="C98" s="99"/>
      <c r="D98" s="99"/>
      <c r="E98" s="99"/>
    </row>
    <row r="99" ht="14.25" customHeight="1">
      <c r="B99" s="99"/>
      <c r="C99" s="99"/>
      <c r="D99" s="99"/>
      <c r="E99" s="99"/>
    </row>
    <row r="100" ht="14.25" customHeight="1">
      <c r="B100" s="99"/>
      <c r="C100" s="99"/>
      <c r="D100" s="99"/>
      <c r="E100" s="99"/>
    </row>
    <row r="101" ht="14.25" customHeight="1">
      <c r="B101" s="99"/>
      <c r="C101" s="99"/>
      <c r="D101" s="99"/>
      <c r="E101" s="99"/>
    </row>
    <row r="102" ht="14.25" customHeight="1">
      <c r="B102" s="99"/>
      <c r="C102" s="99"/>
      <c r="D102" s="99"/>
      <c r="E102" s="99"/>
    </row>
    <row r="103" ht="14.25" customHeight="1">
      <c r="B103" s="99"/>
      <c r="C103" s="99"/>
      <c r="D103" s="99"/>
      <c r="E103" s="99"/>
    </row>
    <row r="104" ht="14.25" customHeight="1">
      <c r="B104" s="99"/>
      <c r="C104" s="99"/>
      <c r="D104" s="99"/>
      <c r="E104" s="99"/>
    </row>
    <row r="105" ht="14.25" customHeight="1">
      <c r="B105" s="99"/>
      <c r="C105" s="99"/>
      <c r="D105" s="99"/>
      <c r="E105" s="99"/>
    </row>
    <row r="106" ht="14.25" customHeight="1">
      <c r="B106" s="99"/>
      <c r="C106" s="99"/>
      <c r="D106" s="99"/>
      <c r="E106" s="99"/>
    </row>
    <row r="107" ht="14.25" customHeight="1">
      <c r="B107" s="99"/>
      <c r="C107" s="99"/>
      <c r="D107" s="99"/>
      <c r="E107" s="99"/>
    </row>
    <row r="108" ht="14.25" customHeight="1">
      <c r="B108" s="99"/>
      <c r="C108" s="99"/>
      <c r="D108" s="99"/>
      <c r="E108" s="99"/>
    </row>
    <row r="109" ht="14.25" customHeight="1">
      <c r="B109" s="99"/>
      <c r="C109" s="99"/>
      <c r="D109" s="99"/>
      <c r="E109" s="99"/>
    </row>
    <row r="110" ht="14.25" customHeight="1">
      <c r="B110" s="99"/>
      <c r="C110" s="99"/>
      <c r="D110" s="99"/>
      <c r="E110" s="99"/>
    </row>
    <row r="111" ht="14.25" customHeight="1">
      <c r="B111" s="99"/>
      <c r="C111" s="99"/>
      <c r="D111" s="99"/>
      <c r="E111" s="99"/>
    </row>
    <row r="112" ht="14.25" customHeight="1">
      <c r="B112" s="99"/>
      <c r="C112" s="99"/>
      <c r="D112" s="99"/>
      <c r="E112" s="99"/>
    </row>
    <row r="113" ht="14.25" customHeight="1">
      <c r="B113" s="99"/>
      <c r="C113" s="99"/>
      <c r="D113" s="99"/>
      <c r="E113" s="99"/>
    </row>
    <row r="114" ht="14.25" customHeight="1">
      <c r="B114" s="99"/>
      <c r="C114" s="99"/>
      <c r="D114" s="99"/>
      <c r="E114" s="99"/>
    </row>
    <row r="115" ht="14.25" customHeight="1">
      <c r="B115" s="99"/>
      <c r="C115" s="99"/>
      <c r="D115" s="99"/>
      <c r="E115" s="99"/>
    </row>
    <row r="116" ht="14.25" customHeight="1">
      <c r="B116" s="99"/>
      <c r="C116" s="99"/>
      <c r="D116" s="99"/>
      <c r="E116" s="99"/>
    </row>
    <row r="117" ht="14.25" customHeight="1">
      <c r="B117" s="99"/>
      <c r="C117" s="99"/>
      <c r="D117" s="99"/>
      <c r="E117" s="99"/>
    </row>
    <row r="118" ht="14.25" customHeight="1">
      <c r="B118" s="99"/>
      <c r="C118" s="99"/>
      <c r="D118" s="99"/>
      <c r="E118" s="99"/>
    </row>
    <row r="119" ht="14.25" customHeight="1">
      <c r="B119" s="99"/>
      <c r="C119" s="99"/>
      <c r="D119" s="99"/>
      <c r="E119" s="99"/>
    </row>
    <row r="120" ht="14.25" customHeight="1">
      <c r="B120" s="99"/>
      <c r="C120" s="99"/>
      <c r="D120" s="99"/>
      <c r="E120" s="99"/>
    </row>
    <row r="121" ht="14.25" customHeight="1">
      <c r="B121" s="99"/>
      <c r="C121" s="99"/>
      <c r="D121" s="99"/>
      <c r="E121" s="99"/>
    </row>
    <row r="122" ht="14.25" customHeight="1">
      <c r="B122" s="99"/>
      <c r="C122" s="99"/>
      <c r="D122" s="99"/>
      <c r="E122" s="99"/>
    </row>
    <row r="123" ht="14.25" customHeight="1">
      <c r="B123" s="99"/>
      <c r="C123" s="99"/>
      <c r="D123" s="99"/>
      <c r="E123" s="99"/>
    </row>
    <row r="124" ht="14.25" customHeight="1">
      <c r="B124" s="99"/>
      <c r="C124" s="99"/>
      <c r="D124" s="99"/>
      <c r="E124" s="99"/>
    </row>
    <row r="125" ht="14.25" customHeight="1">
      <c r="B125" s="99"/>
      <c r="C125" s="99"/>
      <c r="D125" s="99"/>
      <c r="E125" s="99"/>
    </row>
    <row r="126" ht="14.25" customHeight="1">
      <c r="B126" s="99"/>
      <c r="C126" s="99"/>
      <c r="D126" s="99"/>
      <c r="E126" s="99"/>
    </row>
    <row r="127" ht="14.25" customHeight="1">
      <c r="B127" s="99"/>
      <c r="C127" s="99"/>
      <c r="D127" s="99"/>
      <c r="E127" s="99"/>
    </row>
    <row r="128" ht="14.25" customHeight="1">
      <c r="B128" s="99"/>
      <c r="C128" s="99"/>
      <c r="D128" s="99"/>
      <c r="E128" s="99"/>
    </row>
    <row r="129" ht="14.25" customHeight="1">
      <c r="B129" s="99"/>
      <c r="C129" s="99"/>
      <c r="D129" s="99"/>
      <c r="E129" s="99"/>
    </row>
    <row r="130" ht="14.25" customHeight="1">
      <c r="B130" s="99"/>
      <c r="C130" s="99"/>
      <c r="D130" s="99"/>
      <c r="E130" s="99"/>
    </row>
    <row r="131" ht="14.25" customHeight="1">
      <c r="B131" s="99"/>
      <c r="C131" s="99"/>
      <c r="D131" s="99"/>
      <c r="E131" s="99"/>
    </row>
    <row r="132" ht="14.25" customHeight="1">
      <c r="B132" s="99"/>
      <c r="C132" s="99"/>
      <c r="D132" s="99"/>
      <c r="E132" s="99"/>
    </row>
    <row r="133" ht="14.25" customHeight="1">
      <c r="B133" s="99"/>
      <c r="C133" s="99"/>
      <c r="D133" s="99"/>
      <c r="E133" s="99"/>
    </row>
    <row r="134" ht="14.25" customHeight="1">
      <c r="B134" s="99"/>
      <c r="C134" s="99"/>
      <c r="D134" s="99"/>
      <c r="E134" s="99"/>
    </row>
    <row r="135" ht="14.25" customHeight="1">
      <c r="B135" s="99"/>
      <c r="C135" s="99"/>
      <c r="D135" s="99"/>
      <c r="E135" s="99"/>
    </row>
    <row r="136" ht="14.25" customHeight="1">
      <c r="B136" s="99"/>
      <c r="C136" s="99"/>
      <c r="D136" s="99"/>
      <c r="E136" s="99"/>
    </row>
    <row r="137" ht="14.25" customHeight="1">
      <c r="B137" s="99"/>
      <c r="C137" s="99"/>
      <c r="D137" s="99"/>
      <c r="E137" s="99"/>
    </row>
    <row r="138" ht="14.25" customHeight="1">
      <c r="B138" s="99"/>
      <c r="C138" s="99"/>
      <c r="D138" s="99"/>
      <c r="E138" s="99"/>
    </row>
    <row r="139" ht="14.25" customHeight="1">
      <c r="B139" s="99"/>
      <c r="C139" s="99"/>
      <c r="D139" s="99"/>
      <c r="E139" s="99"/>
    </row>
    <row r="140" ht="14.25" customHeight="1">
      <c r="B140" s="99"/>
      <c r="C140" s="99"/>
      <c r="D140" s="99"/>
      <c r="E140" s="99"/>
    </row>
    <row r="141" ht="14.25" customHeight="1">
      <c r="B141" s="99"/>
      <c r="C141" s="99"/>
      <c r="D141" s="99"/>
      <c r="E141" s="99"/>
    </row>
    <row r="142" ht="14.25" customHeight="1">
      <c r="B142" s="99"/>
      <c r="C142" s="99"/>
      <c r="D142" s="99"/>
      <c r="E142" s="99"/>
    </row>
    <row r="143" ht="14.25" customHeight="1">
      <c r="B143" s="99"/>
      <c r="C143" s="99"/>
      <c r="D143" s="99"/>
      <c r="E143" s="99"/>
    </row>
    <row r="144" ht="14.25" customHeight="1">
      <c r="B144" s="99"/>
      <c r="C144" s="99"/>
      <c r="D144" s="99"/>
      <c r="E144" s="99"/>
    </row>
    <row r="145" ht="14.25" customHeight="1">
      <c r="B145" s="99"/>
      <c r="C145" s="99"/>
      <c r="D145" s="99"/>
      <c r="E145" s="99"/>
    </row>
    <row r="146" ht="14.25" customHeight="1">
      <c r="B146" s="99"/>
      <c r="C146" s="99"/>
      <c r="D146" s="99"/>
      <c r="E146" s="99"/>
    </row>
    <row r="147" ht="14.25" customHeight="1">
      <c r="B147" s="99"/>
      <c r="C147" s="99"/>
      <c r="D147" s="99"/>
      <c r="E147" s="99"/>
    </row>
    <row r="148" ht="14.25" customHeight="1">
      <c r="B148" s="99"/>
      <c r="C148" s="99"/>
      <c r="D148" s="99"/>
      <c r="E148" s="99"/>
    </row>
    <row r="149" ht="14.25" customHeight="1">
      <c r="B149" s="99"/>
      <c r="C149" s="99"/>
      <c r="D149" s="99"/>
      <c r="E149" s="99"/>
    </row>
    <row r="150" ht="14.25" customHeight="1">
      <c r="B150" s="99"/>
      <c r="C150" s="99"/>
      <c r="D150" s="99"/>
      <c r="E150" s="99"/>
    </row>
    <row r="151" ht="14.25" customHeight="1">
      <c r="B151" s="99"/>
      <c r="C151" s="99"/>
      <c r="D151" s="99"/>
      <c r="E151" s="99"/>
    </row>
    <row r="152" ht="14.25" customHeight="1">
      <c r="B152" s="99"/>
      <c r="C152" s="99"/>
      <c r="D152" s="99"/>
      <c r="E152" s="99"/>
    </row>
    <row r="153" ht="14.25" customHeight="1">
      <c r="B153" s="99"/>
      <c r="C153" s="99"/>
      <c r="D153" s="99"/>
      <c r="E153" s="99"/>
    </row>
    <row r="154" ht="14.25" customHeight="1">
      <c r="B154" s="99"/>
      <c r="C154" s="99"/>
      <c r="D154" s="99"/>
      <c r="E154" s="99"/>
    </row>
    <row r="155" ht="14.25" customHeight="1">
      <c r="B155" s="99"/>
      <c r="C155" s="99"/>
      <c r="D155" s="99"/>
      <c r="E155" s="99"/>
    </row>
    <row r="156" ht="14.25" customHeight="1">
      <c r="B156" s="99"/>
      <c r="C156" s="99"/>
      <c r="D156" s="99"/>
      <c r="E156" s="99"/>
    </row>
    <row r="157" ht="14.25" customHeight="1">
      <c r="B157" s="99"/>
      <c r="C157" s="99"/>
      <c r="D157" s="99"/>
      <c r="E157" s="99"/>
    </row>
    <row r="158" ht="14.25" customHeight="1">
      <c r="B158" s="99"/>
      <c r="C158" s="99"/>
      <c r="D158" s="99"/>
      <c r="E158" s="99"/>
    </row>
    <row r="159" ht="14.25" customHeight="1">
      <c r="B159" s="99"/>
      <c r="C159" s="99"/>
      <c r="D159" s="99"/>
      <c r="E159" s="99"/>
    </row>
    <row r="160" ht="14.25" customHeight="1">
      <c r="B160" s="99"/>
      <c r="C160" s="99"/>
      <c r="D160" s="99"/>
      <c r="E160" s="99"/>
    </row>
    <row r="161" ht="14.25" customHeight="1">
      <c r="B161" s="99"/>
      <c r="C161" s="99"/>
      <c r="D161" s="99"/>
      <c r="E161" s="99"/>
    </row>
    <row r="162" ht="14.25" customHeight="1">
      <c r="B162" s="99"/>
      <c r="C162" s="99"/>
      <c r="D162" s="99"/>
      <c r="E162" s="99"/>
    </row>
    <row r="163" ht="14.25" customHeight="1">
      <c r="B163" s="99"/>
      <c r="C163" s="99"/>
      <c r="D163" s="99"/>
      <c r="E163" s="99"/>
    </row>
    <row r="164" ht="14.25" customHeight="1">
      <c r="B164" s="99"/>
      <c r="C164" s="99"/>
      <c r="D164" s="99"/>
      <c r="E164" s="99"/>
    </row>
    <row r="165" ht="14.25" customHeight="1">
      <c r="B165" s="99"/>
      <c r="C165" s="99"/>
      <c r="D165" s="99"/>
      <c r="E165" s="99"/>
    </row>
    <row r="166" ht="14.25" customHeight="1">
      <c r="B166" s="99"/>
      <c r="C166" s="99"/>
      <c r="D166" s="99"/>
      <c r="E166" s="99"/>
    </row>
    <row r="167" ht="14.25" customHeight="1">
      <c r="B167" s="99"/>
      <c r="C167" s="99"/>
      <c r="D167" s="99"/>
      <c r="E167" s="99"/>
    </row>
    <row r="168" ht="14.25" customHeight="1">
      <c r="B168" s="99"/>
      <c r="C168" s="99"/>
      <c r="D168" s="99"/>
      <c r="E168" s="99"/>
    </row>
    <row r="169" ht="14.25" customHeight="1">
      <c r="B169" s="99"/>
      <c r="C169" s="99"/>
      <c r="D169" s="99"/>
      <c r="E169" s="99"/>
    </row>
    <row r="170" ht="14.25" customHeight="1">
      <c r="B170" s="99"/>
      <c r="C170" s="99"/>
      <c r="D170" s="99"/>
      <c r="E170" s="99"/>
    </row>
    <row r="171" ht="14.25" customHeight="1">
      <c r="B171" s="99"/>
      <c r="C171" s="99"/>
      <c r="D171" s="99"/>
      <c r="E171" s="99"/>
    </row>
    <row r="172" ht="14.25" customHeight="1">
      <c r="B172" s="99"/>
      <c r="C172" s="99"/>
      <c r="D172" s="99"/>
      <c r="E172" s="99"/>
    </row>
    <row r="173" ht="14.25" customHeight="1">
      <c r="B173" s="99"/>
      <c r="C173" s="99"/>
      <c r="D173" s="99"/>
      <c r="E173" s="99"/>
    </row>
    <row r="174" ht="14.25" customHeight="1">
      <c r="B174" s="99"/>
      <c r="C174" s="99"/>
      <c r="D174" s="99"/>
      <c r="E174" s="99"/>
    </row>
    <row r="175" ht="14.25" customHeight="1">
      <c r="B175" s="99"/>
      <c r="C175" s="99"/>
      <c r="D175" s="99"/>
      <c r="E175" s="99"/>
    </row>
    <row r="176" ht="14.25" customHeight="1">
      <c r="B176" s="99"/>
      <c r="C176" s="99"/>
      <c r="D176" s="99"/>
      <c r="E176" s="99"/>
    </row>
    <row r="177" ht="14.25" customHeight="1">
      <c r="B177" s="99"/>
      <c r="C177" s="99"/>
      <c r="D177" s="99"/>
      <c r="E177" s="99"/>
    </row>
    <row r="178" ht="14.25" customHeight="1">
      <c r="B178" s="99"/>
      <c r="C178" s="99"/>
      <c r="D178" s="99"/>
      <c r="E178" s="99"/>
    </row>
    <row r="179" ht="14.25" customHeight="1">
      <c r="B179" s="99"/>
      <c r="C179" s="99"/>
      <c r="D179" s="99"/>
      <c r="E179" s="99"/>
    </row>
    <row r="180" ht="14.25" customHeight="1">
      <c r="B180" s="99"/>
      <c r="C180" s="99"/>
      <c r="D180" s="99"/>
      <c r="E180" s="99"/>
    </row>
    <row r="181" ht="14.25" customHeight="1">
      <c r="B181" s="99"/>
      <c r="C181" s="99"/>
      <c r="D181" s="99"/>
      <c r="E181" s="99"/>
    </row>
    <row r="182" ht="14.25" customHeight="1">
      <c r="B182" s="99"/>
      <c r="C182" s="99"/>
      <c r="D182" s="99"/>
      <c r="E182" s="99"/>
    </row>
    <row r="183" ht="14.25" customHeight="1">
      <c r="B183" s="99"/>
      <c r="C183" s="99"/>
      <c r="D183" s="99"/>
      <c r="E183" s="99"/>
    </row>
    <row r="184" ht="14.25" customHeight="1">
      <c r="B184" s="99"/>
      <c r="C184" s="99"/>
      <c r="D184" s="99"/>
      <c r="E184" s="99"/>
    </row>
    <row r="185" ht="14.25" customHeight="1">
      <c r="B185" s="99"/>
      <c r="C185" s="99"/>
      <c r="D185" s="99"/>
      <c r="E185" s="99"/>
    </row>
    <row r="186" ht="14.25" customHeight="1">
      <c r="B186" s="99"/>
      <c r="C186" s="99"/>
      <c r="D186" s="99"/>
      <c r="E186" s="99"/>
    </row>
    <row r="187" ht="14.25" customHeight="1">
      <c r="B187" s="99"/>
      <c r="C187" s="99"/>
      <c r="D187" s="99"/>
      <c r="E187" s="99"/>
    </row>
    <row r="188" ht="14.25" customHeight="1">
      <c r="B188" s="99"/>
      <c r="C188" s="99"/>
      <c r="D188" s="99"/>
      <c r="E188" s="99"/>
    </row>
    <row r="189" ht="14.25" customHeight="1">
      <c r="B189" s="99"/>
      <c r="C189" s="99"/>
      <c r="D189" s="99"/>
      <c r="E189" s="99"/>
    </row>
    <row r="190" ht="14.25" customHeight="1">
      <c r="B190" s="99"/>
      <c r="C190" s="99"/>
      <c r="D190" s="99"/>
      <c r="E190" s="99"/>
    </row>
    <row r="191" ht="14.25" customHeight="1">
      <c r="B191" s="99"/>
      <c r="C191" s="99"/>
      <c r="D191" s="99"/>
      <c r="E191" s="99"/>
    </row>
    <row r="192" ht="14.25" customHeight="1">
      <c r="B192" s="99"/>
      <c r="C192" s="99"/>
      <c r="D192" s="99"/>
      <c r="E192" s="99"/>
    </row>
    <row r="193" ht="14.25" customHeight="1">
      <c r="B193" s="99"/>
      <c r="C193" s="99"/>
      <c r="D193" s="99"/>
      <c r="E193" s="99"/>
    </row>
    <row r="194" ht="14.25" customHeight="1">
      <c r="B194" s="99"/>
      <c r="C194" s="99"/>
      <c r="D194" s="99"/>
      <c r="E194" s="99"/>
    </row>
    <row r="195" ht="14.25" customHeight="1">
      <c r="B195" s="99"/>
      <c r="C195" s="99"/>
      <c r="D195" s="99"/>
      <c r="E195" s="99"/>
    </row>
    <row r="196" ht="14.25" customHeight="1">
      <c r="B196" s="99"/>
      <c r="C196" s="99"/>
      <c r="D196" s="99"/>
      <c r="E196" s="99"/>
    </row>
    <row r="197" ht="14.25" customHeight="1">
      <c r="B197" s="99"/>
      <c r="C197" s="99"/>
      <c r="D197" s="99"/>
      <c r="E197" s="99"/>
    </row>
    <row r="198" ht="14.25" customHeight="1">
      <c r="B198" s="99"/>
      <c r="C198" s="99"/>
      <c r="D198" s="99"/>
      <c r="E198" s="99"/>
    </row>
    <row r="199" ht="14.25" customHeight="1">
      <c r="B199" s="99"/>
      <c r="C199" s="99"/>
      <c r="D199" s="99"/>
      <c r="E199" s="99"/>
    </row>
    <row r="200" ht="14.25" customHeight="1">
      <c r="B200" s="99"/>
      <c r="C200" s="99"/>
      <c r="D200" s="99"/>
      <c r="E200" s="99"/>
    </row>
    <row r="201" ht="14.25" customHeight="1">
      <c r="B201" s="99"/>
      <c r="C201" s="99"/>
      <c r="D201" s="99"/>
      <c r="E201" s="99"/>
    </row>
    <row r="202" ht="14.25" customHeight="1">
      <c r="B202" s="99"/>
      <c r="C202" s="99"/>
      <c r="D202" s="99"/>
      <c r="E202" s="99"/>
    </row>
    <row r="203" ht="14.25" customHeight="1">
      <c r="B203" s="99"/>
      <c r="C203" s="99"/>
      <c r="D203" s="99"/>
      <c r="E203" s="99"/>
    </row>
    <row r="204" ht="14.25" customHeight="1">
      <c r="B204" s="99"/>
      <c r="C204" s="99"/>
      <c r="D204" s="99"/>
      <c r="E204" s="99"/>
    </row>
    <row r="205" ht="14.25" customHeight="1">
      <c r="B205" s="99"/>
      <c r="C205" s="99"/>
      <c r="D205" s="99"/>
      <c r="E205" s="99"/>
    </row>
    <row r="206" ht="14.25" customHeight="1">
      <c r="B206" s="99"/>
      <c r="C206" s="99"/>
      <c r="D206" s="99"/>
      <c r="E206" s="99"/>
    </row>
    <row r="207" ht="14.25" customHeight="1">
      <c r="B207" s="99"/>
      <c r="C207" s="99"/>
      <c r="D207" s="99"/>
      <c r="E207" s="99"/>
    </row>
    <row r="208" ht="14.25" customHeight="1">
      <c r="B208" s="99"/>
      <c r="C208" s="99"/>
      <c r="D208" s="99"/>
      <c r="E208" s="99"/>
    </row>
    <row r="209" ht="14.25" customHeight="1">
      <c r="B209" s="99"/>
      <c r="C209" s="99"/>
      <c r="D209" s="99"/>
      <c r="E209" s="99"/>
    </row>
    <row r="210" ht="14.25" customHeight="1">
      <c r="B210" s="99"/>
      <c r="C210" s="99"/>
      <c r="D210" s="99"/>
      <c r="E210" s="99"/>
    </row>
    <row r="211" ht="14.25" customHeight="1">
      <c r="B211" s="99"/>
      <c r="C211" s="99"/>
      <c r="D211" s="99"/>
      <c r="E211" s="99"/>
    </row>
    <row r="212" ht="14.25" customHeight="1">
      <c r="B212" s="99"/>
      <c r="C212" s="99"/>
      <c r="D212" s="99"/>
      <c r="E212" s="99"/>
    </row>
    <row r="213" ht="14.25" customHeight="1">
      <c r="B213" s="99"/>
      <c r="C213" s="99"/>
      <c r="D213" s="99"/>
      <c r="E213" s="99"/>
    </row>
    <row r="214" ht="14.25" customHeight="1">
      <c r="B214" s="99"/>
      <c r="C214" s="99"/>
      <c r="D214" s="99"/>
      <c r="E214" s="99"/>
    </row>
    <row r="215" ht="14.25" customHeight="1">
      <c r="B215" s="99"/>
      <c r="C215" s="99"/>
      <c r="D215" s="99"/>
      <c r="E215" s="99"/>
    </row>
    <row r="216" ht="14.25" customHeight="1">
      <c r="B216" s="99"/>
      <c r="C216" s="99"/>
      <c r="D216" s="99"/>
      <c r="E216" s="99"/>
    </row>
    <row r="217" ht="14.25" customHeight="1">
      <c r="B217" s="99"/>
      <c r="C217" s="99"/>
      <c r="D217" s="99"/>
      <c r="E217" s="99"/>
    </row>
    <row r="218" ht="14.25" customHeight="1">
      <c r="B218" s="99"/>
      <c r="C218" s="99"/>
      <c r="D218" s="99"/>
      <c r="E218" s="99"/>
    </row>
    <row r="219" ht="14.25" customHeight="1">
      <c r="B219" s="99"/>
      <c r="C219" s="99"/>
      <c r="D219" s="99"/>
      <c r="E219" s="99"/>
    </row>
    <row r="220" ht="14.25" customHeight="1">
      <c r="B220" s="99"/>
      <c r="C220" s="99"/>
      <c r="D220" s="99"/>
      <c r="E220" s="99"/>
    </row>
    <row r="221" ht="14.25" customHeight="1">
      <c r="B221" s="99"/>
      <c r="C221" s="99"/>
      <c r="D221" s="99"/>
      <c r="E221" s="99"/>
    </row>
    <row r="222" ht="14.25" customHeight="1">
      <c r="B222" s="99"/>
      <c r="C222" s="99"/>
      <c r="D222" s="99"/>
      <c r="E222" s="99"/>
    </row>
    <row r="223" ht="14.25" customHeight="1">
      <c r="B223" s="99"/>
      <c r="C223" s="99"/>
      <c r="D223" s="99"/>
      <c r="E223" s="99"/>
    </row>
    <row r="224" ht="14.25" customHeight="1">
      <c r="B224" s="99"/>
      <c r="C224" s="99"/>
      <c r="D224" s="99"/>
      <c r="E224" s="99"/>
    </row>
    <row r="225" ht="14.25" customHeight="1">
      <c r="B225" s="99"/>
      <c r="C225" s="99"/>
      <c r="D225" s="99"/>
      <c r="E225" s="99"/>
    </row>
    <row r="226" ht="14.25" customHeight="1">
      <c r="B226" s="99"/>
      <c r="C226" s="99"/>
      <c r="D226" s="99"/>
      <c r="E226" s="99"/>
    </row>
    <row r="227" ht="14.25" customHeight="1">
      <c r="B227" s="99"/>
      <c r="C227" s="99"/>
      <c r="D227" s="99"/>
      <c r="E227" s="99"/>
    </row>
    <row r="228" ht="14.25" customHeight="1">
      <c r="B228" s="99"/>
      <c r="C228" s="99"/>
      <c r="D228" s="99"/>
      <c r="E228" s="99"/>
    </row>
    <row r="229" ht="14.25" customHeight="1">
      <c r="B229" s="99"/>
      <c r="C229" s="99"/>
      <c r="D229" s="99"/>
      <c r="E229" s="99"/>
    </row>
    <row r="230" ht="14.25" customHeight="1">
      <c r="B230" s="99"/>
      <c r="C230" s="99"/>
      <c r="D230" s="99"/>
      <c r="E230" s="99"/>
    </row>
    <row r="231" ht="14.25" customHeight="1">
      <c r="B231" s="99"/>
      <c r="C231" s="99"/>
      <c r="D231" s="99"/>
      <c r="E231" s="99"/>
    </row>
    <row r="232" ht="14.25" customHeight="1">
      <c r="B232" s="99"/>
      <c r="C232" s="99"/>
      <c r="D232" s="99"/>
      <c r="E232" s="99"/>
    </row>
    <row r="233" ht="14.25" customHeight="1">
      <c r="B233" s="99"/>
      <c r="C233" s="99"/>
      <c r="D233" s="99"/>
      <c r="E233" s="99"/>
    </row>
    <row r="234" ht="14.25" customHeight="1">
      <c r="B234" s="99"/>
      <c r="C234" s="99"/>
      <c r="D234" s="99"/>
      <c r="E234" s="99"/>
    </row>
    <row r="235" ht="14.25" customHeight="1">
      <c r="B235" s="99"/>
      <c r="C235" s="99"/>
      <c r="D235" s="99"/>
      <c r="E235" s="99"/>
    </row>
    <row r="236" ht="14.25" customHeight="1">
      <c r="B236" s="99"/>
      <c r="C236" s="99"/>
      <c r="D236" s="99"/>
      <c r="E236" s="99"/>
    </row>
    <row r="237" ht="14.25" customHeight="1">
      <c r="B237" s="99"/>
      <c r="C237" s="99"/>
      <c r="D237" s="99"/>
      <c r="E237" s="99"/>
    </row>
    <row r="238" ht="14.25" customHeight="1">
      <c r="B238" s="99"/>
      <c r="C238" s="99"/>
      <c r="D238" s="99"/>
      <c r="E238" s="99"/>
    </row>
    <row r="239" ht="14.25" customHeight="1">
      <c r="B239" s="99"/>
      <c r="C239" s="99"/>
      <c r="D239" s="99"/>
      <c r="E239" s="99"/>
    </row>
    <row r="240" ht="14.25" customHeight="1">
      <c r="B240" s="99"/>
      <c r="C240" s="99"/>
      <c r="D240" s="99"/>
      <c r="E240" s="99"/>
    </row>
    <row r="241" ht="14.25" customHeight="1">
      <c r="B241" s="99"/>
      <c r="C241" s="99"/>
      <c r="D241" s="99"/>
      <c r="E241" s="99"/>
    </row>
    <row r="242" ht="14.25" customHeight="1">
      <c r="B242" s="99"/>
      <c r="C242" s="99"/>
      <c r="D242" s="99"/>
      <c r="E242" s="99"/>
    </row>
    <row r="243" ht="14.25" customHeight="1">
      <c r="B243" s="99"/>
      <c r="C243" s="99"/>
      <c r="D243" s="99"/>
      <c r="E243" s="99"/>
    </row>
    <row r="244" ht="14.25" customHeight="1">
      <c r="B244" s="99"/>
      <c r="C244" s="99"/>
      <c r="D244" s="99"/>
      <c r="E244" s="99"/>
    </row>
    <row r="245" ht="14.25" customHeight="1">
      <c r="B245" s="99"/>
      <c r="C245" s="99"/>
      <c r="D245" s="99"/>
      <c r="E245" s="99"/>
    </row>
    <row r="246" ht="14.25" customHeight="1">
      <c r="B246" s="99"/>
      <c r="C246" s="99"/>
      <c r="D246" s="99"/>
      <c r="E246" s="99"/>
    </row>
    <row r="247" ht="14.25" customHeight="1">
      <c r="B247" s="99"/>
      <c r="C247" s="99"/>
      <c r="D247" s="99"/>
      <c r="E247" s="99"/>
    </row>
    <row r="248" ht="14.25" customHeight="1">
      <c r="B248" s="99"/>
      <c r="C248" s="99"/>
      <c r="D248" s="99"/>
      <c r="E248" s="99"/>
    </row>
    <row r="249" ht="14.25" customHeight="1">
      <c r="B249" s="99"/>
      <c r="C249" s="99"/>
      <c r="D249" s="99"/>
      <c r="E249" s="99"/>
    </row>
    <row r="250" ht="14.25" customHeight="1">
      <c r="B250" s="99"/>
      <c r="C250" s="99"/>
      <c r="D250" s="99"/>
      <c r="E250" s="99"/>
    </row>
    <row r="251" ht="14.25" customHeight="1">
      <c r="B251" s="99"/>
      <c r="C251" s="99"/>
      <c r="D251" s="99"/>
      <c r="E251" s="99"/>
    </row>
    <row r="252" ht="14.25" customHeight="1">
      <c r="B252" s="99"/>
      <c r="C252" s="99"/>
      <c r="D252" s="99"/>
      <c r="E252" s="99"/>
    </row>
    <row r="253" ht="14.25" customHeight="1">
      <c r="B253" s="99"/>
      <c r="C253" s="99"/>
      <c r="D253" s="99"/>
      <c r="E253" s="99"/>
    </row>
    <row r="254" ht="14.25" customHeight="1">
      <c r="B254" s="99"/>
      <c r="C254" s="99"/>
      <c r="D254" s="99"/>
      <c r="E254" s="99"/>
    </row>
    <row r="255" ht="14.25" customHeight="1">
      <c r="B255" s="99"/>
      <c r="C255" s="99"/>
      <c r="D255" s="99"/>
      <c r="E255" s="99"/>
    </row>
    <row r="256" ht="14.25" customHeight="1">
      <c r="B256" s="99"/>
      <c r="C256" s="99"/>
      <c r="D256" s="99"/>
      <c r="E256" s="99"/>
    </row>
    <row r="257" ht="14.25" customHeight="1">
      <c r="B257" s="99"/>
      <c r="C257" s="99"/>
      <c r="D257" s="99"/>
      <c r="E257" s="99"/>
    </row>
    <row r="258" ht="14.25" customHeight="1">
      <c r="B258" s="99"/>
      <c r="C258" s="99"/>
      <c r="D258" s="99"/>
      <c r="E258" s="99"/>
    </row>
    <row r="259" ht="14.25" customHeight="1">
      <c r="B259" s="99"/>
      <c r="C259" s="99"/>
      <c r="D259" s="99"/>
      <c r="E259" s="99"/>
    </row>
    <row r="260" ht="14.25" customHeight="1">
      <c r="B260" s="99"/>
      <c r="C260" s="99"/>
      <c r="D260" s="99"/>
      <c r="E260" s="99"/>
    </row>
    <row r="261" ht="14.25" customHeight="1">
      <c r="B261" s="99"/>
      <c r="C261" s="99"/>
      <c r="D261" s="99"/>
      <c r="E261" s="99"/>
    </row>
    <row r="262" ht="14.25" customHeight="1">
      <c r="B262" s="99"/>
      <c r="C262" s="99"/>
      <c r="D262" s="99"/>
      <c r="E262" s="99"/>
    </row>
    <row r="263" ht="14.25" customHeight="1">
      <c r="B263" s="99"/>
      <c r="C263" s="99"/>
      <c r="D263" s="99"/>
      <c r="E263" s="99"/>
    </row>
    <row r="264" ht="14.25" customHeight="1">
      <c r="B264" s="99"/>
      <c r="C264" s="99"/>
      <c r="D264" s="99"/>
      <c r="E264" s="99"/>
    </row>
    <row r="265" ht="14.25" customHeight="1">
      <c r="B265" s="99"/>
      <c r="C265" s="99"/>
      <c r="D265" s="99"/>
      <c r="E265" s="99"/>
    </row>
    <row r="266" ht="14.25" customHeight="1">
      <c r="B266" s="99"/>
      <c r="C266" s="99"/>
      <c r="D266" s="99"/>
      <c r="E266" s="99"/>
    </row>
    <row r="267" ht="14.25" customHeight="1">
      <c r="B267" s="99"/>
      <c r="C267" s="99"/>
      <c r="D267" s="99"/>
      <c r="E267" s="99"/>
    </row>
    <row r="268" ht="14.25" customHeight="1">
      <c r="B268" s="99"/>
      <c r="C268" s="99"/>
      <c r="D268" s="99"/>
      <c r="E268" s="99"/>
    </row>
    <row r="269" ht="14.25" customHeight="1">
      <c r="B269" s="99"/>
      <c r="C269" s="99"/>
      <c r="D269" s="99"/>
      <c r="E269" s="99"/>
    </row>
    <row r="270" ht="14.25" customHeight="1">
      <c r="B270" s="99"/>
      <c r="C270" s="99"/>
      <c r="D270" s="99"/>
      <c r="E270" s="99"/>
    </row>
    <row r="271" ht="14.25" customHeight="1">
      <c r="B271" s="99"/>
      <c r="C271" s="99"/>
      <c r="D271" s="99"/>
      <c r="E271" s="99"/>
    </row>
    <row r="272" ht="14.25" customHeight="1">
      <c r="B272" s="99"/>
      <c r="C272" s="99"/>
      <c r="D272" s="99"/>
      <c r="E272" s="99"/>
    </row>
    <row r="273" ht="14.25" customHeight="1">
      <c r="B273" s="99"/>
      <c r="C273" s="99"/>
      <c r="D273" s="99"/>
      <c r="E273" s="99"/>
    </row>
    <row r="274" ht="14.25" customHeight="1">
      <c r="B274" s="99"/>
      <c r="C274" s="99"/>
      <c r="D274" s="99"/>
      <c r="E274" s="99"/>
    </row>
    <row r="275" ht="14.25" customHeight="1">
      <c r="B275" s="99"/>
      <c r="C275" s="99"/>
      <c r="D275" s="99"/>
      <c r="E275" s="99"/>
    </row>
    <row r="276" ht="14.25" customHeight="1">
      <c r="B276" s="99"/>
      <c r="C276" s="99"/>
      <c r="D276" s="99"/>
      <c r="E276" s="99"/>
    </row>
    <row r="277" ht="14.25" customHeight="1">
      <c r="B277" s="99"/>
      <c r="C277" s="99"/>
      <c r="D277" s="99"/>
      <c r="E277" s="99"/>
    </row>
    <row r="278" ht="14.25" customHeight="1">
      <c r="B278" s="99"/>
      <c r="C278" s="99"/>
      <c r="D278" s="99"/>
      <c r="E278" s="99"/>
    </row>
    <row r="279" ht="14.25" customHeight="1">
      <c r="B279" s="99"/>
      <c r="C279" s="99"/>
      <c r="D279" s="99"/>
      <c r="E279" s="99"/>
    </row>
    <row r="280" ht="14.25" customHeight="1">
      <c r="B280" s="99"/>
      <c r="C280" s="99"/>
      <c r="D280" s="99"/>
      <c r="E280" s="99"/>
    </row>
    <row r="281" ht="14.25" customHeight="1">
      <c r="B281" s="99"/>
      <c r="C281" s="99"/>
      <c r="D281" s="99"/>
      <c r="E281" s="99"/>
    </row>
    <row r="282" ht="14.25" customHeight="1">
      <c r="B282" s="99"/>
      <c r="C282" s="99"/>
      <c r="D282" s="99"/>
      <c r="E282" s="99"/>
    </row>
    <row r="283" ht="14.25" customHeight="1">
      <c r="B283" s="99"/>
      <c r="C283" s="99"/>
      <c r="D283" s="99"/>
      <c r="E283" s="99"/>
    </row>
    <row r="284" ht="14.25" customHeight="1">
      <c r="B284" s="99"/>
      <c r="C284" s="99"/>
      <c r="D284" s="99"/>
      <c r="E284" s="99"/>
    </row>
    <row r="285" ht="14.25" customHeight="1">
      <c r="B285" s="99"/>
      <c r="C285" s="99"/>
      <c r="D285" s="99"/>
      <c r="E285" s="99"/>
    </row>
    <row r="286" ht="14.25" customHeight="1">
      <c r="B286" s="99"/>
      <c r="C286" s="99"/>
      <c r="D286" s="99"/>
      <c r="E286" s="99"/>
    </row>
    <row r="287" ht="14.25" customHeight="1">
      <c r="B287" s="99"/>
      <c r="C287" s="99"/>
      <c r="D287" s="99"/>
      <c r="E287" s="99"/>
    </row>
    <row r="288" ht="14.25" customHeight="1">
      <c r="B288" s="99"/>
      <c r="C288" s="99"/>
      <c r="D288" s="99"/>
      <c r="E288" s="99"/>
    </row>
    <row r="289" ht="14.25" customHeight="1">
      <c r="B289" s="99"/>
      <c r="C289" s="99"/>
      <c r="D289" s="99"/>
      <c r="E289" s="99"/>
    </row>
    <row r="290" ht="14.25" customHeight="1">
      <c r="B290" s="99"/>
      <c r="C290" s="99"/>
      <c r="D290" s="99"/>
      <c r="E290" s="99"/>
    </row>
    <row r="291" ht="14.25" customHeight="1">
      <c r="B291" s="99"/>
      <c r="C291" s="99"/>
      <c r="D291" s="99"/>
      <c r="E291" s="99"/>
    </row>
    <row r="292" ht="14.25" customHeight="1">
      <c r="B292" s="99"/>
      <c r="C292" s="99"/>
      <c r="D292" s="99"/>
      <c r="E292" s="99"/>
    </row>
    <row r="293" ht="14.25" customHeight="1">
      <c r="B293" s="99"/>
      <c r="C293" s="99"/>
      <c r="D293" s="99"/>
      <c r="E293" s="99"/>
    </row>
    <row r="294" ht="14.25" customHeight="1">
      <c r="B294" s="99"/>
      <c r="C294" s="99"/>
      <c r="D294" s="99"/>
      <c r="E294" s="99"/>
    </row>
    <row r="295" ht="14.25" customHeight="1">
      <c r="B295" s="99"/>
      <c r="C295" s="99"/>
      <c r="D295" s="99"/>
      <c r="E295" s="99"/>
    </row>
    <row r="296" ht="14.25" customHeight="1">
      <c r="B296" s="99"/>
      <c r="C296" s="99"/>
      <c r="D296" s="99"/>
      <c r="E296" s="99"/>
    </row>
    <row r="297" ht="14.25" customHeight="1">
      <c r="B297" s="99"/>
      <c r="C297" s="99"/>
      <c r="D297" s="99"/>
      <c r="E297" s="99"/>
    </row>
    <row r="298" ht="14.25" customHeight="1">
      <c r="B298" s="99"/>
      <c r="C298" s="99"/>
      <c r="D298" s="99"/>
      <c r="E298" s="99"/>
    </row>
    <row r="299" ht="14.25" customHeight="1">
      <c r="B299" s="99"/>
      <c r="C299" s="99"/>
      <c r="D299" s="99"/>
      <c r="E299" s="99"/>
    </row>
    <row r="300" ht="14.25" customHeight="1">
      <c r="B300" s="99"/>
      <c r="C300" s="99"/>
      <c r="D300" s="99"/>
      <c r="E300" s="99"/>
    </row>
    <row r="301" ht="14.25" customHeight="1">
      <c r="B301" s="99"/>
      <c r="C301" s="99"/>
      <c r="D301" s="99"/>
      <c r="E301" s="99"/>
    </row>
    <row r="302" ht="14.25" customHeight="1">
      <c r="B302" s="99"/>
      <c r="C302" s="99"/>
      <c r="D302" s="99"/>
      <c r="E302" s="99"/>
    </row>
    <row r="303" ht="14.25" customHeight="1">
      <c r="B303" s="99"/>
      <c r="C303" s="99"/>
      <c r="D303" s="99"/>
      <c r="E303" s="99"/>
    </row>
    <row r="304" ht="14.25" customHeight="1">
      <c r="B304" s="99"/>
      <c r="C304" s="99"/>
      <c r="D304" s="99"/>
      <c r="E304" s="99"/>
    </row>
    <row r="305" ht="14.25" customHeight="1">
      <c r="B305" s="99"/>
      <c r="C305" s="99"/>
      <c r="D305" s="99"/>
      <c r="E305" s="99"/>
    </row>
    <row r="306" ht="14.25" customHeight="1">
      <c r="B306" s="99"/>
      <c r="C306" s="99"/>
      <c r="D306" s="99"/>
      <c r="E306" s="99"/>
    </row>
    <row r="307" ht="14.25" customHeight="1">
      <c r="B307" s="99"/>
      <c r="C307" s="99"/>
      <c r="D307" s="99"/>
      <c r="E307" s="99"/>
    </row>
    <row r="308" ht="14.25" customHeight="1">
      <c r="B308" s="99"/>
      <c r="C308" s="99"/>
      <c r="D308" s="99"/>
      <c r="E308" s="99"/>
    </row>
    <row r="309" ht="14.25" customHeight="1">
      <c r="B309" s="99"/>
      <c r="C309" s="99"/>
      <c r="D309" s="99"/>
      <c r="E309" s="99"/>
    </row>
    <row r="310" ht="14.25" customHeight="1">
      <c r="B310" s="99"/>
      <c r="C310" s="99"/>
      <c r="D310" s="99"/>
      <c r="E310" s="99"/>
    </row>
    <row r="311" ht="14.25" customHeight="1">
      <c r="B311" s="99"/>
      <c r="C311" s="99"/>
      <c r="D311" s="99"/>
      <c r="E311" s="99"/>
    </row>
    <row r="312" ht="14.25" customHeight="1">
      <c r="B312" s="99"/>
      <c r="C312" s="99"/>
      <c r="D312" s="99"/>
      <c r="E312" s="99"/>
    </row>
    <row r="313" ht="14.25" customHeight="1">
      <c r="B313" s="99"/>
      <c r="C313" s="99"/>
      <c r="D313" s="99"/>
      <c r="E313" s="99"/>
    </row>
    <row r="314" ht="14.25" customHeight="1">
      <c r="B314" s="99"/>
      <c r="C314" s="99"/>
      <c r="D314" s="99"/>
      <c r="E314" s="99"/>
    </row>
    <row r="315" ht="14.25" customHeight="1">
      <c r="B315" s="99"/>
      <c r="C315" s="99"/>
      <c r="D315" s="99"/>
      <c r="E315" s="99"/>
    </row>
    <row r="316" ht="14.25" customHeight="1">
      <c r="B316" s="99"/>
      <c r="C316" s="99"/>
      <c r="D316" s="99"/>
      <c r="E316" s="99"/>
    </row>
    <row r="317" ht="14.25" customHeight="1">
      <c r="B317" s="99"/>
      <c r="C317" s="99"/>
      <c r="D317" s="99"/>
      <c r="E317" s="99"/>
    </row>
    <row r="318" ht="14.25" customHeight="1">
      <c r="B318" s="99"/>
      <c r="C318" s="99"/>
      <c r="D318" s="99"/>
      <c r="E318" s="99"/>
    </row>
    <row r="319" ht="14.25" customHeight="1">
      <c r="B319" s="99"/>
      <c r="C319" s="99"/>
      <c r="D319" s="99"/>
      <c r="E319" s="99"/>
    </row>
    <row r="320" ht="14.25" customHeight="1">
      <c r="B320" s="99"/>
      <c r="C320" s="99"/>
      <c r="D320" s="99"/>
      <c r="E320" s="99"/>
    </row>
    <row r="321" ht="14.25" customHeight="1">
      <c r="B321" s="99"/>
      <c r="C321" s="99"/>
      <c r="D321" s="99"/>
      <c r="E321" s="99"/>
    </row>
    <row r="322" ht="14.25" customHeight="1">
      <c r="B322" s="99"/>
      <c r="C322" s="99"/>
      <c r="D322" s="99"/>
      <c r="E322" s="99"/>
    </row>
    <row r="323" ht="14.25" customHeight="1">
      <c r="B323" s="99"/>
      <c r="C323" s="99"/>
      <c r="D323" s="99"/>
      <c r="E323" s="99"/>
    </row>
    <row r="324" ht="14.25" customHeight="1">
      <c r="B324" s="99"/>
      <c r="C324" s="99"/>
      <c r="D324" s="99"/>
      <c r="E324" s="99"/>
    </row>
    <row r="325" ht="14.25" customHeight="1">
      <c r="B325" s="99"/>
      <c r="C325" s="99"/>
      <c r="D325" s="99"/>
      <c r="E325" s="99"/>
    </row>
    <row r="326" ht="14.25" customHeight="1">
      <c r="B326" s="99"/>
      <c r="C326" s="99"/>
      <c r="D326" s="99"/>
      <c r="E326" s="99"/>
    </row>
    <row r="327" ht="14.25" customHeight="1">
      <c r="B327" s="99"/>
      <c r="C327" s="99"/>
      <c r="D327" s="99"/>
      <c r="E327" s="99"/>
    </row>
    <row r="328" ht="14.25" customHeight="1">
      <c r="B328" s="99"/>
      <c r="C328" s="99"/>
      <c r="D328" s="99"/>
      <c r="E328" s="99"/>
    </row>
    <row r="329" ht="14.25" customHeight="1">
      <c r="B329" s="99"/>
      <c r="C329" s="99"/>
      <c r="D329" s="99"/>
      <c r="E329" s="99"/>
    </row>
    <row r="330" ht="14.25" customHeight="1">
      <c r="B330" s="99"/>
      <c r="C330" s="99"/>
      <c r="D330" s="99"/>
      <c r="E330" s="99"/>
    </row>
    <row r="331" ht="14.25" customHeight="1">
      <c r="B331" s="99"/>
      <c r="C331" s="99"/>
      <c r="D331" s="99"/>
      <c r="E331" s="99"/>
    </row>
    <row r="332" ht="14.25" customHeight="1">
      <c r="B332" s="99"/>
      <c r="C332" s="99"/>
      <c r="D332" s="99"/>
      <c r="E332" s="99"/>
    </row>
    <row r="333" ht="14.25" customHeight="1">
      <c r="B333" s="99"/>
      <c r="C333" s="99"/>
      <c r="D333" s="99"/>
      <c r="E333" s="99"/>
    </row>
    <row r="334" ht="14.25" customHeight="1">
      <c r="B334" s="99"/>
      <c r="C334" s="99"/>
      <c r="D334" s="99"/>
      <c r="E334" s="99"/>
    </row>
    <row r="335" ht="14.25" customHeight="1">
      <c r="B335" s="99"/>
      <c r="C335" s="99"/>
      <c r="D335" s="99"/>
      <c r="E335" s="99"/>
    </row>
    <row r="336" ht="14.25" customHeight="1">
      <c r="B336" s="99"/>
      <c r="C336" s="99"/>
      <c r="D336" s="99"/>
      <c r="E336" s="99"/>
    </row>
    <row r="337" ht="14.25" customHeight="1">
      <c r="B337" s="99"/>
      <c r="C337" s="99"/>
      <c r="D337" s="99"/>
      <c r="E337" s="99"/>
    </row>
    <row r="338" ht="14.25" customHeight="1">
      <c r="B338" s="99"/>
      <c r="C338" s="99"/>
      <c r="D338" s="99"/>
      <c r="E338" s="99"/>
    </row>
    <row r="339" ht="14.25" customHeight="1">
      <c r="B339" s="99"/>
      <c r="C339" s="99"/>
      <c r="D339" s="99"/>
      <c r="E339" s="99"/>
    </row>
    <row r="340" ht="14.25" customHeight="1">
      <c r="B340" s="99"/>
      <c r="C340" s="99"/>
      <c r="D340" s="99"/>
      <c r="E340" s="99"/>
    </row>
    <row r="341" ht="14.25" customHeight="1">
      <c r="B341" s="99"/>
      <c r="C341" s="99"/>
      <c r="D341" s="99"/>
      <c r="E341" s="99"/>
    </row>
    <row r="342" ht="14.25" customHeight="1">
      <c r="B342" s="99"/>
      <c r="C342" s="99"/>
      <c r="D342" s="99"/>
      <c r="E342" s="99"/>
    </row>
    <row r="343" ht="14.25" customHeight="1">
      <c r="B343" s="99"/>
      <c r="C343" s="99"/>
      <c r="D343" s="99"/>
      <c r="E343" s="99"/>
    </row>
    <row r="344" ht="14.25" customHeight="1">
      <c r="B344" s="99"/>
      <c r="C344" s="99"/>
      <c r="D344" s="99"/>
      <c r="E344" s="99"/>
    </row>
    <row r="345" ht="14.25" customHeight="1">
      <c r="B345" s="99"/>
      <c r="C345" s="99"/>
      <c r="D345" s="99"/>
      <c r="E345" s="99"/>
    </row>
    <row r="346" ht="14.25" customHeight="1">
      <c r="B346" s="99"/>
      <c r="C346" s="99"/>
      <c r="D346" s="99"/>
      <c r="E346" s="99"/>
    </row>
    <row r="347" ht="14.25" customHeight="1">
      <c r="B347" s="99"/>
      <c r="C347" s="99"/>
      <c r="D347" s="99"/>
      <c r="E347" s="99"/>
    </row>
    <row r="348" ht="14.25" customHeight="1">
      <c r="B348" s="99"/>
      <c r="C348" s="99"/>
      <c r="D348" s="99"/>
      <c r="E348" s="99"/>
    </row>
    <row r="349" ht="14.25" customHeight="1">
      <c r="B349" s="99"/>
      <c r="C349" s="99"/>
      <c r="D349" s="99"/>
      <c r="E349" s="99"/>
    </row>
    <row r="350" ht="14.25" customHeight="1">
      <c r="B350" s="99"/>
      <c r="C350" s="99"/>
      <c r="D350" s="99"/>
      <c r="E350" s="99"/>
    </row>
    <row r="351" ht="14.25" customHeight="1">
      <c r="B351" s="99"/>
      <c r="C351" s="99"/>
      <c r="D351" s="99"/>
      <c r="E351" s="99"/>
    </row>
    <row r="352" ht="14.25" customHeight="1">
      <c r="B352" s="99"/>
      <c r="C352" s="99"/>
      <c r="D352" s="99"/>
      <c r="E352" s="99"/>
    </row>
    <row r="353" ht="14.25" customHeight="1">
      <c r="B353" s="99"/>
      <c r="C353" s="99"/>
      <c r="D353" s="99"/>
      <c r="E353" s="99"/>
    </row>
    <row r="354" ht="14.25" customHeight="1">
      <c r="B354" s="99"/>
      <c r="C354" s="99"/>
      <c r="D354" s="99"/>
      <c r="E354" s="99"/>
    </row>
    <row r="355" ht="14.25" customHeight="1">
      <c r="B355" s="99"/>
      <c r="C355" s="99"/>
      <c r="D355" s="99"/>
      <c r="E355" s="99"/>
    </row>
    <row r="356" ht="14.25" customHeight="1">
      <c r="B356" s="99"/>
      <c r="C356" s="99"/>
      <c r="D356" s="99"/>
      <c r="E356" s="99"/>
    </row>
    <row r="357" ht="14.25" customHeight="1">
      <c r="B357" s="99"/>
      <c r="C357" s="99"/>
      <c r="D357" s="99"/>
      <c r="E357" s="99"/>
    </row>
    <row r="358" ht="14.25" customHeight="1">
      <c r="B358" s="99"/>
      <c r="C358" s="99"/>
      <c r="D358" s="99"/>
      <c r="E358" s="99"/>
    </row>
    <row r="359" ht="14.25" customHeight="1">
      <c r="B359" s="99"/>
      <c r="C359" s="99"/>
      <c r="D359" s="99"/>
      <c r="E359" s="99"/>
    </row>
    <row r="360" ht="14.25" customHeight="1">
      <c r="B360" s="99"/>
      <c r="C360" s="99"/>
      <c r="D360" s="99"/>
      <c r="E360" s="99"/>
    </row>
    <row r="361" ht="14.25" customHeight="1">
      <c r="B361" s="99"/>
      <c r="C361" s="99"/>
      <c r="D361" s="99"/>
      <c r="E361" s="99"/>
    </row>
    <row r="362" ht="14.25" customHeight="1">
      <c r="B362" s="99"/>
      <c r="C362" s="99"/>
      <c r="D362" s="99"/>
      <c r="E362" s="99"/>
    </row>
    <row r="363" ht="14.25" customHeight="1">
      <c r="B363" s="99"/>
      <c r="C363" s="99"/>
      <c r="D363" s="99"/>
      <c r="E363" s="99"/>
    </row>
    <row r="364" ht="14.25" customHeight="1">
      <c r="B364" s="99"/>
      <c r="C364" s="99"/>
      <c r="D364" s="99"/>
      <c r="E364" s="99"/>
    </row>
    <row r="365" ht="14.25" customHeight="1">
      <c r="B365" s="99"/>
      <c r="C365" s="99"/>
      <c r="D365" s="99"/>
      <c r="E365" s="99"/>
    </row>
    <row r="366" ht="14.25" customHeight="1">
      <c r="B366" s="99"/>
      <c r="C366" s="99"/>
      <c r="D366" s="99"/>
      <c r="E366" s="99"/>
    </row>
    <row r="367" ht="14.25" customHeight="1">
      <c r="B367" s="99"/>
      <c r="C367" s="99"/>
      <c r="D367" s="99"/>
      <c r="E367" s="99"/>
    </row>
    <row r="368" ht="14.25" customHeight="1">
      <c r="B368" s="99"/>
      <c r="C368" s="99"/>
      <c r="D368" s="99"/>
      <c r="E368" s="99"/>
    </row>
    <row r="369" ht="14.25" customHeight="1">
      <c r="B369" s="99"/>
      <c r="C369" s="99"/>
      <c r="D369" s="99"/>
      <c r="E369" s="99"/>
    </row>
    <row r="370" ht="14.25" customHeight="1">
      <c r="B370" s="99"/>
      <c r="C370" s="99"/>
      <c r="D370" s="99"/>
      <c r="E370" s="99"/>
    </row>
    <row r="371" ht="14.25" customHeight="1">
      <c r="B371" s="99"/>
      <c r="C371" s="99"/>
      <c r="D371" s="99"/>
      <c r="E371" s="99"/>
    </row>
    <row r="372" ht="14.25" customHeight="1">
      <c r="B372" s="99"/>
      <c r="C372" s="99"/>
      <c r="D372" s="99"/>
      <c r="E372" s="99"/>
    </row>
    <row r="373" ht="14.25" customHeight="1">
      <c r="B373" s="99"/>
      <c r="C373" s="99"/>
      <c r="D373" s="99"/>
      <c r="E373" s="99"/>
    </row>
    <row r="374" ht="14.25" customHeight="1">
      <c r="B374" s="99"/>
      <c r="C374" s="99"/>
      <c r="D374" s="99"/>
      <c r="E374" s="99"/>
    </row>
    <row r="375" ht="14.25" customHeight="1">
      <c r="B375" s="99"/>
      <c r="C375" s="99"/>
      <c r="D375" s="99"/>
      <c r="E375" s="99"/>
    </row>
    <row r="376" ht="14.25" customHeight="1">
      <c r="B376" s="99"/>
      <c r="C376" s="99"/>
      <c r="D376" s="99"/>
      <c r="E376" s="99"/>
    </row>
    <row r="377" ht="14.25" customHeight="1">
      <c r="B377" s="99"/>
      <c r="C377" s="99"/>
      <c r="D377" s="99"/>
      <c r="E377" s="99"/>
    </row>
    <row r="378" ht="14.25" customHeight="1">
      <c r="B378" s="99"/>
      <c r="C378" s="99"/>
      <c r="D378" s="99"/>
      <c r="E378" s="99"/>
    </row>
    <row r="379" ht="14.25" customHeight="1">
      <c r="B379" s="99"/>
      <c r="C379" s="99"/>
      <c r="D379" s="99"/>
      <c r="E379" s="99"/>
    </row>
    <row r="380" ht="14.25" customHeight="1">
      <c r="B380" s="99"/>
      <c r="C380" s="99"/>
      <c r="D380" s="99"/>
      <c r="E380" s="99"/>
    </row>
    <row r="381" ht="14.25" customHeight="1">
      <c r="B381" s="99"/>
      <c r="C381" s="99"/>
      <c r="D381" s="99"/>
      <c r="E381" s="99"/>
    </row>
    <row r="382" ht="14.25" customHeight="1">
      <c r="B382" s="99"/>
      <c r="C382" s="99"/>
      <c r="D382" s="99"/>
      <c r="E382" s="99"/>
    </row>
    <row r="383" ht="14.25" customHeight="1">
      <c r="B383" s="99"/>
      <c r="C383" s="99"/>
      <c r="D383" s="99"/>
      <c r="E383" s="99"/>
    </row>
    <row r="384" ht="14.25" customHeight="1">
      <c r="B384" s="99"/>
      <c r="C384" s="99"/>
      <c r="D384" s="99"/>
      <c r="E384" s="99"/>
    </row>
    <row r="385" ht="14.25" customHeight="1">
      <c r="B385" s="99"/>
      <c r="C385" s="99"/>
      <c r="D385" s="99"/>
      <c r="E385" s="99"/>
    </row>
    <row r="386" ht="14.25" customHeight="1">
      <c r="B386" s="99"/>
      <c r="C386" s="99"/>
      <c r="D386" s="99"/>
      <c r="E386" s="99"/>
    </row>
    <row r="387" ht="14.25" customHeight="1">
      <c r="B387" s="99"/>
      <c r="C387" s="99"/>
      <c r="D387" s="99"/>
      <c r="E387" s="99"/>
    </row>
    <row r="388" ht="14.25" customHeight="1">
      <c r="B388" s="99"/>
      <c r="C388" s="99"/>
      <c r="D388" s="99"/>
      <c r="E388" s="99"/>
    </row>
    <row r="389" ht="14.25" customHeight="1">
      <c r="B389" s="99"/>
      <c r="C389" s="99"/>
      <c r="D389" s="99"/>
      <c r="E389" s="99"/>
    </row>
    <row r="390" ht="14.25" customHeight="1">
      <c r="B390" s="99"/>
      <c r="C390" s="99"/>
      <c r="D390" s="99"/>
      <c r="E390" s="99"/>
    </row>
    <row r="391" ht="14.25" customHeight="1">
      <c r="B391" s="99"/>
      <c r="C391" s="99"/>
      <c r="D391" s="99"/>
      <c r="E391" s="99"/>
    </row>
    <row r="392" ht="14.25" customHeight="1">
      <c r="B392" s="99"/>
      <c r="C392" s="99"/>
      <c r="D392" s="99"/>
      <c r="E392" s="99"/>
    </row>
    <row r="393" ht="14.25" customHeight="1">
      <c r="B393" s="99"/>
      <c r="C393" s="99"/>
      <c r="D393" s="99"/>
      <c r="E393" s="99"/>
    </row>
    <row r="394" ht="14.25" customHeight="1">
      <c r="B394" s="99"/>
      <c r="C394" s="99"/>
      <c r="D394" s="99"/>
      <c r="E394" s="99"/>
    </row>
    <row r="395" ht="14.25" customHeight="1">
      <c r="B395" s="99"/>
      <c r="C395" s="99"/>
      <c r="D395" s="99"/>
      <c r="E395" s="99"/>
    </row>
    <row r="396" ht="14.25" customHeight="1">
      <c r="B396" s="99"/>
      <c r="C396" s="99"/>
      <c r="D396" s="99"/>
      <c r="E396" s="99"/>
    </row>
    <row r="397" ht="14.25" customHeight="1">
      <c r="B397" s="99"/>
      <c r="C397" s="99"/>
      <c r="D397" s="99"/>
      <c r="E397" s="99"/>
    </row>
    <row r="398" ht="14.25" customHeight="1">
      <c r="B398" s="99"/>
      <c r="C398" s="99"/>
      <c r="D398" s="99"/>
      <c r="E398" s="99"/>
    </row>
    <row r="399" ht="14.25" customHeight="1">
      <c r="B399" s="99"/>
      <c r="C399" s="99"/>
      <c r="D399" s="99"/>
      <c r="E399" s="99"/>
    </row>
    <row r="400" ht="14.25" customHeight="1">
      <c r="B400" s="99"/>
      <c r="C400" s="99"/>
      <c r="D400" s="99"/>
      <c r="E400" s="99"/>
    </row>
    <row r="401" ht="14.25" customHeight="1">
      <c r="B401" s="99"/>
      <c r="C401" s="99"/>
      <c r="D401" s="99"/>
      <c r="E401" s="99"/>
    </row>
    <row r="402" ht="14.25" customHeight="1">
      <c r="B402" s="99"/>
      <c r="C402" s="99"/>
      <c r="D402" s="99"/>
      <c r="E402" s="99"/>
    </row>
    <row r="403" ht="14.25" customHeight="1">
      <c r="B403" s="99"/>
      <c r="C403" s="99"/>
      <c r="D403" s="99"/>
      <c r="E403" s="99"/>
    </row>
    <row r="404" ht="14.25" customHeight="1">
      <c r="B404" s="99"/>
      <c r="C404" s="99"/>
      <c r="D404" s="99"/>
      <c r="E404" s="99"/>
    </row>
    <row r="405" ht="14.25" customHeight="1">
      <c r="B405" s="99"/>
      <c r="C405" s="99"/>
      <c r="D405" s="99"/>
      <c r="E405" s="99"/>
    </row>
    <row r="406" ht="14.25" customHeight="1">
      <c r="B406" s="99"/>
      <c r="C406" s="99"/>
      <c r="D406" s="99"/>
      <c r="E406" s="99"/>
    </row>
    <row r="407" ht="14.25" customHeight="1">
      <c r="B407" s="99"/>
      <c r="C407" s="99"/>
      <c r="D407" s="99"/>
      <c r="E407" s="99"/>
    </row>
    <row r="408" ht="14.25" customHeight="1">
      <c r="B408" s="99"/>
      <c r="C408" s="99"/>
      <c r="D408" s="99"/>
      <c r="E408" s="99"/>
    </row>
    <row r="409" ht="14.25" customHeight="1">
      <c r="B409" s="99"/>
      <c r="C409" s="99"/>
      <c r="D409" s="99"/>
      <c r="E409" s="99"/>
    </row>
    <row r="410" ht="14.25" customHeight="1">
      <c r="B410" s="99"/>
      <c r="C410" s="99"/>
      <c r="D410" s="99"/>
      <c r="E410" s="99"/>
    </row>
    <row r="411" ht="14.25" customHeight="1">
      <c r="B411" s="99"/>
      <c r="C411" s="99"/>
      <c r="D411" s="99"/>
      <c r="E411" s="99"/>
    </row>
    <row r="412" ht="14.25" customHeight="1">
      <c r="B412" s="99"/>
      <c r="C412" s="99"/>
      <c r="D412" s="99"/>
      <c r="E412" s="99"/>
    </row>
    <row r="413" ht="14.25" customHeight="1">
      <c r="B413" s="99"/>
      <c r="C413" s="99"/>
      <c r="D413" s="99"/>
      <c r="E413" s="99"/>
    </row>
    <row r="414" ht="14.25" customHeight="1">
      <c r="B414" s="99"/>
      <c r="C414" s="99"/>
      <c r="D414" s="99"/>
      <c r="E414" s="99"/>
    </row>
    <row r="415" ht="14.25" customHeight="1">
      <c r="B415" s="99"/>
      <c r="C415" s="99"/>
      <c r="D415" s="99"/>
      <c r="E415" s="99"/>
    </row>
    <row r="416" ht="14.25" customHeight="1">
      <c r="B416" s="99"/>
      <c r="C416" s="99"/>
      <c r="D416" s="99"/>
      <c r="E416" s="99"/>
    </row>
    <row r="417" ht="14.25" customHeight="1">
      <c r="B417" s="99"/>
      <c r="C417" s="99"/>
      <c r="D417" s="99"/>
      <c r="E417" s="99"/>
    </row>
    <row r="418" ht="14.25" customHeight="1">
      <c r="B418" s="99"/>
      <c r="C418" s="99"/>
      <c r="D418" s="99"/>
      <c r="E418" s="99"/>
    </row>
    <row r="419" ht="14.25" customHeight="1">
      <c r="B419" s="99"/>
      <c r="C419" s="99"/>
      <c r="D419" s="99"/>
      <c r="E419" s="99"/>
    </row>
    <row r="420" ht="14.25" customHeight="1">
      <c r="B420" s="99"/>
      <c r="C420" s="99"/>
      <c r="D420" s="99"/>
      <c r="E420" s="99"/>
    </row>
    <row r="421" ht="14.25" customHeight="1">
      <c r="B421" s="99"/>
      <c r="C421" s="99"/>
      <c r="D421" s="99"/>
      <c r="E421" s="99"/>
    </row>
    <row r="422" ht="14.25" customHeight="1">
      <c r="B422" s="99"/>
      <c r="C422" s="99"/>
      <c r="D422" s="99"/>
      <c r="E422" s="99"/>
    </row>
    <row r="423" ht="14.25" customHeight="1">
      <c r="B423" s="99"/>
      <c r="C423" s="99"/>
      <c r="D423" s="99"/>
      <c r="E423" s="99"/>
    </row>
    <row r="424" ht="14.25" customHeight="1">
      <c r="B424" s="99"/>
      <c r="C424" s="99"/>
      <c r="D424" s="99"/>
      <c r="E424" s="99"/>
    </row>
    <row r="425" ht="14.25" customHeight="1">
      <c r="B425" s="99"/>
      <c r="C425" s="99"/>
      <c r="D425" s="99"/>
      <c r="E425" s="99"/>
    </row>
    <row r="426" ht="14.25" customHeight="1">
      <c r="B426" s="99"/>
      <c r="C426" s="99"/>
      <c r="D426" s="99"/>
      <c r="E426" s="99"/>
    </row>
    <row r="427" ht="14.25" customHeight="1">
      <c r="B427" s="99"/>
      <c r="C427" s="99"/>
      <c r="D427" s="99"/>
      <c r="E427" s="99"/>
    </row>
    <row r="428" ht="14.25" customHeight="1">
      <c r="B428" s="99"/>
      <c r="C428" s="99"/>
      <c r="D428" s="99"/>
      <c r="E428" s="99"/>
    </row>
    <row r="429" ht="14.25" customHeight="1">
      <c r="B429" s="99"/>
      <c r="C429" s="99"/>
      <c r="D429" s="99"/>
      <c r="E429" s="99"/>
    </row>
    <row r="430" ht="14.25" customHeight="1">
      <c r="B430" s="99"/>
      <c r="C430" s="99"/>
      <c r="D430" s="99"/>
      <c r="E430" s="99"/>
    </row>
    <row r="431" ht="14.25" customHeight="1">
      <c r="B431" s="99"/>
      <c r="C431" s="99"/>
      <c r="D431" s="99"/>
      <c r="E431" s="99"/>
    </row>
    <row r="432" ht="14.25" customHeight="1">
      <c r="B432" s="99"/>
      <c r="C432" s="99"/>
      <c r="D432" s="99"/>
      <c r="E432" s="99"/>
    </row>
    <row r="433" ht="14.25" customHeight="1">
      <c r="B433" s="99"/>
      <c r="C433" s="99"/>
      <c r="D433" s="99"/>
      <c r="E433" s="99"/>
    </row>
    <row r="434" ht="14.25" customHeight="1">
      <c r="B434" s="99"/>
      <c r="C434" s="99"/>
      <c r="D434" s="99"/>
      <c r="E434" s="99"/>
    </row>
    <row r="435" ht="14.25" customHeight="1">
      <c r="B435" s="99"/>
      <c r="C435" s="99"/>
      <c r="D435" s="99"/>
      <c r="E435" s="99"/>
    </row>
    <row r="436" ht="14.25" customHeight="1">
      <c r="B436" s="99"/>
      <c r="C436" s="99"/>
      <c r="D436" s="99"/>
      <c r="E436" s="99"/>
    </row>
    <row r="437" ht="14.25" customHeight="1">
      <c r="B437" s="99"/>
      <c r="C437" s="99"/>
      <c r="D437" s="99"/>
      <c r="E437" s="99"/>
    </row>
    <row r="438" ht="14.25" customHeight="1">
      <c r="B438" s="99"/>
      <c r="C438" s="99"/>
      <c r="D438" s="99"/>
      <c r="E438" s="99"/>
    </row>
    <row r="439" ht="14.25" customHeight="1">
      <c r="B439" s="99"/>
      <c r="C439" s="99"/>
      <c r="D439" s="99"/>
      <c r="E439" s="99"/>
    </row>
    <row r="440" ht="14.25" customHeight="1">
      <c r="B440" s="99"/>
      <c r="C440" s="99"/>
      <c r="D440" s="99"/>
      <c r="E440" s="99"/>
    </row>
    <row r="441" ht="14.25" customHeight="1">
      <c r="B441" s="99"/>
      <c r="C441" s="99"/>
      <c r="D441" s="99"/>
      <c r="E441" s="99"/>
    </row>
    <row r="442" ht="14.25" customHeight="1">
      <c r="B442" s="99"/>
      <c r="C442" s="99"/>
      <c r="D442" s="99"/>
      <c r="E442" s="99"/>
    </row>
    <row r="443" ht="14.25" customHeight="1">
      <c r="B443" s="99"/>
      <c r="C443" s="99"/>
      <c r="D443" s="99"/>
      <c r="E443" s="99"/>
    </row>
    <row r="444" ht="14.25" customHeight="1">
      <c r="B444" s="99"/>
      <c r="C444" s="99"/>
      <c r="D444" s="99"/>
      <c r="E444" s="99"/>
    </row>
    <row r="445" ht="14.25" customHeight="1">
      <c r="B445" s="99"/>
      <c r="C445" s="99"/>
      <c r="D445" s="99"/>
      <c r="E445" s="99"/>
    </row>
    <row r="446" ht="14.25" customHeight="1">
      <c r="B446" s="99"/>
      <c r="C446" s="99"/>
      <c r="D446" s="99"/>
      <c r="E446" s="99"/>
    </row>
    <row r="447" ht="14.25" customHeight="1">
      <c r="B447" s="99"/>
      <c r="C447" s="99"/>
      <c r="D447" s="99"/>
      <c r="E447" s="99"/>
    </row>
    <row r="448" ht="14.25" customHeight="1">
      <c r="B448" s="99"/>
      <c r="C448" s="99"/>
      <c r="D448" s="99"/>
      <c r="E448" s="99"/>
    </row>
    <row r="449" ht="14.25" customHeight="1">
      <c r="B449" s="99"/>
      <c r="C449" s="99"/>
      <c r="D449" s="99"/>
      <c r="E449" s="99"/>
    </row>
    <row r="450" ht="14.25" customHeight="1">
      <c r="B450" s="99"/>
      <c r="C450" s="99"/>
      <c r="D450" s="99"/>
      <c r="E450" s="99"/>
    </row>
    <row r="451" ht="14.25" customHeight="1">
      <c r="B451" s="99"/>
      <c r="C451" s="99"/>
      <c r="D451" s="99"/>
      <c r="E451" s="99"/>
    </row>
    <row r="452" ht="14.25" customHeight="1">
      <c r="B452" s="99"/>
      <c r="C452" s="99"/>
      <c r="D452" s="99"/>
      <c r="E452" s="99"/>
    </row>
    <row r="453" ht="14.25" customHeight="1">
      <c r="B453" s="99"/>
      <c r="C453" s="99"/>
      <c r="D453" s="99"/>
      <c r="E453" s="99"/>
    </row>
    <row r="454" ht="14.25" customHeight="1">
      <c r="B454" s="99"/>
      <c r="C454" s="99"/>
      <c r="D454" s="99"/>
      <c r="E454" s="99"/>
    </row>
    <row r="455" ht="14.25" customHeight="1">
      <c r="B455" s="99"/>
      <c r="C455" s="99"/>
      <c r="D455" s="99"/>
      <c r="E455" s="99"/>
    </row>
    <row r="456" ht="14.25" customHeight="1">
      <c r="B456" s="99"/>
      <c r="C456" s="99"/>
      <c r="D456" s="99"/>
      <c r="E456" s="99"/>
    </row>
    <row r="457" ht="14.25" customHeight="1">
      <c r="B457" s="99"/>
      <c r="C457" s="99"/>
      <c r="D457" s="99"/>
      <c r="E457" s="99"/>
    </row>
    <row r="458" ht="14.25" customHeight="1">
      <c r="B458" s="99"/>
      <c r="C458" s="99"/>
      <c r="D458" s="99"/>
      <c r="E458" s="99"/>
    </row>
    <row r="459" ht="14.25" customHeight="1">
      <c r="B459" s="99"/>
      <c r="C459" s="99"/>
      <c r="D459" s="99"/>
      <c r="E459" s="99"/>
    </row>
    <row r="460" ht="14.25" customHeight="1">
      <c r="B460" s="99"/>
      <c r="C460" s="99"/>
      <c r="D460" s="99"/>
      <c r="E460" s="99"/>
    </row>
    <row r="461" ht="14.25" customHeight="1">
      <c r="B461" s="99"/>
      <c r="C461" s="99"/>
      <c r="D461" s="99"/>
      <c r="E461" s="99"/>
    </row>
    <row r="462" ht="14.25" customHeight="1">
      <c r="B462" s="99"/>
      <c r="C462" s="99"/>
      <c r="D462" s="99"/>
      <c r="E462" s="99"/>
    </row>
    <row r="463" ht="14.25" customHeight="1">
      <c r="B463" s="99"/>
      <c r="C463" s="99"/>
      <c r="D463" s="99"/>
      <c r="E463" s="99"/>
    </row>
    <row r="464" ht="14.25" customHeight="1">
      <c r="B464" s="99"/>
      <c r="C464" s="99"/>
      <c r="D464" s="99"/>
      <c r="E464" s="99"/>
    </row>
    <row r="465" ht="14.25" customHeight="1">
      <c r="B465" s="99"/>
      <c r="C465" s="99"/>
      <c r="D465" s="99"/>
      <c r="E465" s="99"/>
    </row>
    <row r="466" ht="14.25" customHeight="1">
      <c r="B466" s="99"/>
      <c r="C466" s="99"/>
      <c r="D466" s="99"/>
      <c r="E466" s="99"/>
    </row>
    <row r="467" ht="14.25" customHeight="1">
      <c r="B467" s="99"/>
      <c r="C467" s="99"/>
      <c r="D467" s="99"/>
      <c r="E467" s="99"/>
    </row>
    <row r="468" ht="14.25" customHeight="1">
      <c r="B468" s="99"/>
      <c r="C468" s="99"/>
      <c r="D468" s="99"/>
      <c r="E468" s="99"/>
    </row>
    <row r="469" ht="14.25" customHeight="1">
      <c r="B469" s="99"/>
      <c r="C469" s="99"/>
      <c r="D469" s="99"/>
      <c r="E469" s="99"/>
    </row>
    <row r="470" ht="14.25" customHeight="1">
      <c r="B470" s="99"/>
      <c r="C470" s="99"/>
      <c r="D470" s="99"/>
      <c r="E470" s="99"/>
    </row>
    <row r="471" ht="14.25" customHeight="1">
      <c r="B471" s="99"/>
      <c r="C471" s="99"/>
      <c r="D471" s="99"/>
      <c r="E471" s="99"/>
    </row>
    <row r="472" ht="14.25" customHeight="1">
      <c r="B472" s="99"/>
      <c r="C472" s="99"/>
      <c r="D472" s="99"/>
      <c r="E472" s="99"/>
    </row>
    <row r="473" ht="14.25" customHeight="1">
      <c r="B473" s="99"/>
      <c r="C473" s="99"/>
      <c r="D473" s="99"/>
      <c r="E473" s="99"/>
    </row>
    <row r="474" ht="14.25" customHeight="1">
      <c r="B474" s="99"/>
      <c r="C474" s="99"/>
      <c r="D474" s="99"/>
      <c r="E474" s="99"/>
    </row>
    <row r="475" ht="14.25" customHeight="1">
      <c r="B475" s="99"/>
      <c r="C475" s="99"/>
      <c r="D475" s="99"/>
      <c r="E475" s="99"/>
    </row>
    <row r="476" ht="14.25" customHeight="1">
      <c r="B476" s="99"/>
      <c r="C476" s="99"/>
      <c r="D476" s="99"/>
      <c r="E476" s="99"/>
    </row>
    <row r="477" ht="14.25" customHeight="1">
      <c r="B477" s="99"/>
      <c r="C477" s="99"/>
      <c r="D477" s="99"/>
      <c r="E477" s="99"/>
    </row>
    <row r="478" ht="14.25" customHeight="1">
      <c r="B478" s="99"/>
      <c r="C478" s="99"/>
      <c r="D478" s="99"/>
      <c r="E478" s="99"/>
    </row>
    <row r="479" ht="14.25" customHeight="1">
      <c r="B479" s="99"/>
      <c r="C479" s="99"/>
      <c r="D479" s="99"/>
      <c r="E479" s="99"/>
    </row>
    <row r="480" ht="14.25" customHeight="1">
      <c r="B480" s="99"/>
      <c r="C480" s="99"/>
      <c r="D480" s="99"/>
      <c r="E480" s="99"/>
    </row>
    <row r="481" ht="14.25" customHeight="1">
      <c r="B481" s="99"/>
      <c r="C481" s="99"/>
      <c r="D481" s="99"/>
      <c r="E481" s="99"/>
    </row>
    <row r="482" ht="14.25" customHeight="1">
      <c r="B482" s="99"/>
      <c r="C482" s="99"/>
      <c r="D482" s="99"/>
      <c r="E482" s="99"/>
    </row>
    <row r="483" ht="14.25" customHeight="1">
      <c r="B483" s="99"/>
      <c r="C483" s="99"/>
      <c r="D483" s="99"/>
      <c r="E483" s="99"/>
    </row>
    <row r="484" ht="14.25" customHeight="1">
      <c r="B484" s="99"/>
      <c r="C484" s="99"/>
      <c r="D484" s="99"/>
      <c r="E484" s="99"/>
    </row>
    <row r="485" ht="14.25" customHeight="1">
      <c r="B485" s="99"/>
      <c r="C485" s="99"/>
      <c r="D485" s="99"/>
      <c r="E485" s="99"/>
    </row>
    <row r="486" ht="14.25" customHeight="1">
      <c r="B486" s="99"/>
      <c r="C486" s="99"/>
      <c r="D486" s="99"/>
      <c r="E486" s="99"/>
    </row>
    <row r="487" ht="14.25" customHeight="1">
      <c r="B487" s="99"/>
      <c r="C487" s="99"/>
      <c r="D487" s="99"/>
      <c r="E487" s="99"/>
    </row>
    <row r="488" ht="14.25" customHeight="1">
      <c r="B488" s="99"/>
      <c r="C488" s="99"/>
      <c r="D488" s="99"/>
      <c r="E488" s="99"/>
    </row>
    <row r="489" ht="14.25" customHeight="1">
      <c r="B489" s="99"/>
      <c r="C489" s="99"/>
      <c r="D489" s="99"/>
      <c r="E489" s="99"/>
    </row>
    <row r="490" ht="14.25" customHeight="1">
      <c r="B490" s="99"/>
      <c r="C490" s="99"/>
      <c r="D490" s="99"/>
      <c r="E490" s="99"/>
    </row>
    <row r="491" ht="14.25" customHeight="1">
      <c r="B491" s="99"/>
      <c r="C491" s="99"/>
      <c r="D491" s="99"/>
      <c r="E491" s="99"/>
    </row>
    <row r="492" ht="14.25" customHeight="1">
      <c r="B492" s="99"/>
      <c r="C492" s="99"/>
      <c r="D492" s="99"/>
      <c r="E492" s="99"/>
    </row>
    <row r="493" ht="14.25" customHeight="1">
      <c r="B493" s="99"/>
      <c r="C493" s="99"/>
      <c r="D493" s="99"/>
      <c r="E493" s="99"/>
    </row>
    <row r="494" ht="14.25" customHeight="1">
      <c r="B494" s="99"/>
      <c r="C494" s="99"/>
      <c r="D494" s="99"/>
      <c r="E494" s="99"/>
    </row>
    <row r="495" ht="14.25" customHeight="1">
      <c r="B495" s="99"/>
      <c r="C495" s="99"/>
      <c r="D495" s="99"/>
      <c r="E495" s="99"/>
    </row>
    <row r="496" ht="14.25" customHeight="1">
      <c r="B496" s="99"/>
      <c r="C496" s="99"/>
      <c r="D496" s="99"/>
      <c r="E496" s="99"/>
    </row>
    <row r="497" ht="14.25" customHeight="1">
      <c r="B497" s="99"/>
      <c r="C497" s="99"/>
      <c r="D497" s="99"/>
      <c r="E497" s="99"/>
    </row>
    <row r="498" ht="14.25" customHeight="1">
      <c r="B498" s="99"/>
      <c r="C498" s="99"/>
      <c r="D498" s="99"/>
      <c r="E498" s="99"/>
    </row>
    <row r="499" ht="14.25" customHeight="1">
      <c r="B499" s="99"/>
      <c r="C499" s="99"/>
      <c r="D499" s="99"/>
      <c r="E499" s="99"/>
    </row>
    <row r="500" ht="14.25" customHeight="1">
      <c r="B500" s="99"/>
      <c r="C500" s="99"/>
      <c r="D500" s="99"/>
      <c r="E500" s="99"/>
    </row>
    <row r="501" ht="14.25" customHeight="1">
      <c r="B501" s="99"/>
      <c r="C501" s="99"/>
      <c r="D501" s="99"/>
      <c r="E501" s="99"/>
    </row>
    <row r="502" ht="14.25" customHeight="1">
      <c r="B502" s="99"/>
      <c r="C502" s="99"/>
      <c r="D502" s="99"/>
      <c r="E502" s="99"/>
    </row>
    <row r="503" ht="14.25" customHeight="1">
      <c r="B503" s="99"/>
      <c r="C503" s="99"/>
      <c r="D503" s="99"/>
      <c r="E503" s="99"/>
    </row>
    <row r="504" ht="14.25" customHeight="1">
      <c r="B504" s="99"/>
      <c r="C504" s="99"/>
      <c r="D504" s="99"/>
      <c r="E504" s="99"/>
    </row>
    <row r="505" ht="14.25" customHeight="1">
      <c r="B505" s="99"/>
      <c r="C505" s="99"/>
      <c r="D505" s="99"/>
      <c r="E505" s="99"/>
    </row>
    <row r="506" ht="14.25" customHeight="1">
      <c r="B506" s="99"/>
      <c r="C506" s="99"/>
      <c r="D506" s="99"/>
      <c r="E506" s="99"/>
    </row>
    <row r="507" ht="14.25" customHeight="1">
      <c r="B507" s="99"/>
      <c r="C507" s="99"/>
      <c r="D507" s="99"/>
      <c r="E507" s="99"/>
    </row>
    <row r="508" ht="14.25" customHeight="1">
      <c r="B508" s="99"/>
      <c r="C508" s="99"/>
      <c r="D508" s="99"/>
      <c r="E508" s="99"/>
    </row>
    <row r="509" ht="14.25" customHeight="1">
      <c r="B509" s="99"/>
      <c r="C509" s="99"/>
      <c r="D509" s="99"/>
      <c r="E509" s="99"/>
    </row>
    <row r="510" ht="14.25" customHeight="1">
      <c r="B510" s="99"/>
      <c r="C510" s="99"/>
      <c r="D510" s="99"/>
      <c r="E510" s="99"/>
    </row>
    <row r="511" ht="14.25" customHeight="1">
      <c r="B511" s="99"/>
      <c r="C511" s="99"/>
      <c r="D511" s="99"/>
      <c r="E511" s="99"/>
    </row>
    <row r="512" ht="14.25" customHeight="1">
      <c r="B512" s="99"/>
      <c r="C512" s="99"/>
      <c r="D512" s="99"/>
      <c r="E512" s="99"/>
    </row>
    <row r="513" ht="14.25" customHeight="1">
      <c r="B513" s="99"/>
      <c r="C513" s="99"/>
      <c r="D513" s="99"/>
      <c r="E513" s="99"/>
    </row>
    <row r="514" ht="14.25" customHeight="1">
      <c r="B514" s="99"/>
      <c r="C514" s="99"/>
      <c r="D514" s="99"/>
      <c r="E514" s="99"/>
    </row>
    <row r="515" ht="14.25" customHeight="1">
      <c r="B515" s="99"/>
      <c r="C515" s="99"/>
      <c r="D515" s="99"/>
      <c r="E515" s="99"/>
    </row>
    <row r="516" ht="14.25" customHeight="1">
      <c r="B516" s="99"/>
      <c r="C516" s="99"/>
      <c r="D516" s="99"/>
      <c r="E516" s="99"/>
    </row>
    <row r="517" ht="14.25" customHeight="1">
      <c r="B517" s="99"/>
      <c r="C517" s="99"/>
      <c r="D517" s="99"/>
      <c r="E517" s="99"/>
    </row>
    <row r="518" ht="14.25" customHeight="1">
      <c r="B518" s="99"/>
      <c r="C518" s="99"/>
      <c r="D518" s="99"/>
      <c r="E518" s="99"/>
    </row>
    <row r="519" ht="14.25" customHeight="1">
      <c r="B519" s="99"/>
      <c r="C519" s="99"/>
      <c r="D519" s="99"/>
      <c r="E519" s="99"/>
    </row>
    <row r="520" ht="14.25" customHeight="1">
      <c r="B520" s="99"/>
      <c r="C520" s="99"/>
      <c r="D520" s="99"/>
      <c r="E520" s="99"/>
    </row>
    <row r="521" ht="14.25" customHeight="1">
      <c r="B521" s="99"/>
      <c r="C521" s="99"/>
      <c r="D521" s="99"/>
      <c r="E521" s="99"/>
    </row>
    <row r="522" ht="14.25" customHeight="1">
      <c r="B522" s="99"/>
      <c r="C522" s="99"/>
      <c r="D522" s="99"/>
      <c r="E522" s="99"/>
    </row>
    <row r="523" ht="14.25" customHeight="1">
      <c r="B523" s="99"/>
      <c r="C523" s="99"/>
      <c r="D523" s="99"/>
      <c r="E523" s="99"/>
    </row>
    <row r="524" ht="14.25" customHeight="1">
      <c r="B524" s="99"/>
      <c r="C524" s="99"/>
      <c r="D524" s="99"/>
      <c r="E524" s="99"/>
    </row>
    <row r="525" ht="14.25" customHeight="1">
      <c r="B525" s="99"/>
      <c r="C525" s="99"/>
      <c r="D525" s="99"/>
      <c r="E525" s="99"/>
    </row>
    <row r="526" ht="14.25" customHeight="1">
      <c r="B526" s="99"/>
      <c r="C526" s="99"/>
      <c r="D526" s="99"/>
      <c r="E526" s="99"/>
    </row>
    <row r="527" ht="14.25" customHeight="1">
      <c r="B527" s="99"/>
      <c r="C527" s="99"/>
      <c r="D527" s="99"/>
      <c r="E527" s="99"/>
    </row>
    <row r="528" ht="14.25" customHeight="1">
      <c r="B528" s="99"/>
      <c r="C528" s="99"/>
      <c r="D528" s="99"/>
      <c r="E528" s="99"/>
    </row>
    <row r="529" ht="14.25" customHeight="1">
      <c r="B529" s="99"/>
      <c r="C529" s="99"/>
      <c r="D529" s="99"/>
      <c r="E529" s="99"/>
    </row>
    <row r="530" ht="14.25" customHeight="1">
      <c r="B530" s="99"/>
      <c r="C530" s="99"/>
      <c r="D530" s="99"/>
      <c r="E530" s="99"/>
    </row>
    <row r="531" ht="14.25" customHeight="1">
      <c r="B531" s="99"/>
      <c r="C531" s="99"/>
      <c r="D531" s="99"/>
      <c r="E531" s="99"/>
    </row>
    <row r="532" ht="14.25" customHeight="1">
      <c r="B532" s="99"/>
      <c r="C532" s="99"/>
      <c r="D532" s="99"/>
      <c r="E532" s="99"/>
    </row>
    <row r="533" ht="14.25" customHeight="1">
      <c r="B533" s="99"/>
      <c r="C533" s="99"/>
      <c r="D533" s="99"/>
      <c r="E533" s="99"/>
    </row>
    <row r="534" ht="14.25" customHeight="1">
      <c r="B534" s="99"/>
      <c r="C534" s="99"/>
      <c r="D534" s="99"/>
      <c r="E534" s="99"/>
    </row>
    <row r="535" ht="14.25" customHeight="1">
      <c r="B535" s="99"/>
      <c r="C535" s="99"/>
      <c r="D535" s="99"/>
      <c r="E535" s="99"/>
    </row>
    <row r="536" ht="14.25" customHeight="1">
      <c r="B536" s="99"/>
      <c r="C536" s="99"/>
      <c r="D536" s="99"/>
      <c r="E536" s="99"/>
    </row>
    <row r="537" ht="14.25" customHeight="1">
      <c r="B537" s="99"/>
      <c r="C537" s="99"/>
      <c r="D537" s="99"/>
      <c r="E537" s="99"/>
    </row>
    <row r="538" ht="14.25" customHeight="1">
      <c r="B538" s="99"/>
      <c r="C538" s="99"/>
      <c r="D538" s="99"/>
      <c r="E538" s="99"/>
    </row>
    <row r="539" ht="14.25" customHeight="1">
      <c r="B539" s="99"/>
      <c r="C539" s="99"/>
      <c r="D539" s="99"/>
      <c r="E539" s="99"/>
    </row>
    <row r="540" ht="14.25" customHeight="1">
      <c r="B540" s="99"/>
      <c r="C540" s="99"/>
      <c r="D540" s="99"/>
      <c r="E540" s="99"/>
    </row>
    <row r="541" ht="14.25" customHeight="1">
      <c r="B541" s="99"/>
      <c r="C541" s="99"/>
      <c r="D541" s="99"/>
      <c r="E541" s="99"/>
    </row>
    <row r="542" ht="14.25" customHeight="1">
      <c r="B542" s="99"/>
      <c r="C542" s="99"/>
      <c r="D542" s="99"/>
      <c r="E542" s="99"/>
    </row>
    <row r="543" ht="14.25" customHeight="1">
      <c r="B543" s="99"/>
      <c r="C543" s="99"/>
      <c r="D543" s="99"/>
      <c r="E543" s="99"/>
    </row>
    <row r="544" ht="14.25" customHeight="1">
      <c r="B544" s="99"/>
      <c r="C544" s="99"/>
      <c r="D544" s="99"/>
      <c r="E544" s="99"/>
    </row>
    <row r="545" ht="14.25" customHeight="1">
      <c r="B545" s="99"/>
      <c r="C545" s="99"/>
      <c r="D545" s="99"/>
      <c r="E545" s="99"/>
    </row>
    <row r="546" ht="14.25" customHeight="1">
      <c r="B546" s="99"/>
      <c r="C546" s="99"/>
      <c r="D546" s="99"/>
      <c r="E546" s="99"/>
    </row>
    <row r="547" ht="14.25" customHeight="1">
      <c r="B547" s="99"/>
      <c r="C547" s="99"/>
      <c r="D547" s="99"/>
      <c r="E547" s="99"/>
    </row>
    <row r="548" ht="14.25" customHeight="1">
      <c r="B548" s="99"/>
      <c r="C548" s="99"/>
      <c r="D548" s="99"/>
      <c r="E548" s="99"/>
    </row>
    <row r="549" ht="14.25" customHeight="1">
      <c r="B549" s="99"/>
      <c r="C549" s="99"/>
      <c r="D549" s="99"/>
      <c r="E549" s="99"/>
    </row>
    <row r="550" ht="14.25" customHeight="1">
      <c r="B550" s="99"/>
      <c r="C550" s="99"/>
      <c r="D550" s="99"/>
      <c r="E550" s="99"/>
    </row>
    <row r="551" ht="14.25" customHeight="1">
      <c r="B551" s="99"/>
      <c r="C551" s="99"/>
      <c r="D551" s="99"/>
      <c r="E551" s="99"/>
    </row>
    <row r="552" ht="14.25" customHeight="1">
      <c r="B552" s="99"/>
      <c r="C552" s="99"/>
      <c r="D552" s="99"/>
      <c r="E552" s="99"/>
    </row>
    <row r="553" ht="14.25" customHeight="1">
      <c r="B553" s="99"/>
      <c r="C553" s="99"/>
      <c r="D553" s="99"/>
      <c r="E553" s="99"/>
    </row>
    <row r="554" ht="14.25" customHeight="1">
      <c r="B554" s="99"/>
      <c r="C554" s="99"/>
      <c r="D554" s="99"/>
      <c r="E554" s="99"/>
    </row>
    <row r="555" ht="14.25" customHeight="1">
      <c r="B555" s="99"/>
      <c r="C555" s="99"/>
      <c r="D555" s="99"/>
      <c r="E555" s="99"/>
    </row>
    <row r="556" ht="14.25" customHeight="1">
      <c r="B556" s="99"/>
      <c r="C556" s="99"/>
      <c r="D556" s="99"/>
      <c r="E556" s="99"/>
    </row>
    <row r="557" ht="14.25" customHeight="1">
      <c r="B557" s="99"/>
      <c r="C557" s="99"/>
      <c r="D557" s="99"/>
      <c r="E557" s="99"/>
    </row>
    <row r="558" ht="14.25" customHeight="1">
      <c r="B558" s="99"/>
      <c r="C558" s="99"/>
      <c r="D558" s="99"/>
      <c r="E558" s="99"/>
    </row>
    <row r="559" ht="14.25" customHeight="1">
      <c r="B559" s="99"/>
      <c r="C559" s="99"/>
      <c r="D559" s="99"/>
      <c r="E559" s="99"/>
    </row>
    <row r="560" ht="14.25" customHeight="1">
      <c r="B560" s="99"/>
      <c r="C560" s="99"/>
      <c r="D560" s="99"/>
      <c r="E560" s="99"/>
    </row>
    <row r="561" ht="14.25" customHeight="1">
      <c r="B561" s="99"/>
      <c r="C561" s="99"/>
      <c r="D561" s="99"/>
      <c r="E561" s="99"/>
    </row>
    <row r="562" ht="14.25" customHeight="1">
      <c r="B562" s="99"/>
      <c r="C562" s="99"/>
      <c r="D562" s="99"/>
      <c r="E562" s="99"/>
    </row>
    <row r="563" ht="14.25" customHeight="1">
      <c r="B563" s="99"/>
      <c r="C563" s="99"/>
      <c r="D563" s="99"/>
      <c r="E563" s="99"/>
    </row>
    <row r="564" ht="14.25" customHeight="1">
      <c r="B564" s="99"/>
      <c r="C564" s="99"/>
      <c r="D564" s="99"/>
      <c r="E564" s="99"/>
    </row>
    <row r="565" ht="14.25" customHeight="1">
      <c r="B565" s="99"/>
      <c r="C565" s="99"/>
      <c r="D565" s="99"/>
      <c r="E565" s="99"/>
    </row>
    <row r="566" ht="14.25" customHeight="1">
      <c r="B566" s="99"/>
      <c r="C566" s="99"/>
      <c r="D566" s="99"/>
      <c r="E566" s="99"/>
    </row>
    <row r="567" ht="14.25" customHeight="1">
      <c r="B567" s="99"/>
      <c r="C567" s="99"/>
      <c r="D567" s="99"/>
      <c r="E567" s="99"/>
    </row>
    <row r="568" ht="14.25" customHeight="1">
      <c r="B568" s="99"/>
      <c r="C568" s="99"/>
      <c r="D568" s="99"/>
      <c r="E568" s="99"/>
    </row>
    <row r="569" ht="14.25" customHeight="1">
      <c r="B569" s="99"/>
      <c r="C569" s="99"/>
      <c r="D569" s="99"/>
      <c r="E569" s="99"/>
    </row>
    <row r="570" ht="14.25" customHeight="1">
      <c r="B570" s="99"/>
      <c r="C570" s="99"/>
      <c r="D570" s="99"/>
      <c r="E570" s="99"/>
    </row>
    <row r="571" ht="14.25" customHeight="1">
      <c r="B571" s="99"/>
      <c r="C571" s="99"/>
      <c r="D571" s="99"/>
      <c r="E571" s="99"/>
    </row>
    <row r="572" ht="14.25" customHeight="1">
      <c r="B572" s="99"/>
      <c r="C572" s="99"/>
      <c r="D572" s="99"/>
      <c r="E572" s="99"/>
    </row>
    <row r="573" ht="14.25" customHeight="1">
      <c r="B573" s="99"/>
      <c r="C573" s="99"/>
      <c r="D573" s="99"/>
      <c r="E573" s="99"/>
    </row>
    <row r="574" ht="14.25" customHeight="1">
      <c r="B574" s="99"/>
      <c r="C574" s="99"/>
      <c r="D574" s="99"/>
      <c r="E574" s="99"/>
    </row>
    <row r="575" ht="14.25" customHeight="1">
      <c r="B575" s="99"/>
      <c r="C575" s="99"/>
      <c r="D575" s="99"/>
      <c r="E575" s="99"/>
    </row>
    <row r="576" ht="14.25" customHeight="1">
      <c r="B576" s="99"/>
      <c r="C576" s="99"/>
      <c r="D576" s="99"/>
      <c r="E576" s="99"/>
    </row>
    <row r="577" ht="14.25" customHeight="1">
      <c r="B577" s="99"/>
      <c r="C577" s="99"/>
      <c r="D577" s="99"/>
      <c r="E577" s="99"/>
    </row>
    <row r="578" ht="14.25" customHeight="1">
      <c r="B578" s="99"/>
      <c r="C578" s="99"/>
      <c r="D578" s="99"/>
      <c r="E578" s="99"/>
    </row>
    <row r="579" ht="14.25" customHeight="1">
      <c r="B579" s="99"/>
      <c r="C579" s="99"/>
      <c r="D579" s="99"/>
      <c r="E579" s="99"/>
    </row>
    <row r="580" ht="14.25" customHeight="1">
      <c r="B580" s="99"/>
      <c r="C580" s="99"/>
      <c r="D580" s="99"/>
      <c r="E580" s="99"/>
    </row>
    <row r="581" ht="14.25" customHeight="1">
      <c r="B581" s="99"/>
      <c r="C581" s="99"/>
      <c r="D581" s="99"/>
      <c r="E581" s="99"/>
    </row>
    <row r="582" ht="14.25" customHeight="1">
      <c r="B582" s="99"/>
      <c r="C582" s="99"/>
      <c r="D582" s="99"/>
      <c r="E582" s="99"/>
    </row>
    <row r="583" ht="14.25" customHeight="1">
      <c r="B583" s="99"/>
      <c r="C583" s="99"/>
      <c r="D583" s="99"/>
      <c r="E583" s="99"/>
    </row>
    <row r="584" ht="14.25" customHeight="1">
      <c r="B584" s="99"/>
      <c r="C584" s="99"/>
      <c r="D584" s="99"/>
      <c r="E584" s="99"/>
    </row>
    <row r="585" ht="14.25" customHeight="1">
      <c r="B585" s="99"/>
      <c r="C585" s="99"/>
      <c r="D585" s="99"/>
      <c r="E585" s="99"/>
    </row>
    <row r="586" ht="14.25" customHeight="1">
      <c r="B586" s="99"/>
      <c r="C586" s="99"/>
      <c r="D586" s="99"/>
      <c r="E586" s="99"/>
    </row>
    <row r="587" ht="14.25" customHeight="1">
      <c r="B587" s="99"/>
      <c r="C587" s="99"/>
      <c r="D587" s="99"/>
      <c r="E587" s="99"/>
    </row>
    <row r="588" ht="14.25" customHeight="1">
      <c r="B588" s="99"/>
      <c r="C588" s="99"/>
      <c r="D588" s="99"/>
      <c r="E588" s="99"/>
    </row>
    <row r="589" ht="14.25" customHeight="1">
      <c r="B589" s="99"/>
      <c r="C589" s="99"/>
      <c r="D589" s="99"/>
      <c r="E589" s="99"/>
    </row>
    <row r="590" ht="14.25" customHeight="1">
      <c r="B590" s="99"/>
      <c r="C590" s="99"/>
      <c r="D590" s="99"/>
      <c r="E590" s="99"/>
    </row>
    <row r="591" ht="14.25" customHeight="1">
      <c r="B591" s="99"/>
      <c r="C591" s="99"/>
      <c r="D591" s="99"/>
      <c r="E591" s="99"/>
    </row>
    <row r="592" ht="14.25" customHeight="1">
      <c r="B592" s="99"/>
      <c r="C592" s="99"/>
      <c r="D592" s="99"/>
      <c r="E592" s="99"/>
    </row>
    <row r="593" ht="14.25" customHeight="1">
      <c r="B593" s="99"/>
      <c r="C593" s="99"/>
      <c r="D593" s="99"/>
      <c r="E593" s="99"/>
    </row>
    <row r="594" ht="14.25" customHeight="1">
      <c r="B594" s="99"/>
      <c r="C594" s="99"/>
      <c r="D594" s="99"/>
      <c r="E594" s="99"/>
    </row>
    <row r="595" ht="14.25" customHeight="1">
      <c r="B595" s="99"/>
      <c r="C595" s="99"/>
      <c r="D595" s="99"/>
      <c r="E595" s="99"/>
    </row>
    <row r="596" ht="14.25" customHeight="1">
      <c r="B596" s="99"/>
      <c r="C596" s="99"/>
      <c r="D596" s="99"/>
      <c r="E596" s="99"/>
    </row>
    <row r="597" ht="14.25" customHeight="1">
      <c r="B597" s="99"/>
      <c r="C597" s="99"/>
      <c r="D597" s="99"/>
      <c r="E597" s="99"/>
    </row>
    <row r="598" ht="14.25" customHeight="1">
      <c r="B598" s="99"/>
      <c r="C598" s="99"/>
      <c r="D598" s="99"/>
      <c r="E598" s="99"/>
    </row>
    <row r="599" ht="14.25" customHeight="1">
      <c r="B599" s="99"/>
      <c r="C599" s="99"/>
      <c r="D599" s="99"/>
      <c r="E599" s="99"/>
    </row>
    <row r="600" ht="14.25" customHeight="1">
      <c r="B600" s="99"/>
      <c r="C600" s="99"/>
      <c r="D600" s="99"/>
      <c r="E600" s="99"/>
    </row>
    <row r="601" ht="14.25" customHeight="1">
      <c r="B601" s="99"/>
      <c r="C601" s="99"/>
      <c r="D601" s="99"/>
      <c r="E601" s="99"/>
    </row>
    <row r="602" ht="14.25" customHeight="1">
      <c r="B602" s="99"/>
      <c r="C602" s="99"/>
      <c r="D602" s="99"/>
      <c r="E602" s="99"/>
    </row>
    <row r="603" ht="14.25" customHeight="1">
      <c r="B603" s="99"/>
      <c r="C603" s="99"/>
      <c r="D603" s="99"/>
      <c r="E603" s="99"/>
    </row>
    <row r="604" ht="14.25" customHeight="1">
      <c r="B604" s="99"/>
      <c r="C604" s="99"/>
      <c r="D604" s="99"/>
      <c r="E604" s="99"/>
    </row>
    <row r="605" ht="14.25" customHeight="1">
      <c r="B605" s="99"/>
      <c r="C605" s="99"/>
      <c r="D605" s="99"/>
      <c r="E605" s="99"/>
    </row>
    <row r="606" ht="14.25" customHeight="1">
      <c r="B606" s="99"/>
      <c r="C606" s="99"/>
      <c r="D606" s="99"/>
      <c r="E606" s="99"/>
    </row>
    <row r="607" ht="14.25" customHeight="1">
      <c r="B607" s="99"/>
      <c r="C607" s="99"/>
      <c r="D607" s="99"/>
      <c r="E607" s="99"/>
    </row>
    <row r="608" ht="14.25" customHeight="1">
      <c r="B608" s="99"/>
      <c r="C608" s="99"/>
      <c r="D608" s="99"/>
      <c r="E608" s="99"/>
    </row>
    <row r="609" ht="14.25" customHeight="1">
      <c r="B609" s="99"/>
      <c r="C609" s="99"/>
      <c r="D609" s="99"/>
      <c r="E609" s="99"/>
    </row>
    <row r="610" ht="14.25" customHeight="1">
      <c r="B610" s="99"/>
      <c r="C610" s="99"/>
      <c r="D610" s="99"/>
      <c r="E610" s="99"/>
    </row>
    <row r="611" ht="14.25" customHeight="1">
      <c r="B611" s="99"/>
      <c r="C611" s="99"/>
      <c r="D611" s="99"/>
      <c r="E611" s="99"/>
    </row>
    <row r="612" ht="14.25" customHeight="1">
      <c r="B612" s="99"/>
      <c r="C612" s="99"/>
      <c r="D612" s="99"/>
      <c r="E612" s="99"/>
    </row>
    <row r="613" ht="14.25" customHeight="1">
      <c r="B613" s="99"/>
      <c r="C613" s="99"/>
      <c r="D613" s="99"/>
      <c r="E613" s="99"/>
    </row>
    <row r="614" ht="14.25" customHeight="1">
      <c r="B614" s="99"/>
      <c r="C614" s="99"/>
      <c r="D614" s="99"/>
      <c r="E614" s="99"/>
    </row>
    <row r="615" ht="14.25" customHeight="1">
      <c r="B615" s="99"/>
      <c r="C615" s="99"/>
      <c r="D615" s="99"/>
      <c r="E615" s="99"/>
    </row>
    <row r="616" ht="14.25" customHeight="1">
      <c r="B616" s="99"/>
      <c r="C616" s="99"/>
      <c r="D616" s="99"/>
      <c r="E616" s="99"/>
    </row>
    <row r="617" ht="14.25" customHeight="1">
      <c r="B617" s="99"/>
      <c r="C617" s="99"/>
      <c r="D617" s="99"/>
      <c r="E617" s="99"/>
    </row>
    <row r="618" ht="14.25" customHeight="1">
      <c r="B618" s="99"/>
      <c r="C618" s="99"/>
      <c r="D618" s="99"/>
      <c r="E618" s="99"/>
    </row>
    <row r="619" ht="14.25" customHeight="1">
      <c r="B619" s="99"/>
      <c r="C619" s="99"/>
      <c r="D619" s="99"/>
      <c r="E619" s="99"/>
    </row>
    <row r="620" ht="14.25" customHeight="1">
      <c r="B620" s="99"/>
      <c r="C620" s="99"/>
      <c r="D620" s="99"/>
      <c r="E620" s="99"/>
    </row>
    <row r="621" ht="14.25" customHeight="1">
      <c r="B621" s="99"/>
      <c r="C621" s="99"/>
      <c r="D621" s="99"/>
      <c r="E621" s="99"/>
    </row>
    <row r="622" ht="14.25" customHeight="1">
      <c r="B622" s="99"/>
      <c r="C622" s="99"/>
      <c r="D622" s="99"/>
      <c r="E622" s="99"/>
    </row>
    <row r="623" ht="14.25" customHeight="1">
      <c r="B623" s="99"/>
      <c r="C623" s="99"/>
      <c r="D623" s="99"/>
      <c r="E623" s="99"/>
    </row>
    <row r="624" ht="14.25" customHeight="1">
      <c r="B624" s="99"/>
      <c r="C624" s="99"/>
      <c r="D624" s="99"/>
      <c r="E624" s="99"/>
    </row>
    <row r="625" ht="14.25" customHeight="1">
      <c r="B625" s="99"/>
      <c r="C625" s="99"/>
      <c r="D625" s="99"/>
      <c r="E625" s="99"/>
    </row>
    <row r="626" ht="14.25" customHeight="1">
      <c r="B626" s="99"/>
      <c r="C626" s="99"/>
      <c r="D626" s="99"/>
      <c r="E626" s="99"/>
    </row>
    <row r="627" ht="14.25" customHeight="1">
      <c r="B627" s="99"/>
      <c r="C627" s="99"/>
      <c r="D627" s="99"/>
      <c r="E627" s="99"/>
    </row>
    <row r="628" ht="14.25" customHeight="1">
      <c r="B628" s="99"/>
      <c r="C628" s="99"/>
      <c r="D628" s="99"/>
      <c r="E628" s="99"/>
    </row>
    <row r="629" ht="14.25" customHeight="1">
      <c r="B629" s="99"/>
      <c r="C629" s="99"/>
      <c r="D629" s="99"/>
      <c r="E629" s="99"/>
    </row>
    <row r="630" ht="14.25" customHeight="1">
      <c r="B630" s="99"/>
      <c r="C630" s="99"/>
      <c r="D630" s="99"/>
      <c r="E630" s="99"/>
    </row>
    <row r="631" ht="14.25" customHeight="1">
      <c r="B631" s="99"/>
      <c r="C631" s="99"/>
      <c r="D631" s="99"/>
      <c r="E631" s="99"/>
    </row>
    <row r="632" ht="14.25" customHeight="1">
      <c r="B632" s="99"/>
      <c r="C632" s="99"/>
      <c r="D632" s="99"/>
      <c r="E632" s="99"/>
    </row>
    <row r="633" ht="14.25" customHeight="1">
      <c r="B633" s="99"/>
      <c r="C633" s="99"/>
      <c r="D633" s="99"/>
      <c r="E633" s="99"/>
    </row>
    <row r="634" ht="14.25" customHeight="1">
      <c r="B634" s="99"/>
      <c r="C634" s="99"/>
      <c r="D634" s="99"/>
      <c r="E634" s="99"/>
    </row>
    <row r="635" ht="14.25" customHeight="1">
      <c r="B635" s="99"/>
      <c r="C635" s="99"/>
      <c r="D635" s="99"/>
      <c r="E635" s="99"/>
    </row>
    <row r="636" ht="14.25" customHeight="1">
      <c r="B636" s="99"/>
      <c r="C636" s="99"/>
      <c r="D636" s="99"/>
      <c r="E636" s="99"/>
    </row>
    <row r="637" ht="14.25" customHeight="1">
      <c r="B637" s="99"/>
      <c r="C637" s="99"/>
      <c r="D637" s="99"/>
      <c r="E637" s="99"/>
    </row>
    <row r="638" ht="14.25" customHeight="1">
      <c r="B638" s="99"/>
      <c r="C638" s="99"/>
      <c r="D638" s="99"/>
      <c r="E638" s="99"/>
    </row>
    <row r="639" ht="14.25" customHeight="1">
      <c r="B639" s="99"/>
      <c r="C639" s="99"/>
      <c r="D639" s="99"/>
      <c r="E639" s="99"/>
    </row>
    <row r="640" ht="14.25" customHeight="1">
      <c r="B640" s="99"/>
      <c r="C640" s="99"/>
      <c r="D640" s="99"/>
      <c r="E640" s="99"/>
    </row>
    <row r="641" ht="14.25" customHeight="1">
      <c r="B641" s="99"/>
      <c r="C641" s="99"/>
      <c r="D641" s="99"/>
      <c r="E641" s="99"/>
    </row>
    <row r="642" ht="14.25" customHeight="1">
      <c r="B642" s="99"/>
      <c r="C642" s="99"/>
      <c r="D642" s="99"/>
      <c r="E642" s="99"/>
    </row>
    <row r="643" ht="14.25" customHeight="1">
      <c r="B643" s="99"/>
      <c r="C643" s="99"/>
      <c r="D643" s="99"/>
      <c r="E643" s="99"/>
    </row>
    <row r="644" ht="14.25" customHeight="1">
      <c r="B644" s="99"/>
      <c r="C644" s="99"/>
      <c r="D644" s="99"/>
      <c r="E644" s="99"/>
    </row>
    <row r="645" ht="14.25" customHeight="1">
      <c r="B645" s="99"/>
      <c r="C645" s="99"/>
      <c r="D645" s="99"/>
      <c r="E645" s="99"/>
    </row>
    <row r="646" ht="14.25" customHeight="1">
      <c r="B646" s="99"/>
      <c r="C646" s="99"/>
      <c r="D646" s="99"/>
      <c r="E646" s="99"/>
    </row>
    <row r="647" ht="14.25" customHeight="1">
      <c r="B647" s="99"/>
      <c r="C647" s="99"/>
      <c r="D647" s="99"/>
      <c r="E647" s="99"/>
    </row>
    <row r="648" ht="14.25" customHeight="1">
      <c r="B648" s="99"/>
      <c r="C648" s="99"/>
      <c r="D648" s="99"/>
      <c r="E648" s="99"/>
    </row>
    <row r="649" ht="14.25" customHeight="1">
      <c r="B649" s="99"/>
      <c r="C649" s="99"/>
      <c r="D649" s="99"/>
      <c r="E649" s="99"/>
    </row>
    <row r="650" ht="14.25" customHeight="1">
      <c r="B650" s="99"/>
      <c r="C650" s="99"/>
      <c r="D650" s="99"/>
      <c r="E650" s="99"/>
    </row>
    <row r="651" ht="14.25" customHeight="1">
      <c r="B651" s="99"/>
      <c r="C651" s="99"/>
      <c r="D651" s="99"/>
      <c r="E651" s="99"/>
    </row>
    <row r="652" ht="14.25" customHeight="1">
      <c r="B652" s="99"/>
      <c r="C652" s="99"/>
      <c r="D652" s="99"/>
      <c r="E652" s="99"/>
    </row>
    <row r="653" ht="14.25" customHeight="1">
      <c r="B653" s="99"/>
      <c r="C653" s="99"/>
      <c r="D653" s="99"/>
      <c r="E653" s="99"/>
    </row>
    <row r="654" ht="14.25" customHeight="1">
      <c r="B654" s="99"/>
      <c r="C654" s="99"/>
      <c r="D654" s="99"/>
      <c r="E654" s="99"/>
    </row>
    <row r="655" ht="14.25" customHeight="1">
      <c r="B655" s="99"/>
      <c r="C655" s="99"/>
      <c r="D655" s="99"/>
      <c r="E655" s="99"/>
    </row>
    <row r="656" ht="14.25" customHeight="1">
      <c r="B656" s="99"/>
      <c r="C656" s="99"/>
      <c r="D656" s="99"/>
      <c r="E656" s="99"/>
    </row>
    <row r="657" ht="14.25" customHeight="1">
      <c r="B657" s="99"/>
      <c r="C657" s="99"/>
      <c r="D657" s="99"/>
      <c r="E657" s="99"/>
    </row>
    <row r="658" ht="14.25" customHeight="1">
      <c r="B658" s="99"/>
      <c r="C658" s="99"/>
      <c r="D658" s="99"/>
      <c r="E658" s="99"/>
    </row>
    <row r="659" ht="14.25" customHeight="1">
      <c r="B659" s="99"/>
      <c r="C659" s="99"/>
      <c r="D659" s="99"/>
      <c r="E659" s="99"/>
    </row>
    <row r="660" ht="14.25" customHeight="1">
      <c r="B660" s="99"/>
      <c r="C660" s="99"/>
      <c r="D660" s="99"/>
      <c r="E660" s="99"/>
    </row>
    <row r="661" ht="14.25" customHeight="1">
      <c r="B661" s="99"/>
      <c r="C661" s="99"/>
      <c r="D661" s="99"/>
      <c r="E661" s="99"/>
    </row>
    <row r="662" ht="14.25" customHeight="1">
      <c r="B662" s="99"/>
      <c r="C662" s="99"/>
      <c r="D662" s="99"/>
      <c r="E662" s="99"/>
    </row>
    <row r="663" ht="14.25" customHeight="1">
      <c r="B663" s="99"/>
      <c r="C663" s="99"/>
      <c r="D663" s="99"/>
      <c r="E663" s="99"/>
    </row>
    <row r="664" ht="14.25" customHeight="1">
      <c r="B664" s="99"/>
      <c r="C664" s="99"/>
      <c r="D664" s="99"/>
      <c r="E664" s="99"/>
    </row>
    <row r="665" ht="14.25" customHeight="1">
      <c r="B665" s="99"/>
      <c r="C665" s="99"/>
      <c r="D665" s="99"/>
      <c r="E665" s="99"/>
    </row>
    <row r="666" ht="14.25" customHeight="1">
      <c r="B666" s="99"/>
      <c r="C666" s="99"/>
      <c r="D666" s="99"/>
      <c r="E666" s="99"/>
    </row>
    <row r="667" ht="14.25" customHeight="1">
      <c r="B667" s="99"/>
      <c r="C667" s="99"/>
      <c r="D667" s="99"/>
      <c r="E667" s="99"/>
    </row>
    <row r="668" ht="14.25" customHeight="1">
      <c r="B668" s="99"/>
      <c r="C668" s="99"/>
      <c r="D668" s="99"/>
      <c r="E668" s="99"/>
    </row>
    <row r="669" ht="14.25" customHeight="1">
      <c r="B669" s="99"/>
      <c r="C669" s="99"/>
      <c r="D669" s="99"/>
      <c r="E669" s="99"/>
    </row>
    <row r="670" ht="14.25" customHeight="1">
      <c r="B670" s="99"/>
      <c r="C670" s="99"/>
      <c r="D670" s="99"/>
      <c r="E670" s="99"/>
    </row>
    <row r="671" ht="14.25" customHeight="1">
      <c r="B671" s="99"/>
      <c r="C671" s="99"/>
      <c r="D671" s="99"/>
      <c r="E671" s="99"/>
    </row>
    <row r="672" ht="14.25" customHeight="1">
      <c r="B672" s="99"/>
      <c r="C672" s="99"/>
      <c r="D672" s="99"/>
      <c r="E672" s="99"/>
    </row>
    <row r="673" ht="14.25" customHeight="1">
      <c r="B673" s="99"/>
      <c r="C673" s="99"/>
      <c r="D673" s="99"/>
      <c r="E673" s="99"/>
    </row>
    <row r="674" ht="14.25" customHeight="1">
      <c r="B674" s="99"/>
      <c r="C674" s="99"/>
      <c r="D674" s="99"/>
      <c r="E674" s="99"/>
    </row>
    <row r="675" ht="14.25" customHeight="1">
      <c r="B675" s="99"/>
      <c r="C675" s="99"/>
      <c r="D675" s="99"/>
      <c r="E675" s="99"/>
    </row>
    <row r="676" ht="14.25" customHeight="1">
      <c r="B676" s="99"/>
      <c r="C676" s="99"/>
      <c r="D676" s="99"/>
      <c r="E676" s="99"/>
    </row>
    <row r="677" ht="14.25" customHeight="1">
      <c r="B677" s="99"/>
      <c r="C677" s="99"/>
      <c r="D677" s="99"/>
      <c r="E677" s="99"/>
    </row>
    <row r="678" ht="14.25" customHeight="1">
      <c r="B678" s="99"/>
      <c r="C678" s="99"/>
      <c r="D678" s="99"/>
      <c r="E678" s="99"/>
    </row>
    <row r="679" ht="14.25" customHeight="1">
      <c r="B679" s="99"/>
      <c r="C679" s="99"/>
      <c r="D679" s="99"/>
      <c r="E679" s="99"/>
    </row>
    <row r="680" ht="14.25" customHeight="1">
      <c r="B680" s="99"/>
      <c r="C680" s="99"/>
      <c r="D680" s="99"/>
      <c r="E680" s="99"/>
    </row>
    <row r="681" ht="14.25" customHeight="1">
      <c r="B681" s="99"/>
      <c r="C681" s="99"/>
      <c r="D681" s="99"/>
      <c r="E681" s="99"/>
    </row>
    <row r="682" ht="14.25" customHeight="1">
      <c r="B682" s="99"/>
      <c r="C682" s="99"/>
      <c r="D682" s="99"/>
      <c r="E682" s="99"/>
    </row>
    <row r="683" ht="14.25" customHeight="1">
      <c r="B683" s="99"/>
      <c r="C683" s="99"/>
      <c r="D683" s="99"/>
      <c r="E683" s="99"/>
    </row>
    <row r="684" ht="14.25" customHeight="1">
      <c r="B684" s="99"/>
      <c r="C684" s="99"/>
      <c r="D684" s="99"/>
      <c r="E684" s="99"/>
    </row>
    <row r="685" ht="14.25" customHeight="1">
      <c r="B685" s="99"/>
      <c r="C685" s="99"/>
      <c r="D685" s="99"/>
      <c r="E685" s="99"/>
    </row>
    <row r="686" ht="14.25" customHeight="1">
      <c r="B686" s="99"/>
      <c r="C686" s="99"/>
      <c r="D686" s="99"/>
      <c r="E686" s="99"/>
    </row>
    <row r="687" ht="14.25" customHeight="1">
      <c r="B687" s="99"/>
      <c r="C687" s="99"/>
      <c r="D687" s="99"/>
      <c r="E687" s="99"/>
    </row>
    <row r="688" ht="14.25" customHeight="1">
      <c r="B688" s="99"/>
      <c r="C688" s="99"/>
      <c r="D688" s="99"/>
      <c r="E688" s="99"/>
    </row>
    <row r="689" ht="14.25" customHeight="1">
      <c r="B689" s="99"/>
      <c r="C689" s="99"/>
      <c r="D689" s="99"/>
      <c r="E689" s="99"/>
    </row>
    <row r="690" ht="14.25" customHeight="1">
      <c r="B690" s="99"/>
      <c r="C690" s="99"/>
      <c r="D690" s="99"/>
      <c r="E690" s="99"/>
    </row>
    <row r="691" ht="14.25" customHeight="1">
      <c r="B691" s="99"/>
      <c r="C691" s="99"/>
      <c r="D691" s="99"/>
      <c r="E691" s="99"/>
    </row>
    <row r="692" ht="14.25" customHeight="1">
      <c r="B692" s="99"/>
      <c r="C692" s="99"/>
      <c r="D692" s="99"/>
      <c r="E692" s="99"/>
    </row>
    <row r="693" ht="14.25" customHeight="1">
      <c r="B693" s="99"/>
      <c r="C693" s="99"/>
      <c r="D693" s="99"/>
      <c r="E693" s="99"/>
    </row>
    <row r="694" ht="14.25" customHeight="1">
      <c r="B694" s="99"/>
      <c r="C694" s="99"/>
      <c r="D694" s="99"/>
      <c r="E694" s="99"/>
    </row>
    <row r="695" ht="14.25" customHeight="1">
      <c r="B695" s="99"/>
      <c r="C695" s="99"/>
      <c r="D695" s="99"/>
      <c r="E695" s="99"/>
    </row>
    <row r="696" ht="14.25" customHeight="1">
      <c r="B696" s="99"/>
      <c r="C696" s="99"/>
      <c r="D696" s="99"/>
      <c r="E696" s="99"/>
    </row>
    <row r="697" ht="14.25" customHeight="1">
      <c r="B697" s="99"/>
      <c r="C697" s="99"/>
      <c r="D697" s="99"/>
      <c r="E697" s="99"/>
    </row>
    <row r="698" ht="14.25" customHeight="1">
      <c r="B698" s="99"/>
      <c r="C698" s="99"/>
      <c r="D698" s="99"/>
      <c r="E698" s="99"/>
    </row>
    <row r="699" ht="14.25" customHeight="1">
      <c r="B699" s="99"/>
      <c r="C699" s="99"/>
      <c r="D699" s="99"/>
      <c r="E699" s="99"/>
    </row>
    <row r="700" ht="14.25" customHeight="1">
      <c r="B700" s="99"/>
      <c r="C700" s="99"/>
      <c r="D700" s="99"/>
      <c r="E700" s="99"/>
    </row>
    <row r="701" ht="14.25" customHeight="1">
      <c r="B701" s="99"/>
      <c r="C701" s="99"/>
      <c r="D701" s="99"/>
      <c r="E701" s="99"/>
    </row>
    <row r="702" ht="14.25" customHeight="1">
      <c r="B702" s="99"/>
      <c r="C702" s="99"/>
      <c r="D702" s="99"/>
      <c r="E702" s="99"/>
    </row>
    <row r="703" ht="14.25" customHeight="1">
      <c r="B703" s="99"/>
      <c r="C703" s="99"/>
      <c r="D703" s="99"/>
      <c r="E703" s="99"/>
    </row>
    <row r="704" ht="14.25" customHeight="1">
      <c r="B704" s="99"/>
      <c r="C704" s="99"/>
      <c r="D704" s="99"/>
      <c r="E704" s="99"/>
    </row>
    <row r="705" ht="14.25" customHeight="1">
      <c r="B705" s="99"/>
      <c r="C705" s="99"/>
      <c r="D705" s="99"/>
      <c r="E705" s="99"/>
    </row>
    <row r="706" ht="14.25" customHeight="1">
      <c r="B706" s="99"/>
      <c r="C706" s="99"/>
      <c r="D706" s="99"/>
      <c r="E706" s="99"/>
    </row>
    <row r="707" ht="14.25" customHeight="1">
      <c r="B707" s="99"/>
      <c r="C707" s="99"/>
      <c r="D707" s="99"/>
      <c r="E707" s="99"/>
    </row>
    <row r="708" ht="14.25" customHeight="1">
      <c r="B708" s="99"/>
      <c r="C708" s="99"/>
      <c r="D708" s="99"/>
      <c r="E708" s="99"/>
    </row>
    <row r="709" ht="14.25" customHeight="1">
      <c r="B709" s="99"/>
      <c r="C709" s="99"/>
      <c r="D709" s="99"/>
      <c r="E709" s="99"/>
    </row>
    <row r="710" ht="14.25" customHeight="1">
      <c r="B710" s="99"/>
      <c r="C710" s="99"/>
      <c r="D710" s="99"/>
      <c r="E710" s="99"/>
    </row>
    <row r="711" ht="14.25" customHeight="1">
      <c r="B711" s="99"/>
      <c r="C711" s="99"/>
      <c r="D711" s="99"/>
      <c r="E711" s="99"/>
    </row>
    <row r="712" ht="14.25" customHeight="1">
      <c r="B712" s="99"/>
      <c r="C712" s="99"/>
      <c r="D712" s="99"/>
      <c r="E712" s="99"/>
    </row>
    <row r="713" ht="14.25" customHeight="1">
      <c r="B713" s="99"/>
      <c r="C713" s="99"/>
      <c r="D713" s="99"/>
      <c r="E713" s="99"/>
    </row>
    <row r="714" ht="14.25" customHeight="1">
      <c r="B714" s="99"/>
      <c r="C714" s="99"/>
      <c r="D714" s="99"/>
      <c r="E714" s="99"/>
    </row>
    <row r="715" ht="14.25" customHeight="1">
      <c r="B715" s="99"/>
      <c r="C715" s="99"/>
      <c r="D715" s="99"/>
      <c r="E715" s="99"/>
    </row>
    <row r="716" ht="14.25" customHeight="1">
      <c r="B716" s="99"/>
      <c r="C716" s="99"/>
      <c r="D716" s="99"/>
      <c r="E716" s="99"/>
    </row>
    <row r="717" ht="14.25" customHeight="1">
      <c r="B717" s="99"/>
      <c r="C717" s="99"/>
      <c r="D717" s="99"/>
      <c r="E717" s="99"/>
    </row>
    <row r="718" ht="14.25" customHeight="1">
      <c r="B718" s="99"/>
      <c r="C718" s="99"/>
      <c r="D718" s="99"/>
      <c r="E718" s="99"/>
    </row>
    <row r="719" ht="14.25" customHeight="1">
      <c r="B719" s="99"/>
      <c r="C719" s="99"/>
      <c r="D719" s="99"/>
      <c r="E719" s="99"/>
    </row>
    <row r="720" ht="14.25" customHeight="1">
      <c r="B720" s="99"/>
      <c r="C720" s="99"/>
      <c r="D720" s="99"/>
      <c r="E720" s="99"/>
    </row>
    <row r="721" ht="14.25" customHeight="1">
      <c r="B721" s="99"/>
      <c r="C721" s="99"/>
      <c r="D721" s="99"/>
      <c r="E721" s="99"/>
    </row>
    <row r="722" ht="14.25" customHeight="1">
      <c r="B722" s="99"/>
      <c r="C722" s="99"/>
      <c r="D722" s="99"/>
      <c r="E722" s="99"/>
    </row>
    <row r="723" ht="14.25" customHeight="1">
      <c r="B723" s="99"/>
      <c r="C723" s="99"/>
      <c r="D723" s="99"/>
      <c r="E723" s="99"/>
    </row>
    <row r="724" ht="14.25" customHeight="1">
      <c r="B724" s="99"/>
      <c r="C724" s="99"/>
      <c r="D724" s="99"/>
      <c r="E724" s="99"/>
    </row>
    <row r="725" ht="14.25" customHeight="1">
      <c r="B725" s="99"/>
      <c r="C725" s="99"/>
      <c r="D725" s="99"/>
      <c r="E725" s="99"/>
    </row>
    <row r="726" ht="14.25" customHeight="1">
      <c r="B726" s="99"/>
      <c r="C726" s="99"/>
      <c r="D726" s="99"/>
      <c r="E726" s="99"/>
    </row>
    <row r="727" ht="14.25" customHeight="1">
      <c r="B727" s="99"/>
      <c r="C727" s="99"/>
      <c r="D727" s="99"/>
      <c r="E727" s="99"/>
    </row>
    <row r="728" ht="14.25" customHeight="1">
      <c r="B728" s="99"/>
      <c r="C728" s="99"/>
      <c r="D728" s="99"/>
      <c r="E728" s="99"/>
    </row>
    <row r="729" ht="14.25" customHeight="1">
      <c r="B729" s="99"/>
      <c r="C729" s="99"/>
      <c r="D729" s="99"/>
      <c r="E729" s="99"/>
    </row>
    <row r="730" ht="14.25" customHeight="1">
      <c r="B730" s="99"/>
      <c r="C730" s="99"/>
      <c r="D730" s="99"/>
      <c r="E730" s="99"/>
    </row>
    <row r="731" ht="14.25" customHeight="1">
      <c r="B731" s="99"/>
      <c r="C731" s="99"/>
      <c r="D731" s="99"/>
      <c r="E731" s="99"/>
    </row>
    <row r="732" ht="14.25" customHeight="1">
      <c r="B732" s="99"/>
      <c r="C732" s="99"/>
      <c r="D732" s="99"/>
      <c r="E732" s="99"/>
    </row>
    <row r="733" ht="14.25" customHeight="1">
      <c r="B733" s="99"/>
      <c r="C733" s="99"/>
      <c r="D733" s="99"/>
      <c r="E733" s="99"/>
    </row>
    <row r="734" ht="14.25" customHeight="1">
      <c r="B734" s="99"/>
      <c r="C734" s="99"/>
      <c r="D734" s="99"/>
      <c r="E734" s="99"/>
    </row>
    <row r="735" ht="14.25" customHeight="1">
      <c r="B735" s="99"/>
      <c r="C735" s="99"/>
      <c r="D735" s="99"/>
      <c r="E735" s="99"/>
    </row>
    <row r="736" ht="14.25" customHeight="1">
      <c r="B736" s="99"/>
      <c r="C736" s="99"/>
      <c r="D736" s="99"/>
      <c r="E736" s="99"/>
    </row>
    <row r="737" ht="14.25" customHeight="1">
      <c r="B737" s="99"/>
      <c r="C737" s="99"/>
      <c r="D737" s="99"/>
      <c r="E737" s="99"/>
    </row>
    <row r="738" ht="14.25" customHeight="1">
      <c r="B738" s="99"/>
      <c r="C738" s="99"/>
      <c r="D738" s="99"/>
      <c r="E738" s="99"/>
    </row>
    <row r="739" ht="14.25" customHeight="1">
      <c r="B739" s="99"/>
      <c r="C739" s="99"/>
      <c r="D739" s="99"/>
      <c r="E739" s="99"/>
    </row>
    <row r="740" ht="14.25" customHeight="1">
      <c r="B740" s="99"/>
      <c r="C740" s="99"/>
      <c r="D740" s="99"/>
      <c r="E740" s="99"/>
    </row>
    <row r="741" ht="14.25" customHeight="1">
      <c r="B741" s="99"/>
      <c r="C741" s="99"/>
      <c r="D741" s="99"/>
      <c r="E741" s="99"/>
    </row>
    <row r="742" ht="14.25" customHeight="1">
      <c r="B742" s="99"/>
      <c r="C742" s="99"/>
      <c r="D742" s="99"/>
      <c r="E742" s="99"/>
    </row>
    <row r="743" ht="14.25" customHeight="1">
      <c r="B743" s="99"/>
      <c r="C743" s="99"/>
      <c r="D743" s="99"/>
      <c r="E743" s="99"/>
    </row>
    <row r="744" ht="14.25" customHeight="1">
      <c r="B744" s="99"/>
      <c r="C744" s="99"/>
      <c r="D744" s="99"/>
      <c r="E744" s="99"/>
    </row>
    <row r="745" ht="14.25" customHeight="1">
      <c r="B745" s="99"/>
      <c r="C745" s="99"/>
      <c r="D745" s="99"/>
      <c r="E745" s="99"/>
    </row>
    <row r="746" ht="14.25" customHeight="1">
      <c r="B746" s="99"/>
      <c r="C746" s="99"/>
      <c r="D746" s="99"/>
      <c r="E746" s="99"/>
    </row>
    <row r="747" ht="14.25" customHeight="1">
      <c r="B747" s="99"/>
      <c r="C747" s="99"/>
      <c r="D747" s="99"/>
      <c r="E747" s="99"/>
    </row>
    <row r="748" ht="14.25" customHeight="1">
      <c r="B748" s="99"/>
      <c r="C748" s="99"/>
      <c r="D748" s="99"/>
      <c r="E748" s="99"/>
    </row>
    <row r="749" ht="14.25" customHeight="1">
      <c r="B749" s="99"/>
      <c r="C749" s="99"/>
      <c r="D749" s="99"/>
      <c r="E749" s="99"/>
    </row>
    <row r="750" ht="14.25" customHeight="1">
      <c r="B750" s="99"/>
      <c r="C750" s="99"/>
      <c r="D750" s="99"/>
      <c r="E750" s="99"/>
    </row>
    <row r="751" ht="14.25" customHeight="1">
      <c r="B751" s="99"/>
      <c r="C751" s="99"/>
      <c r="D751" s="99"/>
      <c r="E751" s="99"/>
    </row>
    <row r="752" ht="14.25" customHeight="1">
      <c r="B752" s="99"/>
      <c r="C752" s="99"/>
      <c r="D752" s="99"/>
      <c r="E752" s="99"/>
    </row>
    <row r="753" ht="14.25" customHeight="1">
      <c r="B753" s="99"/>
      <c r="C753" s="99"/>
      <c r="D753" s="99"/>
      <c r="E753" s="99"/>
    </row>
    <row r="754" ht="14.25" customHeight="1">
      <c r="B754" s="99"/>
      <c r="C754" s="99"/>
      <c r="D754" s="99"/>
      <c r="E754" s="99"/>
    </row>
    <row r="755" ht="14.25" customHeight="1">
      <c r="B755" s="99"/>
      <c r="C755" s="99"/>
      <c r="D755" s="99"/>
      <c r="E755" s="99"/>
    </row>
    <row r="756" ht="14.25" customHeight="1">
      <c r="B756" s="99"/>
      <c r="C756" s="99"/>
      <c r="D756" s="99"/>
      <c r="E756" s="99"/>
    </row>
    <row r="757" ht="14.25" customHeight="1">
      <c r="B757" s="99"/>
      <c r="C757" s="99"/>
      <c r="D757" s="99"/>
      <c r="E757" s="99"/>
    </row>
    <row r="758" ht="14.25" customHeight="1">
      <c r="B758" s="99"/>
      <c r="C758" s="99"/>
      <c r="D758" s="99"/>
      <c r="E758" s="99"/>
    </row>
    <row r="759" ht="14.25" customHeight="1">
      <c r="B759" s="99"/>
      <c r="C759" s="99"/>
      <c r="D759" s="99"/>
      <c r="E759" s="99"/>
    </row>
    <row r="760" ht="14.25" customHeight="1">
      <c r="B760" s="99"/>
      <c r="C760" s="99"/>
      <c r="D760" s="99"/>
      <c r="E760" s="99"/>
    </row>
    <row r="761" ht="14.25" customHeight="1">
      <c r="B761" s="99"/>
      <c r="C761" s="99"/>
      <c r="D761" s="99"/>
      <c r="E761" s="99"/>
    </row>
    <row r="762" ht="14.25" customHeight="1">
      <c r="B762" s="99"/>
      <c r="C762" s="99"/>
      <c r="D762" s="99"/>
      <c r="E762" s="99"/>
    </row>
    <row r="763" ht="14.25" customHeight="1">
      <c r="B763" s="99"/>
      <c r="C763" s="99"/>
      <c r="D763" s="99"/>
      <c r="E763" s="99"/>
    </row>
    <row r="764" ht="14.25" customHeight="1">
      <c r="B764" s="99"/>
      <c r="C764" s="99"/>
      <c r="D764" s="99"/>
      <c r="E764" s="99"/>
    </row>
    <row r="765" ht="14.25" customHeight="1">
      <c r="B765" s="99"/>
      <c r="C765" s="99"/>
      <c r="D765" s="99"/>
      <c r="E765" s="99"/>
    </row>
    <row r="766" ht="14.25" customHeight="1">
      <c r="B766" s="99"/>
      <c r="C766" s="99"/>
      <c r="D766" s="99"/>
      <c r="E766" s="99"/>
    </row>
    <row r="767" ht="14.25" customHeight="1">
      <c r="B767" s="99"/>
      <c r="C767" s="99"/>
      <c r="D767" s="99"/>
      <c r="E767" s="99"/>
    </row>
    <row r="768" ht="14.25" customHeight="1">
      <c r="B768" s="99"/>
      <c r="C768" s="99"/>
      <c r="D768" s="99"/>
      <c r="E768" s="99"/>
    </row>
    <row r="769" ht="14.25" customHeight="1">
      <c r="B769" s="99"/>
      <c r="C769" s="99"/>
      <c r="D769" s="99"/>
      <c r="E769" s="99"/>
    </row>
    <row r="770" ht="14.25" customHeight="1">
      <c r="B770" s="99"/>
      <c r="C770" s="99"/>
      <c r="D770" s="99"/>
      <c r="E770" s="99"/>
    </row>
    <row r="771" ht="14.25" customHeight="1">
      <c r="B771" s="99"/>
      <c r="C771" s="99"/>
      <c r="D771" s="99"/>
      <c r="E771" s="99"/>
    </row>
    <row r="772" ht="14.25" customHeight="1">
      <c r="B772" s="99"/>
      <c r="C772" s="99"/>
      <c r="D772" s="99"/>
      <c r="E772" s="99"/>
    </row>
    <row r="773" ht="14.25" customHeight="1">
      <c r="B773" s="99"/>
      <c r="C773" s="99"/>
      <c r="D773" s="99"/>
      <c r="E773" s="99"/>
    </row>
    <row r="774" ht="14.25" customHeight="1">
      <c r="B774" s="99"/>
      <c r="C774" s="99"/>
      <c r="D774" s="99"/>
      <c r="E774" s="99"/>
    </row>
    <row r="775" ht="14.25" customHeight="1">
      <c r="B775" s="99"/>
      <c r="C775" s="99"/>
      <c r="D775" s="99"/>
      <c r="E775" s="99"/>
    </row>
    <row r="776" ht="14.25" customHeight="1">
      <c r="B776" s="99"/>
      <c r="C776" s="99"/>
      <c r="D776" s="99"/>
      <c r="E776" s="99"/>
    </row>
    <row r="777" ht="14.25" customHeight="1">
      <c r="B777" s="99"/>
      <c r="C777" s="99"/>
      <c r="D777" s="99"/>
      <c r="E777" s="99"/>
    </row>
    <row r="778" ht="14.25" customHeight="1">
      <c r="B778" s="99"/>
      <c r="C778" s="99"/>
      <c r="D778" s="99"/>
      <c r="E778" s="99"/>
    </row>
    <row r="779" ht="14.25" customHeight="1">
      <c r="B779" s="99"/>
      <c r="C779" s="99"/>
      <c r="D779" s="99"/>
      <c r="E779" s="99"/>
    </row>
    <row r="780" ht="14.25" customHeight="1">
      <c r="B780" s="99"/>
      <c r="C780" s="99"/>
      <c r="D780" s="99"/>
      <c r="E780" s="99"/>
    </row>
    <row r="781" ht="14.25" customHeight="1">
      <c r="B781" s="99"/>
      <c r="C781" s="99"/>
      <c r="D781" s="99"/>
      <c r="E781" s="99"/>
    </row>
    <row r="782" ht="14.25" customHeight="1">
      <c r="B782" s="99"/>
      <c r="C782" s="99"/>
      <c r="D782" s="99"/>
      <c r="E782" s="99"/>
    </row>
    <row r="783" ht="14.25" customHeight="1">
      <c r="B783" s="99"/>
      <c r="C783" s="99"/>
      <c r="D783" s="99"/>
      <c r="E783" s="99"/>
    </row>
    <row r="784" ht="14.25" customHeight="1">
      <c r="B784" s="99"/>
      <c r="C784" s="99"/>
      <c r="D784" s="99"/>
      <c r="E784" s="99"/>
    </row>
    <row r="785" ht="14.25" customHeight="1">
      <c r="B785" s="99"/>
      <c r="C785" s="99"/>
      <c r="D785" s="99"/>
      <c r="E785" s="99"/>
    </row>
    <row r="786" ht="14.25" customHeight="1">
      <c r="B786" s="99"/>
      <c r="C786" s="99"/>
      <c r="D786" s="99"/>
      <c r="E786" s="99"/>
    </row>
    <row r="787" ht="14.25" customHeight="1">
      <c r="B787" s="99"/>
      <c r="C787" s="99"/>
      <c r="D787" s="99"/>
      <c r="E787" s="99"/>
    </row>
    <row r="788" ht="14.25" customHeight="1">
      <c r="B788" s="99"/>
      <c r="C788" s="99"/>
      <c r="D788" s="99"/>
      <c r="E788" s="99"/>
    </row>
    <row r="789" ht="14.25" customHeight="1">
      <c r="B789" s="99"/>
      <c r="C789" s="99"/>
      <c r="D789" s="99"/>
      <c r="E789" s="99"/>
    </row>
    <row r="790" ht="14.25" customHeight="1">
      <c r="B790" s="99"/>
      <c r="C790" s="99"/>
      <c r="D790" s="99"/>
      <c r="E790" s="99"/>
    </row>
    <row r="791" ht="14.25" customHeight="1">
      <c r="B791" s="99"/>
      <c r="C791" s="99"/>
      <c r="D791" s="99"/>
      <c r="E791" s="99"/>
    </row>
    <row r="792" ht="14.25" customHeight="1">
      <c r="B792" s="99"/>
      <c r="C792" s="99"/>
      <c r="D792" s="99"/>
      <c r="E792" s="99"/>
    </row>
    <row r="793" ht="14.25" customHeight="1">
      <c r="B793" s="99"/>
      <c r="C793" s="99"/>
      <c r="D793" s="99"/>
      <c r="E793" s="99"/>
    </row>
    <row r="794" ht="14.25" customHeight="1">
      <c r="B794" s="99"/>
      <c r="C794" s="99"/>
      <c r="D794" s="99"/>
      <c r="E794" s="99"/>
    </row>
    <row r="795" ht="14.25" customHeight="1">
      <c r="B795" s="99"/>
      <c r="C795" s="99"/>
      <c r="D795" s="99"/>
      <c r="E795" s="99"/>
    </row>
    <row r="796" ht="14.25" customHeight="1">
      <c r="B796" s="99"/>
      <c r="C796" s="99"/>
      <c r="D796" s="99"/>
      <c r="E796" s="99"/>
    </row>
    <row r="797" ht="14.25" customHeight="1">
      <c r="B797" s="99"/>
      <c r="C797" s="99"/>
      <c r="D797" s="99"/>
      <c r="E797" s="99"/>
    </row>
    <row r="798" ht="14.25" customHeight="1">
      <c r="B798" s="99"/>
      <c r="C798" s="99"/>
      <c r="D798" s="99"/>
      <c r="E798" s="99"/>
    </row>
    <row r="799" ht="14.25" customHeight="1">
      <c r="B799" s="99"/>
      <c r="C799" s="99"/>
      <c r="D799" s="99"/>
      <c r="E799" s="99"/>
    </row>
    <row r="800" ht="14.25" customHeight="1">
      <c r="B800" s="99"/>
      <c r="C800" s="99"/>
      <c r="D800" s="99"/>
      <c r="E800" s="99"/>
    </row>
    <row r="801" ht="14.25" customHeight="1">
      <c r="B801" s="99"/>
      <c r="C801" s="99"/>
      <c r="D801" s="99"/>
      <c r="E801" s="99"/>
    </row>
    <row r="802" ht="14.25" customHeight="1">
      <c r="B802" s="99"/>
      <c r="C802" s="99"/>
      <c r="D802" s="99"/>
      <c r="E802" s="99"/>
    </row>
    <row r="803" ht="14.25" customHeight="1">
      <c r="B803" s="99"/>
      <c r="C803" s="99"/>
      <c r="D803" s="99"/>
      <c r="E803" s="99"/>
    </row>
    <row r="804" ht="14.25" customHeight="1">
      <c r="B804" s="99"/>
      <c r="C804" s="99"/>
      <c r="D804" s="99"/>
      <c r="E804" s="99"/>
    </row>
    <row r="805" ht="14.25" customHeight="1">
      <c r="B805" s="99"/>
      <c r="C805" s="99"/>
      <c r="D805" s="99"/>
      <c r="E805" s="99"/>
    </row>
    <row r="806" ht="14.25" customHeight="1">
      <c r="B806" s="99"/>
      <c r="C806" s="99"/>
      <c r="D806" s="99"/>
      <c r="E806" s="99"/>
    </row>
    <row r="807" ht="14.25" customHeight="1">
      <c r="B807" s="99"/>
      <c r="C807" s="99"/>
      <c r="D807" s="99"/>
      <c r="E807" s="99"/>
    </row>
    <row r="808" ht="14.25" customHeight="1">
      <c r="B808" s="99"/>
      <c r="C808" s="99"/>
      <c r="D808" s="99"/>
      <c r="E808" s="99"/>
    </row>
    <row r="809" ht="14.25" customHeight="1">
      <c r="B809" s="99"/>
      <c r="C809" s="99"/>
      <c r="D809" s="99"/>
      <c r="E809" s="99"/>
    </row>
    <row r="810" ht="14.25" customHeight="1">
      <c r="B810" s="99"/>
      <c r="C810" s="99"/>
      <c r="D810" s="99"/>
      <c r="E810" s="99"/>
    </row>
    <row r="811" ht="14.25" customHeight="1">
      <c r="B811" s="99"/>
      <c r="C811" s="99"/>
      <c r="D811" s="99"/>
      <c r="E811" s="99"/>
    </row>
    <row r="812" ht="14.25" customHeight="1">
      <c r="B812" s="99"/>
      <c r="C812" s="99"/>
      <c r="D812" s="99"/>
      <c r="E812" s="99"/>
    </row>
    <row r="813" ht="14.25" customHeight="1">
      <c r="B813" s="99"/>
      <c r="C813" s="99"/>
      <c r="D813" s="99"/>
      <c r="E813" s="99"/>
    </row>
    <row r="814" ht="14.25" customHeight="1">
      <c r="B814" s="99"/>
      <c r="C814" s="99"/>
      <c r="D814" s="99"/>
      <c r="E814" s="99"/>
    </row>
    <row r="815" ht="14.25" customHeight="1">
      <c r="B815" s="99"/>
      <c r="C815" s="99"/>
      <c r="D815" s="99"/>
      <c r="E815" s="99"/>
    </row>
    <row r="816" ht="14.25" customHeight="1">
      <c r="B816" s="99"/>
      <c r="C816" s="99"/>
      <c r="D816" s="99"/>
      <c r="E816" s="99"/>
    </row>
    <row r="817" ht="14.25" customHeight="1">
      <c r="B817" s="99"/>
      <c r="C817" s="99"/>
      <c r="D817" s="99"/>
      <c r="E817" s="99"/>
    </row>
    <row r="818" ht="14.25" customHeight="1">
      <c r="B818" s="99"/>
      <c r="C818" s="99"/>
      <c r="D818" s="99"/>
      <c r="E818" s="99"/>
    </row>
    <row r="819" ht="14.25" customHeight="1">
      <c r="B819" s="99"/>
      <c r="C819" s="99"/>
      <c r="D819" s="99"/>
      <c r="E819" s="99"/>
    </row>
    <row r="820" ht="14.25" customHeight="1">
      <c r="B820" s="99"/>
      <c r="C820" s="99"/>
      <c r="D820" s="99"/>
      <c r="E820" s="99"/>
    </row>
    <row r="821" ht="14.25" customHeight="1">
      <c r="B821" s="99"/>
      <c r="C821" s="99"/>
      <c r="D821" s="99"/>
      <c r="E821" s="99"/>
    </row>
    <row r="822" ht="14.25" customHeight="1">
      <c r="B822" s="99"/>
      <c r="C822" s="99"/>
      <c r="D822" s="99"/>
      <c r="E822" s="99"/>
    </row>
    <row r="823" ht="14.25" customHeight="1">
      <c r="B823" s="99"/>
      <c r="C823" s="99"/>
      <c r="D823" s="99"/>
      <c r="E823" s="99"/>
    </row>
    <row r="824" ht="14.25" customHeight="1">
      <c r="B824" s="99"/>
      <c r="C824" s="99"/>
      <c r="D824" s="99"/>
      <c r="E824" s="99"/>
    </row>
    <row r="825" ht="14.25" customHeight="1">
      <c r="B825" s="99"/>
      <c r="C825" s="99"/>
      <c r="D825" s="99"/>
      <c r="E825" s="99"/>
    </row>
    <row r="826" ht="14.25" customHeight="1">
      <c r="B826" s="99"/>
      <c r="C826" s="99"/>
      <c r="D826" s="99"/>
      <c r="E826" s="99"/>
    </row>
    <row r="827" ht="14.25" customHeight="1">
      <c r="B827" s="99"/>
      <c r="C827" s="99"/>
      <c r="D827" s="99"/>
      <c r="E827" s="99"/>
    </row>
    <row r="828" ht="14.25" customHeight="1">
      <c r="B828" s="99"/>
      <c r="C828" s="99"/>
      <c r="D828" s="99"/>
      <c r="E828" s="99"/>
    </row>
    <row r="829" ht="14.25" customHeight="1">
      <c r="B829" s="99"/>
      <c r="C829" s="99"/>
      <c r="D829" s="99"/>
      <c r="E829" s="99"/>
    </row>
    <row r="830" ht="14.25" customHeight="1">
      <c r="B830" s="99"/>
      <c r="C830" s="99"/>
      <c r="D830" s="99"/>
      <c r="E830" s="99"/>
    </row>
    <row r="831" ht="14.25" customHeight="1">
      <c r="B831" s="99"/>
      <c r="C831" s="99"/>
      <c r="D831" s="99"/>
      <c r="E831" s="99"/>
    </row>
    <row r="832" ht="14.25" customHeight="1">
      <c r="B832" s="99"/>
      <c r="C832" s="99"/>
      <c r="D832" s="99"/>
      <c r="E832" s="99"/>
    </row>
    <row r="833" ht="14.25" customHeight="1">
      <c r="B833" s="99"/>
      <c r="C833" s="99"/>
      <c r="D833" s="99"/>
      <c r="E833" s="99"/>
    </row>
    <row r="834" ht="14.25" customHeight="1">
      <c r="B834" s="99"/>
      <c r="C834" s="99"/>
      <c r="D834" s="99"/>
      <c r="E834" s="99"/>
    </row>
    <row r="835" ht="14.25" customHeight="1">
      <c r="B835" s="99"/>
      <c r="C835" s="99"/>
      <c r="D835" s="99"/>
      <c r="E835" s="99"/>
    </row>
    <row r="836" ht="14.25" customHeight="1">
      <c r="B836" s="99"/>
      <c r="C836" s="99"/>
      <c r="D836" s="99"/>
      <c r="E836" s="99"/>
    </row>
    <row r="837" ht="14.25" customHeight="1">
      <c r="B837" s="99"/>
      <c r="C837" s="99"/>
      <c r="D837" s="99"/>
      <c r="E837" s="99"/>
    </row>
    <row r="838" ht="14.25" customHeight="1">
      <c r="B838" s="99"/>
      <c r="C838" s="99"/>
      <c r="D838" s="99"/>
      <c r="E838" s="99"/>
    </row>
    <row r="839" ht="14.25" customHeight="1">
      <c r="B839" s="99"/>
      <c r="C839" s="99"/>
      <c r="D839" s="99"/>
      <c r="E839" s="99"/>
    </row>
    <row r="840" ht="14.25" customHeight="1">
      <c r="B840" s="99"/>
      <c r="C840" s="99"/>
      <c r="D840" s="99"/>
      <c r="E840" s="99"/>
    </row>
    <row r="841" ht="14.25" customHeight="1">
      <c r="B841" s="99"/>
      <c r="C841" s="99"/>
      <c r="D841" s="99"/>
      <c r="E841" s="99"/>
    </row>
    <row r="842" ht="14.25" customHeight="1">
      <c r="B842" s="99"/>
      <c r="C842" s="99"/>
      <c r="D842" s="99"/>
      <c r="E842" s="99"/>
    </row>
    <row r="843" ht="14.25" customHeight="1">
      <c r="B843" s="99"/>
      <c r="C843" s="99"/>
      <c r="D843" s="99"/>
      <c r="E843" s="99"/>
    </row>
    <row r="844" ht="14.25" customHeight="1">
      <c r="B844" s="99"/>
      <c r="C844" s="99"/>
      <c r="D844" s="99"/>
      <c r="E844" s="99"/>
    </row>
    <row r="845" ht="14.25" customHeight="1">
      <c r="B845" s="99"/>
      <c r="C845" s="99"/>
      <c r="D845" s="99"/>
      <c r="E845" s="99"/>
    </row>
    <row r="846" ht="14.25" customHeight="1">
      <c r="B846" s="99"/>
      <c r="C846" s="99"/>
      <c r="D846" s="99"/>
      <c r="E846" s="99"/>
    </row>
    <row r="847" ht="14.25" customHeight="1">
      <c r="B847" s="99"/>
      <c r="C847" s="99"/>
      <c r="D847" s="99"/>
      <c r="E847" s="99"/>
    </row>
    <row r="848" ht="14.25" customHeight="1">
      <c r="B848" s="99"/>
      <c r="C848" s="99"/>
      <c r="D848" s="99"/>
      <c r="E848" s="99"/>
    </row>
    <row r="849" ht="14.25" customHeight="1">
      <c r="B849" s="99"/>
      <c r="C849" s="99"/>
      <c r="D849" s="99"/>
      <c r="E849" s="99"/>
    </row>
    <row r="850" ht="14.25" customHeight="1">
      <c r="B850" s="99"/>
      <c r="C850" s="99"/>
      <c r="D850" s="99"/>
      <c r="E850" s="99"/>
    </row>
    <row r="851" ht="14.25" customHeight="1">
      <c r="B851" s="99"/>
      <c r="C851" s="99"/>
      <c r="D851" s="99"/>
      <c r="E851" s="99"/>
    </row>
    <row r="852" ht="14.25" customHeight="1">
      <c r="B852" s="99"/>
      <c r="C852" s="99"/>
      <c r="D852" s="99"/>
      <c r="E852" s="99"/>
    </row>
    <row r="853" ht="14.25" customHeight="1">
      <c r="B853" s="99"/>
      <c r="C853" s="99"/>
      <c r="D853" s="99"/>
      <c r="E853" s="99"/>
    </row>
    <row r="854" ht="14.25" customHeight="1">
      <c r="B854" s="99"/>
      <c r="C854" s="99"/>
      <c r="D854" s="99"/>
      <c r="E854" s="99"/>
    </row>
    <row r="855" ht="14.25" customHeight="1">
      <c r="B855" s="99"/>
      <c r="C855" s="99"/>
      <c r="D855" s="99"/>
      <c r="E855" s="99"/>
    </row>
    <row r="856" ht="14.25" customHeight="1">
      <c r="B856" s="99"/>
      <c r="C856" s="99"/>
      <c r="D856" s="99"/>
      <c r="E856" s="99"/>
    </row>
    <row r="857" ht="14.25" customHeight="1">
      <c r="B857" s="99"/>
      <c r="C857" s="99"/>
      <c r="D857" s="99"/>
      <c r="E857" s="99"/>
    </row>
    <row r="858" ht="14.25" customHeight="1">
      <c r="B858" s="99"/>
      <c r="C858" s="99"/>
      <c r="D858" s="99"/>
      <c r="E858" s="99"/>
    </row>
    <row r="859" ht="14.25" customHeight="1">
      <c r="B859" s="99"/>
      <c r="C859" s="99"/>
      <c r="D859" s="99"/>
      <c r="E859" s="99"/>
    </row>
    <row r="860" ht="14.25" customHeight="1">
      <c r="B860" s="99"/>
      <c r="C860" s="99"/>
      <c r="D860" s="99"/>
      <c r="E860" s="99"/>
    </row>
    <row r="861" ht="14.25" customHeight="1">
      <c r="B861" s="99"/>
      <c r="C861" s="99"/>
      <c r="D861" s="99"/>
      <c r="E861" s="99"/>
    </row>
    <row r="862" ht="14.25" customHeight="1">
      <c r="B862" s="99"/>
      <c r="C862" s="99"/>
      <c r="D862" s="99"/>
      <c r="E862" s="99"/>
    </row>
    <row r="863" ht="14.25" customHeight="1">
      <c r="B863" s="99"/>
      <c r="C863" s="99"/>
      <c r="D863" s="99"/>
      <c r="E863" s="99"/>
    </row>
    <row r="864" ht="14.25" customHeight="1">
      <c r="B864" s="99"/>
      <c r="C864" s="99"/>
      <c r="D864" s="99"/>
      <c r="E864" s="99"/>
    </row>
    <row r="865" ht="14.25" customHeight="1">
      <c r="B865" s="99"/>
      <c r="C865" s="99"/>
      <c r="D865" s="99"/>
      <c r="E865" s="99"/>
    </row>
    <row r="866" ht="14.25" customHeight="1">
      <c r="B866" s="99"/>
      <c r="C866" s="99"/>
      <c r="D866" s="99"/>
      <c r="E866" s="99"/>
    </row>
    <row r="867" ht="14.25" customHeight="1">
      <c r="B867" s="99"/>
      <c r="C867" s="99"/>
      <c r="D867" s="99"/>
      <c r="E867" s="99"/>
    </row>
    <row r="868" ht="14.25" customHeight="1">
      <c r="B868" s="99"/>
      <c r="C868" s="99"/>
      <c r="D868" s="99"/>
      <c r="E868" s="99"/>
    </row>
    <row r="869" ht="14.25" customHeight="1">
      <c r="B869" s="99"/>
      <c r="C869" s="99"/>
      <c r="D869" s="99"/>
      <c r="E869" s="99"/>
    </row>
    <row r="870" ht="14.25" customHeight="1">
      <c r="B870" s="99"/>
      <c r="C870" s="99"/>
      <c r="D870" s="99"/>
      <c r="E870" s="99"/>
    </row>
    <row r="871" ht="14.25" customHeight="1">
      <c r="B871" s="99"/>
      <c r="C871" s="99"/>
      <c r="D871" s="99"/>
      <c r="E871" s="99"/>
    </row>
    <row r="872" ht="14.25" customHeight="1">
      <c r="B872" s="99"/>
      <c r="C872" s="99"/>
      <c r="D872" s="99"/>
      <c r="E872" s="99"/>
    </row>
    <row r="873" ht="14.25" customHeight="1">
      <c r="B873" s="99"/>
      <c r="C873" s="99"/>
      <c r="D873" s="99"/>
      <c r="E873" s="99"/>
    </row>
    <row r="874" ht="14.25" customHeight="1">
      <c r="B874" s="99"/>
      <c r="C874" s="99"/>
      <c r="D874" s="99"/>
      <c r="E874" s="99"/>
    </row>
    <row r="875" ht="14.25" customHeight="1">
      <c r="B875" s="99"/>
      <c r="C875" s="99"/>
      <c r="D875" s="99"/>
      <c r="E875" s="99"/>
    </row>
    <row r="876" ht="14.25" customHeight="1">
      <c r="B876" s="99"/>
      <c r="C876" s="99"/>
      <c r="D876" s="99"/>
      <c r="E876" s="99"/>
    </row>
    <row r="877" ht="14.25" customHeight="1">
      <c r="B877" s="99"/>
      <c r="C877" s="99"/>
      <c r="D877" s="99"/>
      <c r="E877" s="99"/>
    </row>
    <row r="878" ht="14.25" customHeight="1">
      <c r="B878" s="99"/>
      <c r="C878" s="99"/>
      <c r="D878" s="99"/>
      <c r="E878" s="99"/>
    </row>
    <row r="879" ht="14.25" customHeight="1">
      <c r="B879" s="99"/>
      <c r="C879" s="99"/>
      <c r="D879" s="99"/>
      <c r="E879" s="99"/>
    </row>
    <row r="880" ht="14.25" customHeight="1">
      <c r="B880" s="99"/>
      <c r="C880" s="99"/>
      <c r="D880" s="99"/>
      <c r="E880" s="99"/>
    </row>
    <row r="881" ht="14.25" customHeight="1">
      <c r="B881" s="99"/>
      <c r="C881" s="99"/>
      <c r="D881" s="99"/>
      <c r="E881" s="99"/>
    </row>
    <row r="882" ht="14.25" customHeight="1">
      <c r="B882" s="99"/>
      <c r="C882" s="99"/>
      <c r="D882" s="99"/>
      <c r="E882" s="99"/>
    </row>
    <row r="883" ht="14.25" customHeight="1">
      <c r="B883" s="99"/>
      <c r="C883" s="99"/>
      <c r="D883" s="99"/>
      <c r="E883" s="99"/>
    </row>
    <row r="884" ht="14.25" customHeight="1">
      <c r="B884" s="99"/>
      <c r="C884" s="99"/>
      <c r="D884" s="99"/>
      <c r="E884" s="99"/>
    </row>
    <row r="885" ht="14.25" customHeight="1">
      <c r="B885" s="99"/>
      <c r="C885" s="99"/>
      <c r="D885" s="99"/>
      <c r="E885" s="99"/>
    </row>
    <row r="886" ht="14.25" customHeight="1">
      <c r="B886" s="99"/>
      <c r="C886" s="99"/>
      <c r="D886" s="99"/>
      <c r="E886" s="99"/>
    </row>
    <row r="887" ht="14.25" customHeight="1">
      <c r="B887" s="99"/>
      <c r="C887" s="99"/>
      <c r="D887" s="99"/>
      <c r="E887" s="99"/>
    </row>
    <row r="888" ht="14.25" customHeight="1">
      <c r="B888" s="99"/>
      <c r="C888" s="99"/>
      <c r="D888" s="99"/>
      <c r="E888" s="99"/>
    </row>
    <row r="889" ht="14.25" customHeight="1">
      <c r="B889" s="99"/>
      <c r="C889" s="99"/>
      <c r="D889" s="99"/>
      <c r="E889" s="99"/>
    </row>
    <row r="890" ht="14.25" customHeight="1">
      <c r="B890" s="99"/>
      <c r="C890" s="99"/>
      <c r="D890" s="99"/>
      <c r="E890" s="99"/>
    </row>
    <row r="891" ht="14.25" customHeight="1">
      <c r="B891" s="99"/>
      <c r="C891" s="99"/>
      <c r="D891" s="99"/>
      <c r="E891" s="99"/>
    </row>
    <row r="892" ht="14.25" customHeight="1">
      <c r="B892" s="99"/>
      <c r="C892" s="99"/>
      <c r="D892" s="99"/>
      <c r="E892" s="99"/>
    </row>
    <row r="893" ht="14.25" customHeight="1">
      <c r="B893" s="99"/>
      <c r="C893" s="99"/>
      <c r="D893" s="99"/>
      <c r="E893" s="99"/>
    </row>
    <row r="894" ht="14.25" customHeight="1">
      <c r="B894" s="99"/>
      <c r="C894" s="99"/>
      <c r="D894" s="99"/>
      <c r="E894" s="99"/>
    </row>
    <row r="895" ht="14.25" customHeight="1">
      <c r="B895" s="99"/>
      <c r="C895" s="99"/>
      <c r="D895" s="99"/>
      <c r="E895" s="99"/>
    </row>
    <row r="896" ht="14.25" customHeight="1">
      <c r="B896" s="99"/>
      <c r="C896" s="99"/>
      <c r="D896" s="99"/>
      <c r="E896" s="99"/>
    </row>
    <row r="897" ht="14.25" customHeight="1">
      <c r="B897" s="99"/>
      <c r="C897" s="99"/>
      <c r="D897" s="99"/>
      <c r="E897" s="99"/>
    </row>
    <row r="898" ht="14.25" customHeight="1">
      <c r="B898" s="99"/>
      <c r="C898" s="99"/>
      <c r="D898" s="99"/>
      <c r="E898" s="99"/>
    </row>
    <row r="899" ht="14.25" customHeight="1">
      <c r="B899" s="99"/>
      <c r="C899" s="99"/>
      <c r="D899" s="99"/>
      <c r="E899" s="99"/>
    </row>
    <row r="900" ht="14.25" customHeight="1">
      <c r="B900" s="99"/>
      <c r="C900" s="99"/>
      <c r="D900" s="99"/>
      <c r="E900" s="99"/>
    </row>
    <row r="901" ht="14.25" customHeight="1">
      <c r="B901" s="99"/>
      <c r="C901" s="99"/>
      <c r="D901" s="99"/>
      <c r="E901" s="99"/>
    </row>
    <row r="902" ht="14.25" customHeight="1">
      <c r="B902" s="99"/>
      <c r="C902" s="99"/>
      <c r="D902" s="99"/>
      <c r="E902" s="99"/>
    </row>
    <row r="903" ht="14.25" customHeight="1">
      <c r="B903" s="99"/>
      <c r="C903" s="99"/>
      <c r="D903" s="99"/>
      <c r="E903" s="99"/>
    </row>
    <row r="904" ht="14.25" customHeight="1">
      <c r="B904" s="99"/>
      <c r="C904" s="99"/>
      <c r="D904" s="99"/>
      <c r="E904" s="99"/>
    </row>
    <row r="905" ht="14.25" customHeight="1">
      <c r="B905" s="99"/>
      <c r="C905" s="99"/>
      <c r="D905" s="99"/>
      <c r="E905" s="99"/>
    </row>
    <row r="906" ht="14.25" customHeight="1">
      <c r="B906" s="99"/>
      <c r="C906" s="99"/>
      <c r="D906" s="99"/>
      <c r="E906" s="99"/>
    </row>
    <row r="907" ht="14.25" customHeight="1">
      <c r="B907" s="99"/>
      <c r="C907" s="99"/>
      <c r="D907" s="99"/>
      <c r="E907" s="99"/>
    </row>
    <row r="908" ht="14.25" customHeight="1">
      <c r="B908" s="99"/>
      <c r="C908" s="99"/>
      <c r="D908" s="99"/>
      <c r="E908" s="99"/>
    </row>
    <row r="909" ht="14.25" customHeight="1">
      <c r="B909" s="99"/>
      <c r="C909" s="99"/>
      <c r="D909" s="99"/>
      <c r="E909" s="99"/>
    </row>
    <row r="910" ht="14.25" customHeight="1">
      <c r="B910" s="99"/>
      <c r="C910" s="99"/>
      <c r="D910" s="99"/>
      <c r="E910" s="99"/>
    </row>
    <row r="911" ht="14.25" customHeight="1">
      <c r="B911" s="99"/>
      <c r="C911" s="99"/>
      <c r="D911" s="99"/>
      <c r="E911" s="99"/>
    </row>
    <row r="912" ht="14.25" customHeight="1">
      <c r="B912" s="99"/>
      <c r="C912" s="99"/>
      <c r="D912" s="99"/>
      <c r="E912" s="99"/>
    </row>
    <row r="913" ht="14.25" customHeight="1">
      <c r="B913" s="99"/>
      <c r="C913" s="99"/>
      <c r="D913" s="99"/>
      <c r="E913" s="99"/>
    </row>
    <row r="914" ht="14.25" customHeight="1">
      <c r="B914" s="99"/>
      <c r="C914" s="99"/>
      <c r="D914" s="99"/>
      <c r="E914" s="99"/>
    </row>
    <row r="915" ht="14.25" customHeight="1">
      <c r="B915" s="99"/>
      <c r="C915" s="99"/>
      <c r="D915" s="99"/>
      <c r="E915" s="99"/>
    </row>
    <row r="916" ht="14.25" customHeight="1">
      <c r="B916" s="99"/>
      <c r="C916" s="99"/>
      <c r="D916" s="99"/>
      <c r="E916" s="99"/>
    </row>
    <row r="917" ht="14.25" customHeight="1">
      <c r="B917" s="99"/>
      <c r="C917" s="99"/>
      <c r="D917" s="99"/>
      <c r="E917" s="99"/>
    </row>
    <row r="918" ht="14.25" customHeight="1">
      <c r="B918" s="99"/>
      <c r="C918" s="99"/>
      <c r="D918" s="99"/>
      <c r="E918" s="99"/>
    </row>
    <row r="919" ht="14.25" customHeight="1">
      <c r="B919" s="99"/>
      <c r="C919" s="99"/>
      <c r="D919" s="99"/>
      <c r="E919" s="99"/>
    </row>
    <row r="920" ht="14.25" customHeight="1">
      <c r="B920" s="99"/>
      <c r="C920" s="99"/>
      <c r="D920" s="99"/>
      <c r="E920" s="99"/>
    </row>
    <row r="921" ht="14.25" customHeight="1">
      <c r="B921" s="99"/>
      <c r="C921" s="99"/>
      <c r="D921" s="99"/>
      <c r="E921" s="99"/>
    </row>
    <row r="922" ht="14.25" customHeight="1">
      <c r="B922" s="99"/>
      <c r="C922" s="99"/>
      <c r="D922" s="99"/>
      <c r="E922" s="99"/>
    </row>
    <row r="923" ht="14.25" customHeight="1">
      <c r="B923" s="99"/>
      <c r="C923" s="99"/>
      <c r="D923" s="99"/>
      <c r="E923" s="99"/>
    </row>
    <row r="924" ht="14.25" customHeight="1">
      <c r="B924" s="99"/>
      <c r="C924" s="99"/>
      <c r="D924" s="99"/>
      <c r="E924" s="99"/>
    </row>
    <row r="925" ht="14.25" customHeight="1">
      <c r="B925" s="99"/>
      <c r="C925" s="99"/>
      <c r="D925" s="99"/>
      <c r="E925" s="99"/>
    </row>
    <row r="926" ht="14.25" customHeight="1">
      <c r="B926" s="99"/>
      <c r="C926" s="99"/>
      <c r="D926" s="99"/>
      <c r="E926" s="99"/>
    </row>
    <row r="927" ht="14.25" customHeight="1">
      <c r="B927" s="99"/>
      <c r="C927" s="99"/>
      <c r="D927" s="99"/>
      <c r="E927" s="99"/>
    </row>
    <row r="928" ht="14.25" customHeight="1">
      <c r="B928" s="99"/>
      <c r="C928" s="99"/>
      <c r="D928" s="99"/>
      <c r="E928" s="99"/>
    </row>
    <row r="929" ht="14.25" customHeight="1">
      <c r="B929" s="99"/>
      <c r="C929" s="99"/>
      <c r="D929" s="99"/>
      <c r="E929" s="99"/>
    </row>
    <row r="930" ht="14.25" customHeight="1">
      <c r="B930" s="99"/>
      <c r="C930" s="99"/>
      <c r="D930" s="99"/>
      <c r="E930" s="99"/>
    </row>
    <row r="931" ht="14.25" customHeight="1">
      <c r="B931" s="99"/>
      <c r="C931" s="99"/>
      <c r="D931" s="99"/>
      <c r="E931" s="99"/>
    </row>
    <row r="932" ht="14.25" customHeight="1">
      <c r="B932" s="99"/>
      <c r="C932" s="99"/>
      <c r="D932" s="99"/>
      <c r="E932" s="99"/>
    </row>
    <row r="933" ht="14.25" customHeight="1">
      <c r="B933" s="99"/>
      <c r="C933" s="99"/>
      <c r="D933" s="99"/>
      <c r="E933" s="99"/>
    </row>
    <row r="934" ht="14.25" customHeight="1">
      <c r="B934" s="99"/>
      <c r="C934" s="99"/>
      <c r="D934" s="99"/>
      <c r="E934" s="99"/>
    </row>
    <row r="935" ht="14.25" customHeight="1">
      <c r="B935" s="99"/>
      <c r="C935" s="99"/>
      <c r="D935" s="99"/>
      <c r="E935" s="99"/>
    </row>
    <row r="936" ht="14.25" customHeight="1">
      <c r="B936" s="99"/>
      <c r="C936" s="99"/>
      <c r="D936" s="99"/>
      <c r="E936" s="99"/>
    </row>
    <row r="937" ht="14.25" customHeight="1">
      <c r="B937" s="99"/>
      <c r="C937" s="99"/>
      <c r="D937" s="99"/>
      <c r="E937" s="99"/>
    </row>
    <row r="938" ht="14.25" customHeight="1">
      <c r="B938" s="99"/>
      <c r="C938" s="99"/>
      <c r="D938" s="99"/>
      <c r="E938" s="99"/>
    </row>
    <row r="939" ht="14.25" customHeight="1">
      <c r="B939" s="99"/>
      <c r="C939" s="99"/>
      <c r="D939" s="99"/>
      <c r="E939" s="99"/>
    </row>
    <row r="940" ht="14.25" customHeight="1">
      <c r="B940" s="99"/>
      <c r="C940" s="99"/>
      <c r="D940" s="99"/>
      <c r="E940" s="99"/>
    </row>
    <row r="941" ht="14.25" customHeight="1">
      <c r="B941" s="99"/>
      <c r="C941" s="99"/>
      <c r="D941" s="99"/>
      <c r="E941" s="99"/>
    </row>
    <row r="942" ht="14.25" customHeight="1">
      <c r="B942" s="99"/>
      <c r="C942" s="99"/>
      <c r="D942" s="99"/>
      <c r="E942" s="99"/>
    </row>
    <row r="943" ht="14.25" customHeight="1">
      <c r="B943" s="99"/>
      <c r="C943" s="99"/>
      <c r="D943" s="99"/>
      <c r="E943" s="99"/>
    </row>
    <row r="944" ht="14.25" customHeight="1">
      <c r="B944" s="99"/>
      <c r="C944" s="99"/>
      <c r="D944" s="99"/>
      <c r="E944" s="99"/>
    </row>
    <row r="945" ht="14.25" customHeight="1">
      <c r="B945" s="99"/>
      <c r="C945" s="99"/>
      <c r="D945" s="99"/>
      <c r="E945" s="99"/>
    </row>
    <row r="946" ht="14.25" customHeight="1">
      <c r="B946" s="99"/>
      <c r="C946" s="99"/>
      <c r="D946" s="99"/>
      <c r="E946" s="99"/>
    </row>
    <row r="947" ht="14.25" customHeight="1">
      <c r="B947" s="99"/>
      <c r="C947" s="99"/>
      <c r="D947" s="99"/>
      <c r="E947" s="99"/>
    </row>
    <row r="948" ht="14.25" customHeight="1">
      <c r="B948" s="99"/>
      <c r="C948" s="99"/>
      <c r="D948" s="99"/>
      <c r="E948" s="99"/>
    </row>
    <row r="949" ht="14.25" customHeight="1">
      <c r="B949" s="99"/>
      <c r="C949" s="99"/>
      <c r="D949" s="99"/>
      <c r="E949" s="99"/>
    </row>
    <row r="950" ht="14.25" customHeight="1">
      <c r="B950" s="99"/>
      <c r="C950" s="99"/>
      <c r="D950" s="99"/>
      <c r="E950" s="99"/>
    </row>
    <row r="951" ht="14.25" customHeight="1">
      <c r="B951" s="99"/>
      <c r="C951" s="99"/>
      <c r="D951" s="99"/>
      <c r="E951" s="99"/>
    </row>
    <row r="952" ht="14.25" customHeight="1">
      <c r="B952" s="99"/>
      <c r="C952" s="99"/>
      <c r="D952" s="99"/>
      <c r="E952" s="99"/>
    </row>
    <row r="953" ht="14.25" customHeight="1">
      <c r="B953" s="99"/>
      <c r="C953" s="99"/>
      <c r="D953" s="99"/>
      <c r="E953" s="99"/>
    </row>
    <row r="954" ht="14.25" customHeight="1">
      <c r="B954" s="99"/>
      <c r="C954" s="99"/>
      <c r="D954" s="99"/>
      <c r="E954" s="99"/>
    </row>
    <row r="955" ht="14.25" customHeight="1">
      <c r="B955" s="99"/>
      <c r="C955" s="99"/>
      <c r="D955" s="99"/>
      <c r="E955" s="99"/>
    </row>
    <row r="956" ht="14.25" customHeight="1">
      <c r="B956" s="99"/>
      <c r="C956" s="99"/>
      <c r="D956" s="99"/>
      <c r="E956" s="99"/>
    </row>
    <row r="957" ht="14.25" customHeight="1">
      <c r="B957" s="99"/>
      <c r="C957" s="99"/>
      <c r="D957" s="99"/>
      <c r="E957" s="99"/>
    </row>
    <row r="958" ht="14.25" customHeight="1">
      <c r="B958" s="99"/>
      <c r="C958" s="99"/>
      <c r="D958" s="99"/>
      <c r="E958" s="99"/>
    </row>
    <row r="959" ht="14.25" customHeight="1">
      <c r="B959" s="99"/>
      <c r="C959" s="99"/>
      <c r="D959" s="99"/>
      <c r="E959" s="99"/>
    </row>
    <row r="960" ht="14.25" customHeight="1">
      <c r="B960" s="99"/>
      <c r="C960" s="99"/>
      <c r="D960" s="99"/>
      <c r="E960" s="99"/>
    </row>
    <row r="961" ht="14.25" customHeight="1">
      <c r="B961" s="99"/>
      <c r="C961" s="99"/>
      <c r="D961" s="99"/>
      <c r="E961" s="99"/>
    </row>
    <row r="962" ht="14.25" customHeight="1">
      <c r="B962" s="99"/>
      <c r="C962" s="99"/>
      <c r="D962" s="99"/>
      <c r="E962" s="99"/>
    </row>
    <row r="963" ht="14.25" customHeight="1">
      <c r="B963" s="99"/>
      <c r="C963" s="99"/>
      <c r="D963" s="99"/>
      <c r="E963" s="99"/>
    </row>
    <row r="964" ht="14.25" customHeight="1">
      <c r="B964" s="99"/>
      <c r="C964" s="99"/>
      <c r="D964" s="99"/>
      <c r="E964" s="99"/>
    </row>
    <row r="965" ht="14.25" customHeight="1">
      <c r="B965" s="99"/>
      <c r="C965" s="99"/>
      <c r="D965" s="99"/>
      <c r="E965" s="99"/>
    </row>
    <row r="966" ht="14.25" customHeight="1">
      <c r="B966" s="99"/>
      <c r="C966" s="99"/>
      <c r="D966" s="99"/>
      <c r="E966" s="99"/>
    </row>
    <row r="967" ht="14.25" customHeight="1">
      <c r="B967" s="99"/>
      <c r="C967" s="99"/>
      <c r="D967" s="99"/>
      <c r="E967" s="99"/>
    </row>
    <row r="968" ht="14.25" customHeight="1">
      <c r="B968" s="99"/>
      <c r="C968" s="99"/>
      <c r="D968" s="99"/>
      <c r="E968" s="99"/>
    </row>
    <row r="969" ht="14.25" customHeight="1">
      <c r="B969" s="99"/>
      <c r="C969" s="99"/>
      <c r="D969" s="99"/>
      <c r="E969" s="99"/>
    </row>
    <row r="970" ht="14.25" customHeight="1">
      <c r="B970" s="99"/>
      <c r="C970" s="99"/>
      <c r="D970" s="99"/>
      <c r="E970" s="99"/>
    </row>
    <row r="971" ht="14.25" customHeight="1">
      <c r="B971" s="99"/>
      <c r="C971" s="99"/>
      <c r="D971" s="99"/>
      <c r="E971" s="99"/>
    </row>
    <row r="972" ht="14.25" customHeight="1">
      <c r="B972" s="99"/>
      <c r="C972" s="99"/>
      <c r="D972" s="99"/>
      <c r="E972" s="99"/>
    </row>
    <row r="973" ht="14.25" customHeight="1">
      <c r="B973" s="99"/>
      <c r="C973" s="99"/>
      <c r="D973" s="99"/>
      <c r="E973" s="99"/>
    </row>
    <row r="974" ht="14.25" customHeight="1">
      <c r="B974" s="99"/>
      <c r="C974" s="99"/>
      <c r="D974" s="99"/>
      <c r="E974" s="99"/>
    </row>
    <row r="975" ht="14.25" customHeight="1">
      <c r="B975" s="99"/>
      <c r="C975" s="99"/>
      <c r="D975" s="99"/>
      <c r="E975" s="99"/>
    </row>
    <row r="976" ht="14.25" customHeight="1">
      <c r="B976" s="99"/>
      <c r="C976" s="99"/>
      <c r="D976" s="99"/>
      <c r="E976" s="99"/>
    </row>
    <row r="977" ht="14.25" customHeight="1">
      <c r="B977" s="99"/>
      <c r="C977" s="99"/>
      <c r="D977" s="99"/>
      <c r="E977" s="99"/>
    </row>
    <row r="978" ht="14.25" customHeight="1">
      <c r="B978" s="99"/>
      <c r="C978" s="99"/>
      <c r="D978" s="99"/>
      <c r="E978" s="99"/>
    </row>
    <row r="979" ht="14.25" customHeight="1">
      <c r="B979" s="99"/>
      <c r="C979" s="99"/>
      <c r="D979" s="99"/>
      <c r="E979" s="99"/>
    </row>
    <row r="980" ht="14.25" customHeight="1">
      <c r="B980" s="99"/>
      <c r="C980" s="99"/>
      <c r="D980" s="99"/>
      <c r="E980" s="99"/>
    </row>
    <row r="981" ht="14.25" customHeight="1">
      <c r="B981" s="99"/>
      <c r="C981" s="99"/>
      <c r="D981" s="99"/>
      <c r="E981" s="99"/>
    </row>
    <row r="982" ht="14.25" customHeight="1">
      <c r="B982" s="99"/>
      <c r="C982" s="99"/>
      <c r="D982" s="99"/>
      <c r="E982" s="99"/>
    </row>
    <row r="983" ht="14.25" customHeight="1">
      <c r="B983" s="99"/>
      <c r="C983" s="99"/>
      <c r="D983" s="99"/>
      <c r="E983" s="99"/>
    </row>
    <row r="984" ht="14.25" customHeight="1">
      <c r="B984" s="99"/>
      <c r="C984" s="99"/>
      <c r="D984" s="99"/>
      <c r="E984" s="99"/>
    </row>
    <row r="985" ht="14.25" customHeight="1">
      <c r="B985" s="99"/>
      <c r="C985" s="99"/>
      <c r="D985" s="99"/>
      <c r="E985" s="99"/>
    </row>
    <row r="986" ht="14.25" customHeight="1">
      <c r="B986" s="99"/>
      <c r="C986" s="99"/>
      <c r="D986" s="99"/>
      <c r="E986" s="99"/>
    </row>
    <row r="987" ht="14.25" customHeight="1">
      <c r="B987" s="99"/>
      <c r="C987" s="99"/>
      <c r="D987" s="99"/>
      <c r="E987" s="99"/>
    </row>
    <row r="988" ht="14.25" customHeight="1">
      <c r="B988" s="99"/>
      <c r="C988" s="99"/>
      <c r="D988" s="99"/>
      <c r="E988" s="99"/>
    </row>
    <row r="989" ht="14.25" customHeight="1">
      <c r="B989" s="99"/>
      <c r="C989" s="99"/>
      <c r="D989" s="99"/>
      <c r="E989" s="99"/>
    </row>
    <row r="990" ht="14.25" customHeight="1">
      <c r="B990" s="99"/>
      <c r="C990" s="99"/>
      <c r="D990" s="99"/>
      <c r="E990" s="99"/>
    </row>
    <row r="991" ht="14.25" customHeight="1">
      <c r="B991" s="99"/>
      <c r="C991" s="99"/>
      <c r="D991" s="99"/>
      <c r="E991" s="99"/>
    </row>
    <row r="992" ht="14.25" customHeight="1">
      <c r="B992" s="99"/>
      <c r="C992" s="99"/>
      <c r="D992" s="99"/>
      <c r="E992" s="99"/>
    </row>
    <row r="993" ht="14.25" customHeight="1">
      <c r="B993" s="99"/>
      <c r="C993" s="99"/>
      <c r="D993" s="99"/>
      <c r="E993" s="99"/>
    </row>
    <row r="994" ht="14.25" customHeight="1">
      <c r="B994" s="99"/>
      <c r="C994" s="99"/>
      <c r="D994" s="99"/>
      <c r="E994" s="99"/>
    </row>
    <row r="995" ht="14.25" customHeight="1">
      <c r="B995" s="99"/>
      <c r="C995" s="99"/>
      <c r="D995" s="99"/>
      <c r="E995" s="99"/>
    </row>
    <row r="996" ht="14.25" customHeight="1">
      <c r="B996" s="99"/>
      <c r="C996" s="99"/>
      <c r="D996" s="99"/>
      <c r="E996" s="99"/>
    </row>
    <row r="997" ht="14.25" customHeight="1">
      <c r="B997" s="99"/>
      <c r="C997" s="99"/>
      <c r="D997" s="99"/>
      <c r="E997" s="99"/>
    </row>
    <row r="998" ht="14.25" customHeight="1">
      <c r="B998" s="99"/>
      <c r="C998" s="99"/>
      <c r="D998" s="99"/>
      <c r="E998" s="99"/>
    </row>
    <row r="999" ht="14.25" customHeight="1">
      <c r="B999" s="99"/>
      <c r="C999" s="99"/>
      <c r="D999" s="99"/>
      <c r="E999" s="99"/>
    </row>
    <row r="1000" ht="14.25" customHeight="1">
      <c r="B1000" s="99"/>
      <c r="C1000" s="99"/>
      <c r="D1000" s="99"/>
      <c r="E1000" s="99"/>
    </row>
  </sheetData>
  <autoFilter ref="$B$2:$E$4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2026-05-06T01:12:50Z</dcterms:created>
  <dc:creator>Boy Parulian Hutapea</dc:creator>
</cp:coreProperties>
</file>